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9005"/>
  <workbookPr autoCompressPictures="0"/>
  <mc:AlternateContent xmlns:mc="http://schemas.openxmlformats.org/markup-compatibility/2006">
    <mc:Choice Requires="x15">
      <x15ac:absPath xmlns:x15ac="http://schemas.microsoft.com/office/spreadsheetml/2010/11/ac" url="/Users/sallie41/Google Drive/2017 DSPG Program - shared folder/"/>
    </mc:Choice>
  </mc:AlternateContent>
  <bookViews>
    <workbookView xWindow="0" yWindow="460" windowWidth="26760" windowHeight="14340"/>
  </bookViews>
  <sheets>
    <sheet name="Form" sheetId="1" r:id="rId1"/>
    <sheet name="Rates" sheetId="3" r:id="rId2"/>
    <sheet name="Lists" sheetId="2" r:id="rId3"/>
  </sheets>
  <definedNames>
    <definedName name="inrate">Form!$W$3</definedName>
    <definedName name="insch">Form!$W$3</definedName>
    <definedName name="osrate">Form!$AB$3</definedName>
    <definedName name="_xlnm.Print_Area" localSheetId="0">Form!$A$7:$AJ$29</definedName>
    <definedName name="_xlnm.Print_Titles" localSheetId="0">Form!$A:$E,Form!$1:$6</definedName>
    <definedName name="type">Lists!$A$13:$B$17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F32" i="1" l="1"/>
  <c r="L9" i="1"/>
  <c r="AA9" i="1"/>
  <c r="AB9" i="1"/>
  <c r="Y9" i="1"/>
  <c r="Z9" i="1"/>
  <c r="W9" i="1"/>
  <c r="X9" i="1"/>
  <c r="AC9" i="1"/>
  <c r="AE9" i="1"/>
  <c r="AF9" i="1"/>
  <c r="AG3" i="1"/>
  <c r="AG9" i="1"/>
  <c r="AH9" i="1"/>
  <c r="AI9" i="1"/>
  <c r="L12" i="1"/>
  <c r="AE28" i="1"/>
  <c r="AF28" i="1"/>
  <c r="AG28" i="1"/>
  <c r="AB28" i="1"/>
  <c r="AA28" i="1"/>
  <c r="Z28" i="1"/>
  <c r="Y28" i="1"/>
  <c r="X28" i="1"/>
  <c r="W28" i="1"/>
  <c r="T28" i="1"/>
  <c r="L28" i="1"/>
  <c r="AE27" i="1"/>
  <c r="AF27" i="1"/>
  <c r="AG27" i="1"/>
  <c r="AB27" i="1"/>
  <c r="AA27" i="1"/>
  <c r="Z27" i="1"/>
  <c r="Y27" i="1"/>
  <c r="X27" i="1"/>
  <c r="W27" i="1"/>
  <c r="T27" i="1"/>
  <c r="L27" i="1"/>
  <c r="AE26" i="1"/>
  <c r="AF26" i="1"/>
  <c r="AB26" i="1"/>
  <c r="AA26" i="1"/>
  <c r="Z26" i="1"/>
  <c r="Y26" i="1"/>
  <c r="X26" i="1"/>
  <c r="W26" i="1"/>
  <c r="T26" i="1"/>
  <c r="L26" i="1"/>
  <c r="AE25" i="1"/>
  <c r="AB25" i="1"/>
  <c r="AA25" i="1"/>
  <c r="Z25" i="1"/>
  <c r="Y25" i="1"/>
  <c r="X25" i="1"/>
  <c r="W25" i="1"/>
  <c r="T25" i="1"/>
  <c r="L25" i="1"/>
  <c r="AE24" i="1"/>
  <c r="AF24" i="1"/>
  <c r="AG24" i="1"/>
  <c r="AB24" i="1"/>
  <c r="AA24" i="1"/>
  <c r="Z24" i="1"/>
  <c r="Y24" i="1"/>
  <c r="X24" i="1"/>
  <c r="W24" i="1"/>
  <c r="T24" i="1"/>
  <c r="L24" i="1"/>
  <c r="AE23" i="1"/>
  <c r="AF23" i="1"/>
  <c r="AG23" i="1"/>
  <c r="AB23" i="1"/>
  <c r="AA23" i="1"/>
  <c r="Z23" i="1"/>
  <c r="Y23" i="1"/>
  <c r="X23" i="1"/>
  <c r="W23" i="1"/>
  <c r="T23" i="1"/>
  <c r="L23" i="1"/>
  <c r="AE22" i="1"/>
  <c r="AB22" i="1"/>
  <c r="AA22" i="1"/>
  <c r="Z22" i="1"/>
  <c r="Y22" i="1"/>
  <c r="X22" i="1"/>
  <c r="W22" i="1"/>
  <c r="T22" i="1"/>
  <c r="L22" i="1"/>
  <c r="AE21" i="1"/>
  <c r="AB21" i="1"/>
  <c r="AA21" i="1"/>
  <c r="Z21" i="1"/>
  <c r="Y21" i="1"/>
  <c r="X21" i="1"/>
  <c r="W21" i="1"/>
  <c r="T21" i="1"/>
  <c r="L21" i="1"/>
  <c r="AE20" i="1"/>
  <c r="AF20" i="1"/>
  <c r="AG20" i="1"/>
  <c r="AB20" i="1"/>
  <c r="AA20" i="1"/>
  <c r="Z20" i="1"/>
  <c r="Y20" i="1"/>
  <c r="X20" i="1"/>
  <c r="W20" i="1"/>
  <c r="T20" i="1"/>
  <c r="L20" i="1"/>
  <c r="AE19" i="1"/>
  <c r="AF19" i="1"/>
  <c r="AG19" i="1"/>
  <c r="AB19" i="1"/>
  <c r="AA19" i="1"/>
  <c r="Z19" i="1"/>
  <c r="Y19" i="1"/>
  <c r="X19" i="1"/>
  <c r="W19" i="1"/>
  <c r="T19" i="1"/>
  <c r="L19" i="1"/>
  <c r="AE18" i="1"/>
  <c r="AB18" i="1"/>
  <c r="AA18" i="1"/>
  <c r="Z18" i="1"/>
  <c r="Y18" i="1"/>
  <c r="X18" i="1"/>
  <c r="W18" i="1"/>
  <c r="T18" i="1"/>
  <c r="L18" i="1"/>
  <c r="AE17" i="1"/>
  <c r="AB17" i="1"/>
  <c r="AA17" i="1"/>
  <c r="Z17" i="1"/>
  <c r="Y17" i="1"/>
  <c r="X17" i="1"/>
  <c r="W17" i="1"/>
  <c r="T17" i="1"/>
  <c r="L17" i="1"/>
  <c r="AE16" i="1"/>
  <c r="AF16" i="1"/>
  <c r="AG16" i="1"/>
  <c r="AB16" i="1"/>
  <c r="AA16" i="1"/>
  <c r="Z16" i="1"/>
  <c r="Y16" i="1"/>
  <c r="X16" i="1"/>
  <c r="W16" i="1"/>
  <c r="T16" i="1"/>
  <c r="L16" i="1"/>
  <c r="AE15" i="1"/>
  <c r="AF15" i="1"/>
  <c r="AG15" i="1"/>
  <c r="AB15" i="1"/>
  <c r="AA15" i="1"/>
  <c r="Z15" i="1"/>
  <c r="Y15" i="1"/>
  <c r="X15" i="1"/>
  <c r="W15" i="1"/>
  <c r="T15" i="1"/>
  <c r="L15" i="1"/>
  <c r="X8" i="1"/>
  <c r="W7" i="1"/>
  <c r="L8" i="1"/>
  <c r="L10" i="1"/>
  <c r="L11" i="1"/>
  <c r="AC15" i="1"/>
  <c r="AH15" i="1"/>
  <c r="AC22" i="1"/>
  <c r="AC24" i="1"/>
  <c r="AH24" i="1"/>
  <c r="AJ4" i="1"/>
  <c r="AJ24" i="1"/>
  <c r="AC18" i="1"/>
  <c r="AC20" i="1"/>
  <c r="AH20" i="1"/>
  <c r="AJ20" i="1"/>
  <c r="AC21" i="1"/>
  <c r="AC23" i="1"/>
  <c r="AH23" i="1"/>
  <c r="AC26" i="1"/>
  <c r="AC28" i="1"/>
  <c r="AH28" i="1"/>
  <c r="AC16" i="1"/>
  <c r="AH16" i="1"/>
  <c r="AJ16" i="1"/>
  <c r="AC17" i="1"/>
  <c r="AF17" i="1"/>
  <c r="AG17" i="1"/>
  <c r="AH17" i="1"/>
  <c r="AC19" i="1"/>
  <c r="AH19" i="1"/>
  <c r="AI4" i="1"/>
  <c r="AI19" i="1"/>
  <c r="AC25" i="1"/>
  <c r="AC27" i="1"/>
  <c r="AH27" i="1"/>
  <c r="AI27" i="1"/>
  <c r="AF22" i="1"/>
  <c r="AG22" i="1"/>
  <c r="AH22" i="1"/>
  <c r="AF18" i="1"/>
  <c r="AG18" i="1"/>
  <c r="AF21" i="1"/>
  <c r="AF25" i="1"/>
  <c r="AG26" i="1"/>
  <c r="X11" i="1"/>
  <c r="AB14" i="1"/>
  <c r="AA14" i="1"/>
  <c r="Z14" i="1"/>
  <c r="Y14" i="1"/>
  <c r="X14" i="1"/>
  <c r="W14" i="1"/>
  <c r="AB13" i="1"/>
  <c r="AA13" i="1"/>
  <c r="Z13" i="1"/>
  <c r="Y13" i="1"/>
  <c r="X13" i="1"/>
  <c r="W13" i="1"/>
  <c r="AB12" i="1"/>
  <c r="AA12" i="1"/>
  <c r="Z12" i="1"/>
  <c r="Y12" i="1"/>
  <c r="X12" i="1"/>
  <c r="W12" i="1"/>
  <c r="AB11" i="1"/>
  <c r="AA11" i="1"/>
  <c r="Z11" i="1"/>
  <c r="Y11" i="1"/>
  <c r="W11" i="1"/>
  <c r="AJ27" i="1"/>
  <c r="AI16" i="1"/>
  <c r="AI20" i="1"/>
  <c r="AH26" i="1"/>
  <c r="AI26" i="1"/>
  <c r="AI24" i="1"/>
  <c r="AJ19" i="1"/>
  <c r="AG21" i="1"/>
  <c r="AH21" i="1"/>
  <c r="AJ22" i="1"/>
  <c r="AI22" i="1"/>
  <c r="AJ17" i="1"/>
  <c r="AI17" i="1"/>
  <c r="AH18" i="1"/>
  <c r="AJ28" i="1"/>
  <c r="AI28" i="1"/>
  <c r="AI15" i="1"/>
  <c r="AJ15" i="1"/>
  <c r="AG25" i="1"/>
  <c r="AH25" i="1"/>
  <c r="AI23" i="1"/>
  <c r="AJ23" i="1"/>
  <c r="AC12" i="1"/>
  <c r="AC14" i="1"/>
  <c r="AC13" i="1"/>
  <c r="AC11" i="1"/>
  <c r="AB10" i="1"/>
  <c r="AA10" i="1"/>
  <c r="Z10" i="1"/>
  <c r="Y10" i="1"/>
  <c r="X10" i="1"/>
  <c r="W10" i="1"/>
  <c r="AB8" i="1"/>
  <c r="AA8" i="1"/>
  <c r="Z8" i="1"/>
  <c r="Y8" i="1"/>
  <c r="W8" i="1"/>
  <c r="AB7" i="1"/>
  <c r="AA7" i="1"/>
  <c r="Z7" i="1"/>
  <c r="Y7" i="1"/>
  <c r="X7" i="1"/>
  <c r="AJ26" i="1"/>
  <c r="Y29" i="1"/>
  <c r="Z29" i="1"/>
  <c r="W29" i="1"/>
  <c r="X29" i="1"/>
  <c r="AB29" i="1"/>
  <c r="AA29" i="1"/>
  <c r="AI25" i="1"/>
  <c r="AJ25" i="1"/>
  <c r="AJ18" i="1"/>
  <c r="AI18" i="1"/>
  <c r="AJ21" i="1"/>
  <c r="AI21" i="1"/>
  <c r="T8" i="1"/>
  <c r="T9" i="1"/>
  <c r="T10" i="1"/>
  <c r="T11" i="1"/>
  <c r="T12" i="1"/>
  <c r="T13" i="1"/>
  <c r="T14" i="1"/>
  <c r="T7" i="1"/>
  <c r="AC10" i="1"/>
  <c r="AC8" i="1"/>
  <c r="AC7" i="1"/>
  <c r="AE10" i="1"/>
  <c r="AF10" i="1"/>
  <c r="AE11" i="1"/>
  <c r="AF11" i="1"/>
  <c r="AE12" i="1"/>
  <c r="AF12" i="1"/>
  <c r="AE13" i="1"/>
  <c r="AF13" i="1"/>
  <c r="AE14" i="1"/>
  <c r="AF14" i="1"/>
  <c r="L13" i="1"/>
  <c r="L14" i="1"/>
  <c r="AE8" i="1"/>
  <c r="AF8" i="1"/>
  <c r="L7" i="1"/>
  <c r="AC29" i="1"/>
  <c r="AG10" i="1"/>
  <c r="AE7" i="1"/>
  <c r="AE29" i="1"/>
  <c r="AG8" i="1"/>
  <c r="AG11" i="1"/>
  <c r="AG12" i="1"/>
  <c r="AF7" i="1"/>
  <c r="AF29" i="1"/>
  <c r="AG13" i="1"/>
  <c r="AG14" i="1"/>
  <c r="AH10" i="1"/>
  <c r="AG7" i="1"/>
  <c r="AG29" i="1"/>
  <c r="AH13" i="1"/>
  <c r="AH8" i="1"/>
  <c r="AH14" i="1"/>
  <c r="AH12" i="1"/>
  <c r="AH11" i="1"/>
  <c r="AJ14" i="1"/>
  <c r="AI14" i="1"/>
  <c r="AJ8" i="1"/>
  <c r="AI8" i="1"/>
  <c r="AI11" i="1"/>
  <c r="AJ11" i="1"/>
  <c r="AI13" i="1"/>
  <c r="AJ13" i="1"/>
  <c r="AJ12" i="1"/>
  <c r="AI12" i="1"/>
  <c r="AJ9" i="1"/>
  <c r="AJ10" i="1"/>
  <c r="AI10" i="1"/>
  <c r="AH7" i="1"/>
  <c r="AH29" i="1"/>
  <c r="AI7" i="1"/>
  <c r="AI29" i="1"/>
  <c r="AJ7" i="1"/>
  <c r="AJ29" i="1"/>
</calcChain>
</file>

<file path=xl/sharedStrings.xml><?xml version="1.0" encoding="utf-8"?>
<sst xmlns="http://schemas.openxmlformats.org/spreadsheetml/2006/main" count="116" uniqueCount="70">
  <si>
    <t>Course Number</t>
  </si>
  <si>
    <t>Course Name</t>
  </si>
  <si>
    <t>Faculty Payment</t>
  </si>
  <si>
    <t>Fringe Benefits</t>
  </si>
  <si>
    <t>University Indirect</t>
  </si>
  <si>
    <t>Course Description</t>
  </si>
  <si>
    <t>In-State</t>
  </si>
  <si>
    <t>Out-of-State</t>
  </si>
  <si>
    <t>Basis for Enrollment Estimate:</t>
  </si>
  <si>
    <t>Allocation of Estimated Revenue</t>
  </si>
  <si>
    <t>College</t>
  </si>
  <si>
    <t>University</t>
  </si>
  <si>
    <t>SCH</t>
  </si>
  <si>
    <t>Survey of student interest in prerequisite course.</t>
  </si>
  <si>
    <t>CALCULATION FACTORS</t>
  </si>
  <si>
    <t>Course Delivery Methods</t>
  </si>
  <si>
    <t>100% On-Line</t>
  </si>
  <si>
    <t>100% in Class Seat Based</t>
  </si>
  <si>
    <t>Negotiated Payment</t>
  </si>
  <si>
    <t>Faculty Members Annual Salary</t>
  </si>
  <si>
    <t>Name of Course Instructor</t>
  </si>
  <si>
    <t>Instructor Types</t>
  </si>
  <si>
    <t>A 9 month faculty or instructor</t>
  </si>
  <si>
    <t>A 12 month faculty or instructor</t>
  </si>
  <si>
    <t>An adjunct faculty member</t>
  </si>
  <si>
    <t>Another type of appointment</t>
  </si>
  <si>
    <t>Instructor Description and Negotiated Payment</t>
  </si>
  <si>
    <t>Total Students</t>
  </si>
  <si>
    <t>Max 11.25%</t>
  </si>
  <si>
    <t>Sample Course 1</t>
  </si>
  <si>
    <t>Sample Course 2</t>
  </si>
  <si>
    <t>Popular CLE Area 4 course</t>
  </si>
  <si>
    <t>Pick from Dropdown List</t>
  </si>
  <si>
    <t>A graduate student</t>
  </si>
  <si>
    <t>Blended - Majority On-Line</t>
  </si>
  <si>
    <t>Blended - Majority Seat-Based</t>
  </si>
  <si>
    <t>Winter Experience</t>
  </si>
  <si>
    <t>No</t>
  </si>
  <si>
    <t>On-Campus</t>
  </si>
  <si>
    <t>Off-Campus</t>
  </si>
  <si>
    <t>Study Abroad</t>
  </si>
  <si>
    <t>Course Level</t>
  </si>
  <si>
    <t>Undergraduate</t>
  </si>
  <si>
    <t>Graduate</t>
  </si>
  <si>
    <r>
      <t xml:space="preserve">Course Level
</t>
    </r>
    <r>
      <rPr>
        <sz val="9"/>
        <color theme="1"/>
        <rFont val="Calibri"/>
        <family val="2"/>
        <scheme val="minor"/>
      </rPr>
      <t>(choose from drop down)</t>
    </r>
  </si>
  <si>
    <r>
      <t xml:space="preserve">Anticipated Delivery Method </t>
    </r>
    <r>
      <rPr>
        <sz val="9"/>
        <color theme="1"/>
        <rFont val="Calibri"/>
        <family val="2"/>
        <scheme val="minor"/>
      </rPr>
      <t>(choose from drop down)</t>
    </r>
  </si>
  <si>
    <r>
      <t xml:space="preserve">This Instructor is </t>
    </r>
    <r>
      <rPr>
        <sz val="9"/>
        <color theme="1"/>
        <rFont val="Calibri"/>
        <family val="2"/>
        <scheme val="minor"/>
      </rPr>
      <t>(choose from drop down)</t>
    </r>
    <r>
      <rPr>
        <b/>
        <sz val="11"/>
        <color theme="1"/>
        <rFont val="Calibri"/>
        <family val="2"/>
        <scheme val="minor"/>
      </rPr>
      <t>:</t>
    </r>
  </si>
  <si>
    <t>Faculty Members VT ID #</t>
  </si>
  <si>
    <t>Payment &gt; 3.75% per SCH</t>
  </si>
  <si>
    <t>Yes</t>
  </si>
  <si>
    <t>Polar Questions</t>
  </si>
  <si>
    <t>Total Estimated Activity&gt;&gt;&gt;&gt;</t>
  </si>
  <si>
    <t>TEST</t>
  </si>
  <si>
    <t>Surplus Share</t>
  </si>
  <si>
    <t>Deficit Share</t>
  </si>
  <si>
    <r>
      <t>Revenue Estimates</t>
    </r>
    <r>
      <rPr>
        <sz val="11"/>
        <color theme="1"/>
        <rFont val="Calibri"/>
        <family val="2"/>
        <scheme val="minor"/>
      </rPr>
      <t xml:space="preserve"> (incl. estimated </t>
    </r>
    <r>
      <rPr>
        <sz val="11"/>
        <color theme="1"/>
        <rFont val="Calibri"/>
        <family val="2"/>
        <scheme val="minor"/>
      </rPr>
      <t>discount for financial aid)</t>
    </r>
  </si>
  <si>
    <t>ENG 1001</t>
  </si>
  <si>
    <t>Projected Headcount Enrollment</t>
  </si>
  <si>
    <t>Distributable Total</t>
  </si>
  <si>
    <t>Net Surplus/(Deficit)</t>
  </si>
  <si>
    <t>Requires Departmental Entry</t>
  </si>
  <si>
    <t>Sample Course 5</t>
  </si>
  <si>
    <r>
      <t xml:space="preserve">Board Approved Winter Session </t>
    </r>
    <r>
      <rPr>
        <b/>
        <sz val="11"/>
        <color rgb="FFFF0000"/>
        <rFont val="Calibri"/>
        <family val="2"/>
        <scheme val="minor"/>
      </rPr>
      <t>2016</t>
    </r>
    <r>
      <rPr>
        <b/>
        <sz val="11"/>
        <color theme="1"/>
        <rFont val="Calibri"/>
        <family val="2"/>
        <scheme val="minor"/>
      </rPr>
      <t xml:space="preserve"> Rates </t>
    </r>
    <r>
      <rPr>
        <b/>
        <sz val="11"/>
        <color rgb="FFFF0000"/>
        <rFont val="Calibri"/>
        <family val="2"/>
        <scheme val="minor"/>
      </rPr>
      <t>(2016-17)</t>
    </r>
  </si>
  <si>
    <t>Winter 2015</t>
  </si>
  <si>
    <t>Keller Course Undergrads</t>
  </si>
  <si>
    <t>Keller Course Grads</t>
  </si>
  <si>
    <t>Molfino / Pires</t>
  </si>
  <si>
    <t>From Keller notes</t>
  </si>
  <si>
    <t>SDAL 1001</t>
  </si>
  <si>
    <t>Amount due to 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</si>
</sst>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00%"/>
    <numFmt numFmtId="166" formatCode="_(* #,##0.0_);_(* \(#,##0.0\);_(* &quot;-&quot;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0" fillId="0" borderId="1" xfId="0" applyBorder="1"/>
    <xf numFmtId="0" fontId="0" fillId="0" borderId="0" xfId="0" applyAlignment="1">
      <alignment horizontal="left" indent="1"/>
    </xf>
    <xf numFmtId="0" fontId="5" fillId="0" borderId="0" xfId="0" applyFont="1"/>
    <xf numFmtId="44" fontId="0" fillId="0" borderId="0" xfId="0" applyNumberFormat="1"/>
    <xf numFmtId="0" fontId="0" fillId="0" borderId="0" xfId="0" applyAlignment="1">
      <alignment horizontal="center"/>
    </xf>
    <xf numFmtId="44" fontId="0" fillId="0" borderId="0" xfId="0" applyNumberFormat="1" applyBorder="1"/>
    <xf numFmtId="0" fontId="0" fillId="0" borderId="1" xfId="0" applyFont="1" applyBorder="1" applyAlignment="1">
      <alignment horizontal="center" wrapText="1"/>
    </xf>
    <xf numFmtId="0" fontId="0" fillId="0" borderId="0" xfId="0" applyProtection="1">
      <protection locked="0"/>
    </xf>
    <xf numFmtId="0" fontId="0" fillId="0" borderId="0" xfId="0" applyAlignment="1" applyProtection="1">
      <alignment wrapText="1"/>
      <protection locked="0"/>
    </xf>
    <xf numFmtId="0" fontId="7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3" fillId="2" borderId="2" xfId="0" applyFont="1" applyFill="1" applyBorder="1" applyAlignment="1" applyProtection="1">
      <alignment horizontal="left"/>
      <protection locked="0"/>
    </xf>
    <xf numFmtId="0" fontId="3" fillId="2" borderId="3" xfId="0" applyFont="1" applyFill="1" applyBorder="1" applyAlignment="1" applyProtection="1">
      <alignment horizontal="center" wrapText="1"/>
      <protection locked="0"/>
    </xf>
    <xf numFmtId="0" fontId="3" fillId="2" borderId="3" xfId="0" applyFont="1" applyFill="1" applyBorder="1" applyAlignment="1" applyProtection="1">
      <alignment horizontal="center"/>
      <protection locked="0"/>
    </xf>
    <xf numFmtId="0" fontId="3" fillId="2" borderId="4" xfId="0" applyFont="1" applyFill="1" applyBorder="1" applyAlignment="1" applyProtection="1">
      <alignment horizontal="center"/>
      <protection locked="0"/>
    </xf>
    <xf numFmtId="0" fontId="3" fillId="2" borderId="0" xfId="0" applyFont="1" applyFill="1" applyProtection="1">
      <protection locked="0"/>
    </xf>
    <xf numFmtId="0" fontId="3" fillId="2" borderId="0" xfId="0" applyFont="1" applyFill="1" applyBorder="1" applyAlignment="1" applyProtection="1">
      <alignment horizontal="center"/>
      <protection locked="0"/>
    </xf>
    <xf numFmtId="0" fontId="9" fillId="2" borderId="0" xfId="0" applyFont="1" applyFill="1" applyBorder="1" applyAlignment="1" applyProtection="1">
      <alignment horizontal="center"/>
      <protection locked="0"/>
    </xf>
    <xf numFmtId="44" fontId="3" fillId="2" borderId="5" xfId="1" applyFont="1" applyFill="1" applyBorder="1" applyProtection="1">
      <protection locked="0"/>
    </xf>
    <xf numFmtId="165" fontId="3" fillId="2" borderId="5" xfId="2" applyNumberFormat="1" applyFont="1" applyFill="1" applyBorder="1" applyProtection="1">
      <protection locked="0"/>
    </xf>
    <xf numFmtId="0" fontId="3" fillId="2" borderId="0" xfId="0" applyFont="1" applyFill="1" applyBorder="1" applyProtection="1">
      <protection locked="0"/>
    </xf>
    <xf numFmtId="10" fontId="3" fillId="2" borderId="0" xfId="2" applyNumberFormat="1" applyFont="1" applyFill="1" applyAlignment="1" applyProtection="1">
      <alignment horizontal="center"/>
      <protection locked="0"/>
    </xf>
    <xf numFmtId="9" fontId="3" fillId="2" borderId="0" xfId="2" applyFont="1" applyFill="1" applyAlignment="1" applyProtection="1">
      <alignment horizontal="center"/>
      <protection locked="0"/>
    </xf>
    <xf numFmtId="0" fontId="3" fillId="2" borderId="0" xfId="0" applyFont="1" applyFill="1" applyAlignment="1" applyProtection="1">
      <alignment horizontal="center"/>
      <protection locked="0"/>
    </xf>
    <xf numFmtId="9" fontId="3" fillId="2" borderId="0" xfId="0" applyNumberFormat="1" applyFont="1" applyFill="1" applyAlignment="1" applyProtection="1">
      <alignment horizontal="center"/>
      <protection locked="0"/>
    </xf>
    <xf numFmtId="44" fontId="3" fillId="2" borderId="0" xfId="1" applyFont="1" applyFill="1" applyBorder="1" applyProtection="1">
      <protection locked="0"/>
    </xf>
    <xf numFmtId="0" fontId="3" fillId="0" borderId="0" xfId="0" applyFont="1" applyFill="1" applyProtection="1">
      <protection locked="0"/>
    </xf>
    <xf numFmtId="0" fontId="2" fillId="0" borderId="8" xfId="0" applyFont="1" applyBorder="1" applyAlignment="1" applyProtection="1">
      <alignment horizontal="center" wrapText="1"/>
      <protection locked="0"/>
    </xf>
    <xf numFmtId="0" fontId="2" fillId="0" borderId="15" xfId="0" applyFont="1" applyBorder="1" applyAlignment="1" applyProtection="1">
      <alignment horizontal="center" wrapText="1"/>
      <protection locked="0"/>
    </xf>
    <xf numFmtId="0" fontId="2" fillId="0" borderId="16" xfId="0" applyFont="1" applyBorder="1" applyAlignment="1" applyProtection="1">
      <alignment horizontal="center" wrapText="1"/>
      <protection locked="0"/>
    </xf>
    <xf numFmtId="0" fontId="0" fillId="3" borderId="6" xfId="0" applyFill="1" applyBorder="1" applyAlignment="1" applyProtection="1">
      <alignment vertical="top"/>
      <protection locked="0"/>
    </xf>
    <xf numFmtId="0" fontId="0" fillId="3" borderId="6" xfId="0" applyFill="1" applyBorder="1" applyAlignment="1" applyProtection="1">
      <alignment vertical="top" wrapText="1"/>
      <protection locked="0"/>
    </xf>
    <xf numFmtId="0" fontId="0" fillId="3" borderId="0" xfId="0" applyFill="1" applyAlignment="1" applyProtection="1">
      <alignment vertical="top"/>
      <protection locked="0"/>
    </xf>
    <xf numFmtId="0" fontId="0" fillId="3" borderId="1" xfId="0" applyFill="1" applyBorder="1" applyAlignment="1" applyProtection="1">
      <alignment vertical="top"/>
      <protection locked="0"/>
    </xf>
    <xf numFmtId="164" fontId="0" fillId="3" borderId="6" xfId="1" applyNumberFormat="1" applyFont="1" applyFill="1" applyBorder="1" applyAlignment="1" applyProtection="1">
      <alignment vertical="top"/>
      <protection locked="0"/>
    </xf>
    <xf numFmtId="164" fontId="0" fillId="3" borderId="6" xfId="1" applyNumberFormat="1" applyFont="1" applyFill="1" applyBorder="1" applyAlignment="1" applyProtection="1">
      <alignment vertical="top" wrapText="1"/>
      <protection locked="0"/>
    </xf>
    <xf numFmtId="164" fontId="0" fillId="3" borderId="6" xfId="1" applyNumberFormat="1" applyFont="1" applyFill="1" applyBorder="1" applyAlignment="1" applyProtection="1">
      <alignment horizontal="center" vertical="top"/>
      <protection locked="0"/>
    </xf>
    <xf numFmtId="41" fontId="0" fillId="3" borderId="17" xfId="0" applyNumberFormat="1" applyFill="1" applyBorder="1" applyAlignment="1" applyProtection="1">
      <alignment vertical="top"/>
      <protection locked="0"/>
    </xf>
    <xf numFmtId="41" fontId="0" fillId="3" borderId="18" xfId="0" applyNumberFormat="1" applyFill="1" applyBorder="1" applyAlignment="1" applyProtection="1">
      <alignment vertical="top"/>
      <protection locked="0"/>
    </xf>
    <xf numFmtId="41" fontId="0" fillId="3" borderId="12" xfId="0" applyNumberFormat="1" applyFill="1" applyBorder="1" applyAlignment="1" applyProtection="1">
      <alignment vertical="top"/>
      <protection locked="0"/>
    </xf>
    <xf numFmtId="0" fontId="7" fillId="3" borderId="6" xfId="0" applyFont="1" applyFill="1" applyBorder="1" applyAlignment="1" applyProtection="1">
      <alignment vertical="top" wrapText="1"/>
      <protection locked="0"/>
    </xf>
    <xf numFmtId="9" fontId="0" fillId="0" borderId="0" xfId="0" applyNumberFormat="1" applyAlignment="1" applyProtection="1">
      <alignment vertical="top"/>
      <protection locked="0"/>
    </xf>
    <xf numFmtId="0" fontId="0" fillId="0" borderId="0" xfId="0" applyAlignment="1" applyProtection="1">
      <alignment vertical="top"/>
      <protection locked="0"/>
    </xf>
    <xf numFmtId="0" fontId="0" fillId="3" borderId="1" xfId="0" applyFill="1" applyBorder="1" applyAlignment="1" applyProtection="1">
      <alignment vertical="top" wrapText="1"/>
      <protection locked="0"/>
    </xf>
    <xf numFmtId="41" fontId="0" fillId="3" borderId="19" xfId="0" applyNumberFormat="1" applyFill="1" applyBorder="1" applyAlignment="1" applyProtection="1">
      <alignment vertical="top"/>
      <protection locked="0"/>
    </xf>
    <xf numFmtId="41" fontId="0" fillId="3" borderId="20" xfId="0" applyNumberFormat="1" applyFill="1" applyBorder="1" applyAlignment="1" applyProtection="1">
      <alignment vertical="top"/>
      <protection locked="0"/>
    </xf>
    <xf numFmtId="0" fontId="7" fillId="3" borderId="1" xfId="0" applyFont="1" applyFill="1" applyBorder="1" applyAlignment="1" applyProtection="1">
      <alignment vertical="top"/>
      <protection locked="0"/>
    </xf>
    <xf numFmtId="0" fontId="7" fillId="3" borderId="1" xfId="0" applyFont="1" applyFill="1" applyBorder="1" applyAlignment="1" applyProtection="1">
      <alignment vertical="top" wrapText="1"/>
      <protection locked="0"/>
    </xf>
    <xf numFmtId="164" fontId="0" fillId="3" borderId="1" xfId="1" applyNumberFormat="1" applyFont="1" applyFill="1" applyBorder="1" applyAlignment="1" applyProtection="1">
      <alignment vertical="top"/>
      <protection locked="0"/>
    </xf>
    <xf numFmtId="164" fontId="0" fillId="3" borderId="1" xfId="1" applyNumberFormat="1" applyFont="1" applyFill="1" applyBorder="1" applyAlignment="1" applyProtection="1">
      <alignment horizontal="center" vertical="top"/>
      <protection locked="0"/>
    </xf>
    <xf numFmtId="41" fontId="0" fillId="3" borderId="23" xfId="0" applyNumberFormat="1" applyFill="1" applyBorder="1" applyAlignment="1" applyProtection="1">
      <alignment vertical="top"/>
      <protection locked="0"/>
    </xf>
    <xf numFmtId="41" fontId="0" fillId="3" borderId="24" xfId="0" applyNumberFormat="1" applyFill="1" applyBorder="1" applyAlignment="1" applyProtection="1">
      <alignment vertical="top"/>
      <protection locked="0"/>
    </xf>
    <xf numFmtId="41" fontId="0" fillId="3" borderId="21" xfId="0" applyNumberFormat="1" applyFill="1" applyBorder="1" applyAlignment="1" applyProtection="1">
      <alignment vertical="top"/>
      <protection locked="0"/>
    </xf>
    <xf numFmtId="41" fontId="0" fillId="3" borderId="22" xfId="0" applyNumberFormat="1" applyFill="1" applyBorder="1" applyAlignment="1" applyProtection="1">
      <alignment vertical="top"/>
      <protection locked="0"/>
    </xf>
    <xf numFmtId="0" fontId="2" fillId="0" borderId="0" xfId="0" applyFont="1" applyProtection="1">
      <protection locked="0"/>
    </xf>
    <xf numFmtId="0" fontId="2" fillId="0" borderId="0" xfId="0" applyFont="1" applyAlignment="1" applyProtection="1">
      <alignment wrapText="1"/>
      <protection locked="0"/>
    </xf>
    <xf numFmtId="0" fontId="10" fillId="0" borderId="0" xfId="0" applyFont="1" applyProtection="1">
      <protection locked="0"/>
    </xf>
    <xf numFmtId="164" fontId="2" fillId="0" borderId="10" xfId="0" applyNumberFormat="1" applyFont="1" applyBorder="1" applyProtection="1">
      <protection locked="0"/>
    </xf>
    <xf numFmtId="0" fontId="0" fillId="3" borderId="0" xfId="0" applyFill="1" applyProtection="1">
      <protection locked="0"/>
    </xf>
    <xf numFmtId="164" fontId="0" fillId="0" borderId="0" xfId="0" applyNumberFormat="1" applyProtection="1">
      <protection locked="0"/>
    </xf>
    <xf numFmtId="44" fontId="0" fillId="0" borderId="0" xfId="0" applyNumberFormat="1" applyProtection="1">
      <protection locked="0"/>
    </xf>
    <xf numFmtId="0" fontId="5" fillId="0" borderId="0" xfId="0" applyFont="1" applyProtection="1">
      <protection locked="0"/>
    </xf>
    <xf numFmtId="0" fontId="0" fillId="0" borderId="0" xfId="0" applyAlignment="1" applyProtection="1">
      <alignment horizontal="left" indent="1"/>
      <protection locked="0"/>
    </xf>
    <xf numFmtId="42" fontId="0" fillId="0" borderId="17" xfId="1" applyNumberFormat="1" applyFont="1" applyBorder="1" applyAlignment="1" applyProtection="1">
      <alignment vertical="top"/>
    </xf>
    <xf numFmtId="42" fontId="0" fillId="0" borderId="18" xfId="1" applyNumberFormat="1" applyFont="1" applyBorder="1" applyAlignment="1" applyProtection="1">
      <alignment vertical="top"/>
    </xf>
    <xf numFmtId="164" fontId="0" fillId="0" borderId="12" xfId="1" applyNumberFormat="1" applyFont="1" applyBorder="1" applyAlignment="1" applyProtection="1">
      <alignment vertical="top"/>
    </xf>
    <xf numFmtId="0" fontId="0" fillId="0" borderId="0" xfId="0" applyAlignment="1" applyProtection="1">
      <alignment vertical="top"/>
    </xf>
    <xf numFmtId="164" fontId="0" fillId="0" borderId="6" xfId="1" applyNumberFormat="1" applyFont="1" applyBorder="1" applyAlignment="1" applyProtection="1">
      <alignment vertical="top"/>
    </xf>
    <xf numFmtId="164" fontId="0" fillId="0" borderId="1" xfId="1" applyNumberFormat="1" applyFont="1" applyBorder="1" applyAlignment="1" applyProtection="1">
      <alignment vertical="top"/>
    </xf>
    <xf numFmtId="164" fontId="0" fillId="0" borderId="5" xfId="1" applyNumberFormat="1" applyFont="1" applyBorder="1" applyAlignment="1" applyProtection="1">
      <alignment vertical="top"/>
    </xf>
    <xf numFmtId="164" fontId="0" fillId="0" borderId="0" xfId="1" applyNumberFormat="1" applyFont="1" applyFill="1" applyBorder="1" applyAlignment="1" applyProtection="1">
      <alignment vertical="top"/>
      <protection locked="0"/>
    </xf>
    <xf numFmtId="41" fontId="0" fillId="0" borderId="0" xfId="0" applyNumberFormat="1" applyFill="1" applyBorder="1" applyAlignment="1" applyProtection="1">
      <alignment vertical="top"/>
      <protection locked="0"/>
    </xf>
    <xf numFmtId="164" fontId="0" fillId="4" borderId="6" xfId="1" applyNumberFormat="1" applyFont="1" applyFill="1" applyBorder="1" applyAlignment="1" applyProtection="1">
      <alignment vertical="top"/>
    </xf>
    <xf numFmtId="0" fontId="2" fillId="0" borderId="1" xfId="0" applyFont="1" applyBorder="1" applyAlignment="1" applyProtection="1">
      <alignment horizontal="center" wrapText="1"/>
      <protection locked="0"/>
    </xf>
    <xf numFmtId="0" fontId="2" fillId="0" borderId="7" xfId="0" applyFont="1" applyBorder="1" applyAlignment="1" applyProtection="1">
      <alignment horizontal="center" wrapText="1"/>
      <protection locked="0"/>
    </xf>
    <xf numFmtId="0" fontId="8" fillId="0" borderId="1" xfId="0" applyFont="1" applyBorder="1" applyAlignment="1" applyProtection="1">
      <alignment horizontal="center" wrapText="1"/>
      <protection locked="0"/>
    </xf>
    <xf numFmtId="0" fontId="8" fillId="0" borderId="7" xfId="0" applyFont="1" applyBorder="1" applyAlignment="1" applyProtection="1">
      <alignment horizontal="center" wrapText="1"/>
      <protection locked="0"/>
    </xf>
    <xf numFmtId="0" fontId="8" fillId="0" borderId="13" xfId="0" applyFont="1" applyFill="1" applyBorder="1" applyAlignment="1" applyProtection="1">
      <alignment horizontal="center"/>
      <protection locked="0"/>
    </xf>
    <xf numFmtId="0" fontId="8" fillId="0" borderId="14" xfId="0" applyFont="1" applyFill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 wrapText="1"/>
      <protection locked="0"/>
    </xf>
    <xf numFmtId="0" fontId="8" fillId="0" borderId="11" xfId="0" applyFont="1" applyBorder="1" applyAlignment="1" applyProtection="1">
      <alignment horizontal="center" wrapText="1"/>
      <protection locked="0"/>
    </xf>
    <xf numFmtId="0" fontId="2" fillId="0" borderId="4" xfId="0" applyFont="1" applyBorder="1" applyAlignment="1" applyProtection="1">
      <alignment horizontal="center" wrapText="1"/>
      <protection locked="0"/>
    </xf>
    <xf numFmtId="0" fontId="2" fillId="0" borderId="11" xfId="0" applyFont="1" applyBorder="1" applyAlignment="1" applyProtection="1">
      <alignment horizontal="center" wrapText="1"/>
      <protection locked="0"/>
    </xf>
    <xf numFmtId="0" fontId="10" fillId="0" borderId="1" xfId="0" applyFont="1" applyBorder="1" applyAlignment="1" applyProtection="1">
      <alignment horizontal="center" wrapText="1"/>
      <protection locked="0"/>
    </xf>
    <xf numFmtId="0" fontId="10" fillId="0" borderId="7" xfId="0" applyFont="1" applyBorder="1" applyAlignment="1" applyProtection="1">
      <alignment horizontal="center" wrapText="1"/>
      <protection locked="0"/>
    </xf>
    <xf numFmtId="0" fontId="4" fillId="0" borderId="2" xfId="0" applyFont="1" applyBorder="1" applyAlignment="1" applyProtection="1">
      <alignment horizontal="center"/>
      <protection locked="0"/>
    </xf>
    <xf numFmtId="0" fontId="4" fillId="0" borderId="3" xfId="0" applyFont="1" applyBorder="1" applyAlignment="1" applyProtection="1">
      <alignment horizontal="center"/>
      <protection locked="0"/>
    </xf>
    <xf numFmtId="0" fontId="4" fillId="0" borderId="4" xfId="0" applyFont="1" applyBorder="1" applyAlignment="1" applyProtection="1">
      <alignment horizontal="center"/>
      <protection locked="0"/>
    </xf>
    <xf numFmtId="0" fontId="12" fillId="0" borderId="2" xfId="0" applyFont="1" applyBorder="1" applyAlignment="1" applyProtection="1">
      <alignment horizontal="center"/>
      <protection locked="0"/>
    </xf>
    <xf numFmtId="0" fontId="12" fillId="0" borderId="3" xfId="0" applyFont="1" applyBorder="1" applyAlignment="1" applyProtection="1">
      <alignment horizontal="center"/>
      <protection locked="0"/>
    </xf>
    <xf numFmtId="0" fontId="12" fillId="0" borderId="4" xfId="0" applyFont="1" applyBorder="1" applyAlignment="1" applyProtection="1">
      <alignment horizontal="center"/>
      <protection locked="0"/>
    </xf>
    <xf numFmtId="0" fontId="8" fillId="0" borderId="2" xfId="0" applyFont="1" applyFill="1" applyBorder="1" applyAlignment="1">
      <alignment horizontal="center"/>
    </xf>
    <xf numFmtId="0" fontId="8" fillId="0" borderId="4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2" fontId="3" fillId="2" borderId="0" xfId="0" applyNumberFormat="1" applyFont="1" applyFill="1" applyBorder="1" applyAlignment="1" applyProtection="1">
      <alignment horizontal="center"/>
      <protection locked="0"/>
    </xf>
    <xf numFmtId="166" fontId="0" fillId="3" borderId="12" xfId="0" applyNumberFormat="1" applyFill="1" applyBorder="1" applyAlignment="1" applyProtection="1">
      <alignment vertical="top"/>
      <protection locked="0"/>
    </xf>
    <xf numFmtId="166" fontId="0" fillId="3" borderId="19" xfId="0" applyNumberFormat="1" applyFill="1" applyBorder="1" applyAlignment="1" applyProtection="1">
      <alignment vertical="top"/>
      <protection locked="0"/>
    </xf>
    <xf numFmtId="164" fontId="2" fillId="5" borderId="10" xfId="0" applyNumberFormat="1" applyFont="1" applyFill="1" applyBorder="1" applyProtection="1">
      <protection locked="0"/>
    </xf>
    <xf numFmtId="0" fontId="0" fillId="5" borderId="0" xfId="0" applyFill="1" applyProtection="1">
      <protection locked="0"/>
    </xf>
    <xf numFmtId="164" fontId="0" fillId="5" borderId="0" xfId="0" applyNumberFormat="1" applyFill="1" applyProtection="1">
      <protection locked="0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J50"/>
  <sheetViews>
    <sheetView tabSelected="1" topLeftCell="T2" zoomScale="95" zoomScaleNormal="95" zoomScalePageLayoutView="95" workbookViewId="0">
      <selection activeCell="AE38" sqref="AE38"/>
    </sheetView>
  </sheetViews>
  <sheetFormatPr baseColWidth="10" defaultColWidth="8.83203125" defaultRowHeight="15" x14ac:dyDescent="0.2"/>
  <cols>
    <col min="1" max="1" width="9.83203125" style="8" customWidth="1"/>
    <col min="2" max="2" width="26.6640625" style="9" customWidth="1"/>
    <col min="3" max="3" width="14.1640625" style="8" customWidth="1"/>
    <col min="4" max="4" width="4.5" style="8" bestFit="1" customWidth="1"/>
    <col min="5" max="5" width="27.6640625" style="8" customWidth="1"/>
    <col min="6" max="6" width="1.33203125" style="8" customWidth="1"/>
    <col min="7" max="7" width="15" style="8" customWidth="1"/>
    <col min="8" max="8" width="10.5" style="8" customWidth="1"/>
    <col min="9" max="9" width="11.83203125" style="8" customWidth="1"/>
    <col min="10" max="10" width="25.5" style="8" customWidth="1"/>
    <col min="11" max="11" width="13.5" style="8" customWidth="1"/>
    <col min="12" max="12" width="10.5" style="8" customWidth="1"/>
    <col min="13" max="13" width="1.1640625" style="8" customWidth="1"/>
    <col min="14" max="19" width="7.33203125" style="8" customWidth="1"/>
    <col min="20" max="20" width="8.83203125" style="8" customWidth="1"/>
    <col min="21" max="21" width="24.83203125" style="10" bestFit="1" customWidth="1"/>
    <col min="22" max="22" width="1.6640625" style="8" customWidth="1"/>
    <col min="23" max="24" width="10.6640625" style="8" customWidth="1"/>
    <col min="25" max="25" width="13.1640625" style="8" customWidth="1"/>
    <col min="26" max="28" width="10.6640625" style="8" customWidth="1"/>
    <col min="29" max="29" width="18.83203125" style="8" customWidth="1"/>
    <col min="30" max="30" width="1.5" style="8" customWidth="1"/>
    <col min="31" max="31" width="15.5" style="8" customWidth="1"/>
    <col min="32" max="32" width="14.5" style="8" bestFit="1" customWidth="1"/>
    <col min="33" max="33" width="17.5" style="8" bestFit="1" customWidth="1"/>
    <col min="34" max="34" width="15.5" style="8" customWidth="1"/>
    <col min="35" max="35" width="12.83203125" style="8" bestFit="1" customWidth="1"/>
    <col min="36" max="36" width="11.5" style="8" customWidth="1"/>
    <col min="37" max="16384" width="8.83203125" style="8"/>
  </cols>
  <sheetData>
    <row r="1" spans="1:36" ht="13.5" customHeight="1" x14ac:dyDescent="0.2"/>
    <row r="2" spans="1:36" s="11" customFormat="1" ht="19" x14ac:dyDescent="0.25">
      <c r="A2" s="86" t="s">
        <v>5</v>
      </c>
      <c r="B2" s="87"/>
      <c r="C2" s="87"/>
      <c r="D2" s="87"/>
      <c r="E2" s="88"/>
      <c r="G2" s="86" t="s">
        <v>26</v>
      </c>
      <c r="H2" s="87"/>
      <c r="I2" s="87"/>
      <c r="J2" s="87"/>
      <c r="K2" s="87"/>
      <c r="L2" s="88"/>
      <c r="N2" s="89" t="s">
        <v>57</v>
      </c>
      <c r="O2" s="90"/>
      <c r="P2" s="90"/>
      <c r="Q2" s="90"/>
      <c r="R2" s="90"/>
      <c r="S2" s="90"/>
      <c r="T2" s="90"/>
      <c r="U2" s="91"/>
      <c r="W2" s="86" t="s">
        <v>55</v>
      </c>
      <c r="X2" s="87"/>
      <c r="Y2" s="87"/>
      <c r="Z2" s="87"/>
      <c r="AA2" s="87"/>
      <c r="AB2" s="87"/>
      <c r="AC2" s="88"/>
      <c r="AE2" s="86" t="s">
        <v>9</v>
      </c>
      <c r="AF2" s="87"/>
      <c r="AG2" s="87"/>
      <c r="AH2" s="87"/>
      <c r="AI2" s="87"/>
      <c r="AJ2" s="88"/>
    </row>
    <row r="3" spans="1:36" s="16" customFormat="1" ht="13.5" customHeight="1" x14ac:dyDescent="0.2">
      <c r="A3" s="12" t="s">
        <v>14</v>
      </c>
      <c r="B3" s="13"/>
      <c r="C3" s="14"/>
      <c r="D3" s="14"/>
      <c r="E3" s="15"/>
      <c r="G3" s="17"/>
      <c r="H3" s="17"/>
      <c r="I3" s="17"/>
      <c r="J3" s="17"/>
      <c r="K3" s="17"/>
      <c r="L3" s="17" t="s">
        <v>28</v>
      </c>
      <c r="N3" s="17"/>
      <c r="O3" s="17"/>
      <c r="P3" s="17"/>
      <c r="Q3" s="17"/>
      <c r="R3" s="17"/>
      <c r="S3" s="17"/>
      <c r="T3" s="17"/>
      <c r="U3" s="18"/>
      <c r="W3" s="19"/>
      <c r="X3" s="19"/>
      <c r="Y3" s="19" t="s">
        <v>63</v>
      </c>
      <c r="Z3" s="20">
        <v>6.1600000000000002E-2</v>
      </c>
      <c r="AA3" s="19"/>
      <c r="AB3" s="19"/>
      <c r="AC3" s="21"/>
      <c r="AF3" s="22">
        <v>7.6499999999999999E-2</v>
      </c>
      <c r="AG3" s="23">
        <f>0.3</f>
        <v>0.3</v>
      </c>
      <c r="AH3" s="24" t="s">
        <v>53</v>
      </c>
      <c r="AI3" s="25">
        <v>0.7</v>
      </c>
      <c r="AJ3" s="25">
        <v>0.3</v>
      </c>
    </row>
    <row r="4" spans="1:36" s="16" customFormat="1" ht="13.5" customHeight="1" thickBot="1" x14ac:dyDescent="0.25">
      <c r="A4" s="12"/>
      <c r="B4" s="13"/>
      <c r="C4" s="14"/>
      <c r="D4" s="14"/>
      <c r="E4" s="15"/>
      <c r="G4" s="17"/>
      <c r="H4" s="17"/>
      <c r="I4" s="17"/>
      <c r="J4" s="17"/>
      <c r="K4" s="17"/>
      <c r="L4" s="17"/>
      <c r="N4" s="17"/>
      <c r="O4" s="17"/>
      <c r="P4" s="17"/>
      <c r="Q4" s="17"/>
      <c r="R4" s="17"/>
      <c r="S4" s="17"/>
      <c r="T4" s="97"/>
      <c r="U4" s="18"/>
      <c r="W4" s="26"/>
      <c r="X4" s="26"/>
      <c r="Y4" s="26"/>
      <c r="Z4" s="26"/>
      <c r="AA4" s="26"/>
      <c r="AB4" s="26"/>
      <c r="AC4" s="21"/>
      <c r="AF4" s="22"/>
      <c r="AG4" s="23"/>
      <c r="AH4" s="24" t="s">
        <v>54</v>
      </c>
      <c r="AI4" s="25">
        <f>100/130</f>
        <v>0.76923076923076927</v>
      </c>
      <c r="AJ4" s="25">
        <f>30/130</f>
        <v>0.23076923076923078</v>
      </c>
    </row>
    <row r="5" spans="1:36" s="27" customFormat="1" ht="13.5" customHeight="1" x14ac:dyDescent="0.2">
      <c r="A5" s="74" t="s">
        <v>0</v>
      </c>
      <c r="B5" s="74" t="s">
        <v>1</v>
      </c>
      <c r="C5" s="74" t="s">
        <v>44</v>
      </c>
      <c r="D5" s="74" t="s">
        <v>12</v>
      </c>
      <c r="E5" s="74" t="s">
        <v>45</v>
      </c>
      <c r="G5" s="74" t="s">
        <v>20</v>
      </c>
      <c r="H5" s="74" t="s">
        <v>47</v>
      </c>
      <c r="I5" s="74" t="s">
        <v>18</v>
      </c>
      <c r="J5" s="74" t="s">
        <v>46</v>
      </c>
      <c r="K5" s="74" t="s">
        <v>19</v>
      </c>
      <c r="L5" s="74" t="s">
        <v>48</v>
      </c>
      <c r="N5" s="78" t="s">
        <v>38</v>
      </c>
      <c r="O5" s="79"/>
      <c r="P5" s="78" t="s">
        <v>39</v>
      </c>
      <c r="Q5" s="79"/>
      <c r="R5" s="78" t="s">
        <v>40</v>
      </c>
      <c r="S5" s="79"/>
      <c r="T5" s="82" t="s">
        <v>27</v>
      </c>
      <c r="U5" s="84" t="s">
        <v>8</v>
      </c>
      <c r="W5" s="78" t="s">
        <v>38</v>
      </c>
      <c r="X5" s="79"/>
      <c r="Y5" s="78" t="s">
        <v>39</v>
      </c>
      <c r="Z5" s="79"/>
      <c r="AA5" s="78" t="s">
        <v>40</v>
      </c>
      <c r="AB5" s="79"/>
      <c r="AC5" s="80" t="s">
        <v>58</v>
      </c>
      <c r="AE5" s="74" t="s">
        <v>2</v>
      </c>
      <c r="AF5" s="74" t="s">
        <v>3</v>
      </c>
      <c r="AG5" s="74" t="s">
        <v>4</v>
      </c>
      <c r="AH5" s="76" t="s">
        <v>59</v>
      </c>
      <c r="AI5" s="74" t="s">
        <v>10</v>
      </c>
      <c r="AJ5" s="74" t="s">
        <v>11</v>
      </c>
    </row>
    <row r="6" spans="1:36" s="28" customFormat="1" ht="46.25" customHeight="1" thickBot="1" x14ac:dyDescent="0.25">
      <c r="A6" s="75"/>
      <c r="B6" s="75"/>
      <c r="C6" s="75"/>
      <c r="D6" s="75"/>
      <c r="E6" s="75"/>
      <c r="G6" s="75"/>
      <c r="H6" s="75"/>
      <c r="I6" s="75"/>
      <c r="J6" s="75"/>
      <c r="K6" s="75"/>
      <c r="L6" s="75"/>
      <c r="N6" s="29" t="s">
        <v>6</v>
      </c>
      <c r="O6" s="30" t="s">
        <v>7</v>
      </c>
      <c r="P6" s="29" t="s">
        <v>6</v>
      </c>
      <c r="Q6" s="30" t="s">
        <v>7</v>
      </c>
      <c r="R6" s="29" t="s">
        <v>6</v>
      </c>
      <c r="S6" s="30" t="s">
        <v>7</v>
      </c>
      <c r="T6" s="83"/>
      <c r="U6" s="85"/>
      <c r="W6" s="29" t="s">
        <v>6</v>
      </c>
      <c r="X6" s="30" t="s">
        <v>7</v>
      </c>
      <c r="Y6" s="29" t="s">
        <v>6</v>
      </c>
      <c r="Z6" s="30" t="s">
        <v>7</v>
      </c>
      <c r="AA6" s="29" t="s">
        <v>6</v>
      </c>
      <c r="AB6" s="30" t="s">
        <v>7</v>
      </c>
      <c r="AC6" s="81"/>
      <c r="AE6" s="75"/>
      <c r="AF6" s="75"/>
      <c r="AG6" s="75"/>
      <c r="AH6" s="77"/>
      <c r="AI6" s="75"/>
      <c r="AJ6" s="75"/>
    </row>
    <row r="7" spans="1:36" s="43" customFormat="1" ht="37.5" hidden="1" customHeight="1" x14ac:dyDescent="0.2">
      <c r="A7" s="31" t="s">
        <v>56</v>
      </c>
      <c r="B7" s="32" t="s">
        <v>29</v>
      </c>
      <c r="C7" s="32" t="s">
        <v>42</v>
      </c>
      <c r="D7" s="31"/>
      <c r="E7" s="31" t="s">
        <v>36</v>
      </c>
      <c r="F7" s="33"/>
      <c r="G7" s="34" t="s">
        <v>52</v>
      </c>
      <c r="H7" s="31">
        <v>123456789</v>
      </c>
      <c r="I7" s="35"/>
      <c r="J7" s="36" t="s">
        <v>23</v>
      </c>
      <c r="K7" s="35"/>
      <c r="L7" s="37" t="str">
        <f>IF((K7*0.0375*D7)&gt;I7,"No","Yes")</f>
        <v>Yes</v>
      </c>
      <c r="M7" s="33"/>
      <c r="N7" s="38">
        <v>0</v>
      </c>
      <c r="O7" s="39">
        <v>0</v>
      </c>
      <c r="P7" s="38">
        <v>0</v>
      </c>
      <c r="Q7" s="39">
        <v>0</v>
      </c>
      <c r="R7" s="38"/>
      <c r="S7" s="39"/>
      <c r="T7" s="40">
        <f>SUM(N7:S7)</f>
        <v>0</v>
      </c>
      <c r="U7" s="41" t="s">
        <v>13</v>
      </c>
      <c r="V7" s="42"/>
      <c r="W7" s="64">
        <f>IFERROR(ROUND(INDEX(Rates!$A:$G,MATCH(Form!$C7,Rates!$A:$A,0),2)*$D7*$N7*(1-$Z$3),0),0)</f>
        <v>0</v>
      </c>
      <c r="X7" s="65">
        <f>IFERROR(ROUND(INDEX(Rates!$A:$G,MATCH(Form!$C7,Rates!$A:$A,0),3)*$D7*O7*(1-$Z$3),0),0)</f>
        <v>0</v>
      </c>
      <c r="Y7" s="64">
        <f>IFERROR(ROUND(INDEX(Rates!$A:$G,MATCH(Form!$C7,Rates!$A:$A,0),4)*$D7*$P7*(1-$Z$3),0),0)</f>
        <v>0</v>
      </c>
      <c r="Z7" s="65">
        <f>IFERROR(ROUND(INDEX(Rates!$A:$G,MATCH(Form!$C7,Rates!$A:$A,0),5)*$D7*$Q7*(1-$Z$3),0),0)</f>
        <v>0</v>
      </c>
      <c r="AA7" s="64">
        <f>IFERROR(ROUND(INDEX(Rates!$A:$G,MATCH(Form!$C7,Rates!$A:$A,0),6)*$D7*$R7*(1-$Z$3),0),0)</f>
        <v>0</v>
      </c>
      <c r="AB7" s="65">
        <f>IFERROR(ROUND(INDEX(Rates!$A:$G,MATCH(Form!$C7,Rates!$A:$A,0),7)*$D7*$S7*(1-$Z$3),0),0)</f>
        <v>0</v>
      </c>
      <c r="AC7" s="66">
        <f>SUM(W7:AB7)</f>
        <v>0</v>
      </c>
      <c r="AD7" s="67"/>
      <c r="AE7" s="68">
        <f t="shared" ref="AE7:AE14" si="0">I7</f>
        <v>0</v>
      </c>
      <c r="AF7" s="68">
        <f>AE7*$AF$3</f>
        <v>0</v>
      </c>
      <c r="AG7" s="68">
        <f>$AG$3*SUM(AE7:AF7)</f>
        <v>0</v>
      </c>
      <c r="AH7" s="68">
        <f>AC7-SUM(AE7:AG7)</f>
        <v>0</v>
      </c>
      <c r="AI7" s="68">
        <f>IF(AH7&gt;0,AH7*$AI$3,AH7*$AI$4)</f>
        <v>0</v>
      </c>
      <c r="AJ7" s="68">
        <f>IF(AH7&gt;0,AH7*$AJ$3,AH7*$AJ$4)</f>
        <v>0</v>
      </c>
    </row>
    <row r="8" spans="1:36" s="43" customFormat="1" hidden="1" x14ac:dyDescent="0.2">
      <c r="A8" s="31" t="s">
        <v>56</v>
      </c>
      <c r="B8" s="44" t="s">
        <v>30</v>
      </c>
      <c r="C8" s="32" t="s">
        <v>42</v>
      </c>
      <c r="D8" s="34"/>
      <c r="E8" s="34" t="s">
        <v>16</v>
      </c>
      <c r="F8" s="33"/>
      <c r="G8" s="34" t="s">
        <v>52</v>
      </c>
      <c r="H8" s="34">
        <v>234567890</v>
      </c>
      <c r="I8" s="35"/>
      <c r="J8" s="36" t="s">
        <v>24</v>
      </c>
      <c r="K8" s="35"/>
      <c r="L8" s="37" t="str">
        <f t="shared" ref="L8:L12" si="1">IF((K8*0.0375*D8)&gt;I8,"No","Yes")</f>
        <v>Yes</v>
      </c>
      <c r="M8" s="33"/>
      <c r="N8" s="45">
        <v>0</v>
      </c>
      <c r="O8" s="46">
        <v>0</v>
      </c>
      <c r="P8" s="45">
        <v>0</v>
      </c>
      <c r="Q8" s="46">
        <v>0</v>
      </c>
      <c r="R8" s="38">
        <v>0</v>
      </c>
      <c r="S8" s="39">
        <v>0</v>
      </c>
      <c r="T8" s="40">
        <f t="shared" ref="T8:T14" si="2">SUM(N8:S8)</f>
        <v>0</v>
      </c>
      <c r="U8" s="47" t="s">
        <v>31</v>
      </c>
      <c r="W8" s="64">
        <f>IFERROR(ROUND(INDEX(Rates!$A:$G,MATCH(Form!$C8,Rates!$A:$A,0),2)*$D8*$N8*(1-$Z$3),0),0)</f>
        <v>0</v>
      </c>
      <c r="X8" s="65">
        <f>IFERROR(ROUND(INDEX(Rates!$A:$G,MATCH(Form!$C8,Rates!$A:$A,0),3)*$D8*O8*(1-$Z$3),0),0)</f>
        <v>0</v>
      </c>
      <c r="Y8" s="64">
        <f>IFERROR(ROUND(INDEX(Rates!$A:$G,MATCH(Form!$C8,Rates!$A:$A,0),4)*$D8*$P8*(1-$Z$3),0),0)</f>
        <v>0</v>
      </c>
      <c r="Z8" s="65">
        <f>IFERROR(ROUND(INDEX(Rates!$A:$G,MATCH(Form!$C8,Rates!$A:$A,0),5)*$D8*$Q8*(1-$Z$3),0),0)</f>
        <v>0</v>
      </c>
      <c r="AA8" s="64">
        <f>IFERROR(ROUND(INDEX(Rates!$A:$G,MATCH(Form!$C8,Rates!$A:$A,0),6)*$D8*$R8*(1-$Z$3),0),0)</f>
        <v>0</v>
      </c>
      <c r="AB8" s="65">
        <f>IFERROR(ROUND(INDEX(Rates!$A:$G,MATCH(Form!$C8,Rates!$A:$A,0),7)*$D8*$S8*(1-$Z$3),0),0)</f>
        <v>0</v>
      </c>
      <c r="AC8" s="66">
        <f t="shared" ref="AC8:AC10" si="3">SUM(W8:AB8)</f>
        <v>0</v>
      </c>
      <c r="AD8" s="67"/>
      <c r="AE8" s="69">
        <f t="shared" si="0"/>
        <v>0</v>
      </c>
      <c r="AF8" s="69">
        <f>AE8*$AF$3</f>
        <v>0</v>
      </c>
      <c r="AG8" s="69">
        <f>$AG$3*SUM(AE8:AF8)</f>
        <v>0</v>
      </c>
      <c r="AH8" s="69">
        <f>AC8-SUM(AE8:AG8)</f>
        <v>0</v>
      </c>
      <c r="AI8" s="68">
        <f>IF(AH8&gt;0,AH8*$AI$3,AH8*$AI$4)</f>
        <v>0</v>
      </c>
      <c r="AJ8" s="68">
        <f>IF(AH8&gt;0,AH8*$AJ$3,AH8*$AJ$4)</f>
        <v>0</v>
      </c>
    </row>
    <row r="9" spans="1:36" s="43" customFormat="1" x14ac:dyDescent="0.2">
      <c r="A9" s="31" t="s">
        <v>68</v>
      </c>
      <c r="B9" s="44" t="s">
        <v>64</v>
      </c>
      <c r="C9" s="32" t="s">
        <v>42</v>
      </c>
      <c r="D9" s="34">
        <v>12</v>
      </c>
      <c r="E9" s="34" t="s">
        <v>36</v>
      </c>
      <c r="F9" s="33"/>
      <c r="G9" s="34" t="s">
        <v>66</v>
      </c>
      <c r="H9" s="34">
        <v>345678901</v>
      </c>
      <c r="I9" s="35">
        <v>12375</v>
      </c>
      <c r="J9" s="36" t="s">
        <v>23</v>
      </c>
      <c r="K9" s="35">
        <v>65000</v>
      </c>
      <c r="L9" s="37" t="str">
        <f>IF((K9*0.0375*D9)&gt;I9,"No","Yes")</f>
        <v>No</v>
      </c>
      <c r="M9" s="33"/>
      <c r="N9" s="45">
        <v>0</v>
      </c>
      <c r="O9" s="46">
        <v>0</v>
      </c>
      <c r="P9" s="99">
        <v>12.5</v>
      </c>
      <c r="Q9" s="46">
        <v>0</v>
      </c>
      <c r="R9" s="38">
        <v>0</v>
      </c>
      <c r="S9" s="39">
        <v>0</v>
      </c>
      <c r="T9" s="98">
        <f t="shared" si="2"/>
        <v>12.5</v>
      </c>
      <c r="U9" s="48" t="s">
        <v>67</v>
      </c>
      <c r="V9" s="42"/>
      <c r="W9" s="64">
        <f>IFERROR(ROUND(INDEX(Rates!$A:$G,MATCH(Form!$C9,Rates!$A:$A,0),2)*$D9*$N9*(1-$Z$3),0),0)</f>
        <v>0</v>
      </c>
      <c r="X9" s="65">
        <f>IFERROR(ROUND(INDEX(Rates!$A:$G,MATCH(Form!$C9,Rates!$A:$A,0),3)*$D9*O9*(1-$Z$3),0),0)</f>
        <v>0</v>
      </c>
      <c r="Y9" s="64">
        <f>IFERROR(ROUND(INDEX(Rates!$A:$G,MATCH(Form!$C9,Rates!$A:$A,0),4)*$D9*$P9*(1-$Z$3),0),0)</f>
        <v>63272</v>
      </c>
      <c r="Z9" s="65">
        <f>IFERROR(ROUND(INDEX(Rates!$A:$G,MATCH(Form!$C9,Rates!$A:$A,0),5)*$D9*$Q9*(1-$Z$3),0),0)</f>
        <v>0</v>
      </c>
      <c r="AA9" s="64">
        <f>IFERROR(ROUND(INDEX(Rates!$A:$G,MATCH(Form!$C9,Rates!$A:$A,0),6)*$D9*$R9*(1-$Z$3),0),0)</f>
        <v>0</v>
      </c>
      <c r="AB9" s="65">
        <f>IFERROR(ROUND(INDEX(Rates!$A:$G,MATCH(Form!$C9,Rates!$A:$A,0),7)*$D9*$S9*(1-$Z$3),0),0)</f>
        <v>0</v>
      </c>
      <c r="AC9" s="66">
        <f t="shared" si="3"/>
        <v>63272</v>
      </c>
      <c r="AD9" s="67"/>
      <c r="AE9" s="69">
        <f t="shared" si="0"/>
        <v>12375</v>
      </c>
      <c r="AF9" s="69">
        <f>AE9*$AF$3</f>
        <v>946.6875</v>
      </c>
      <c r="AG9" s="69">
        <f>$AG$3*SUM(AE9:AF9)</f>
        <v>3996.5062499999999</v>
      </c>
      <c r="AH9" s="69">
        <f>AC9-SUM(AE9:AG9)</f>
        <v>45953.806250000001</v>
      </c>
      <c r="AI9" s="73">
        <f>IF(AH9&gt;0,AH9*$AI$3,AH9*$AI$4)</f>
        <v>32167.664375</v>
      </c>
      <c r="AJ9" s="68">
        <f t="shared" ref="AJ9:AJ14" si="4">IF(AH9&gt;0,AH9*$AJ$3,AH9*$AJ$4)</f>
        <v>13786.141874999999</v>
      </c>
    </row>
    <row r="10" spans="1:36" s="43" customFormat="1" ht="16" thickBot="1" x14ac:dyDescent="0.25">
      <c r="A10" s="31" t="s">
        <v>68</v>
      </c>
      <c r="B10" s="44" t="s">
        <v>65</v>
      </c>
      <c r="C10" s="32" t="s">
        <v>43</v>
      </c>
      <c r="D10" s="34">
        <v>12</v>
      </c>
      <c r="E10" s="34" t="s">
        <v>36</v>
      </c>
      <c r="F10" s="33"/>
      <c r="G10" s="34" t="s">
        <v>66</v>
      </c>
      <c r="H10" s="34">
        <v>456789012</v>
      </c>
      <c r="I10" s="35">
        <v>12375</v>
      </c>
      <c r="J10" s="36" t="s">
        <v>23</v>
      </c>
      <c r="K10" s="35">
        <v>65000</v>
      </c>
      <c r="L10" s="37" t="str">
        <f t="shared" si="1"/>
        <v>No</v>
      </c>
      <c r="M10" s="33"/>
      <c r="N10" s="45">
        <v>0</v>
      </c>
      <c r="O10" s="46">
        <v>0</v>
      </c>
      <c r="P10" s="45">
        <v>0</v>
      </c>
      <c r="Q10" s="46">
        <v>0</v>
      </c>
      <c r="R10" s="38">
        <v>0</v>
      </c>
      <c r="S10" s="39">
        <v>0</v>
      </c>
      <c r="T10" s="40">
        <f t="shared" si="2"/>
        <v>0</v>
      </c>
      <c r="U10" s="48" t="s">
        <v>67</v>
      </c>
      <c r="W10" s="64">
        <f>IFERROR(ROUND(INDEX(Rates!$A:$G,MATCH(Form!$C10,Rates!$A:$A,0),2)*$D10*$N10*(1-$Z$3),0),0)</f>
        <v>0</v>
      </c>
      <c r="X10" s="65">
        <f>IFERROR(ROUND(INDEX(Rates!$A:$G,MATCH(Form!$C10,Rates!$A:$A,0),3)*$D10*O10*(1-$Z$3),0),0)</f>
        <v>0</v>
      </c>
      <c r="Y10" s="64">
        <f>IFERROR(ROUND(INDEX(Rates!$A:$G,MATCH(Form!$C10,Rates!$A:$A,0),4)*$D10*$P10*(1-$Z$3),0),0)</f>
        <v>0</v>
      </c>
      <c r="Z10" s="65">
        <f>IFERROR(ROUND(INDEX(Rates!$A:$G,MATCH(Form!$C10,Rates!$A:$A,0),5)*$D10*$Q10*(1-$Z$3),0),0)</f>
        <v>0</v>
      </c>
      <c r="AA10" s="64">
        <f>IFERROR(ROUND(INDEX(Rates!$A:$G,MATCH(Form!$C10,Rates!$A:$A,0),6)*$D10*$R10*(1-$Z$3),0),0)</f>
        <v>0</v>
      </c>
      <c r="AB10" s="65">
        <f>IFERROR(ROUND(INDEX(Rates!$A:$G,MATCH(Form!$C10,Rates!$A:$A,0),7)*$D10*$S10*(1-$Z$3),0),0)</f>
        <v>0</v>
      </c>
      <c r="AC10" s="66">
        <f t="shared" si="3"/>
        <v>0</v>
      </c>
      <c r="AD10" s="67"/>
      <c r="AE10" s="69">
        <f t="shared" si="0"/>
        <v>12375</v>
      </c>
      <c r="AF10" s="69">
        <f t="shared" ref="AF10:AF14" si="5">AE10*$AF$3</f>
        <v>946.6875</v>
      </c>
      <c r="AG10" s="69">
        <f t="shared" ref="AG10:AG14" si="6">$AG$3*SUM(AE10:AF10)</f>
        <v>3996.5062499999999</v>
      </c>
      <c r="AH10" s="69">
        <f t="shared" ref="AH10:AH14" si="7">AC10-SUM(AE10:AG10)</f>
        <v>-17318.193749999999</v>
      </c>
      <c r="AI10" s="73">
        <f t="shared" ref="AI10:AI14" si="8">IF(AH10&gt;0,AH10*$AI$3,AH10*$AI$4)</f>
        <v>-13321.6875</v>
      </c>
      <c r="AJ10" s="68">
        <f t="shared" si="4"/>
        <v>-3996.5062499999999</v>
      </c>
    </row>
    <row r="11" spans="1:36" s="43" customFormat="1" hidden="1" x14ac:dyDescent="0.2">
      <c r="A11" s="34" t="s">
        <v>56</v>
      </c>
      <c r="B11" s="44" t="s">
        <v>61</v>
      </c>
      <c r="C11" s="32" t="s">
        <v>42</v>
      </c>
      <c r="D11" s="34"/>
      <c r="E11" s="34" t="s">
        <v>16</v>
      </c>
      <c r="F11" s="33"/>
      <c r="G11" s="34" t="s">
        <v>52</v>
      </c>
      <c r="H11" s="34">
        <v>12345678</v>
      </c>
      <c r="I11" s="35"/>
      <c r="J11" s="36" t="s">
        <v>23</v>
      </c>
      <c r="K11" s="35"/>
      <c r="L11" s="37" t="str">
        <f t="shared" si="1"/>
        <v>Yes</v>
      </c>
      <c r="M11" s="33"/>
      <c r="N11" s="45">
        <v>0</v>
      </c>
      <c r="O11" s="46">
        <v>0</v>
      </c>
      <c r="P11" s="45"/>
      <c r="Q11" s="46"/>
      <c r="R11" s="38"/>
      <c r="S11" s="39"/>
      <c r="T11" s="40">
        <f t="shared" si="2"/>
        <v>0</v>
      </c>
      <c r="U11" s="48"/>
      <c r="W11" s="64">
        <f>IFERROR(ROUND(INDEX(Rates!$A:$G,MATCH(Form!$C11,Rates!$A:$A,0),2)*$D11*$N11*(1-$Z$3),0),0)</f>
        <v>0</v>
      </c>
      <c r="X11" s="65">
        <f>IFERROR(ROUND(INDEX(Rates!$A:$G,MATCH(Form!$C11,Rates!$A:$A,0),3)*$D11*O11*(1-$Z$3),0),0)</f>
        <v>0</v>
      </c>
      <c r="Y11" s="64">
        <f>IFERROR(ROUND(INDEX(Rates!$A:$G,MATCH(Form!$C11,Rates!$A:$A,0),4)*$D11*$P11*(1-$Z$3),0),0)</f>
        <v>0</v>
      </c>
      <c r="Z11" s="65">
        <f>IFERROR(ROUND(INDEX(Rates!$A:$G,MATCH(Form!$C11,Rates!$A:$A,0),5)*$D11*$Q11*(1-$Z$3),0),0)</f>
        <v>0</v>
      </c>
      <c r="AA11" s="64">
        <f>IFERROR(ROUND(INDEX(Rates!$A:$G,MATCH(Form!$C11,Rates!$A:$A,0),6)*$D11*$R11*(1-$Z$3),0),0)</f>
        <v>0</v>
      </c>
      <c r="AB11" s="65">
        <f>IFERROR(ROUND(INDEX(Rates!$A:$G,MATCH(Form!$C11,Rates!$A:$A,0),7)*$D11*$S11*(1-$Z$3),0),0)</f>
        <v>0</v>
      </c>
      <c r="AC11" s="66">
        <f t="shared" ref="AC11:AC14" si="9">SUM(W11:AB11)</f>
        <v>0</v>
      </c>
      <c r="AD11" s="67"/>
      <c r="AE11" s="69">
        <f t="shared" si="0"/>
        <v>0</v>
      </c>
      <c r="AF11" s="69">
        <f t="shared" si="5"/>
        <v>0</v>
      </c>
      <c r="AG11" s="69">
        <f t="shared" si="6"/>
        <v>0</v>
      </c>
      <c r="AH11" s="69">
        <f t="shared" si="7"/>
        <v>0</v>
      </c>
      <c r="AI11" s="68">
        <f t="shared" si="8"/>
        <v>0</v>
      </c>
      <c r="AJ11" s="68">
        <f t="shared" si="4"/>
        <v>0</v>
      </c>
    </row>
    <row r="12" spans="1:36" s="43" customFormat="1" hidden="1" x14ac:dyDescent="0.2">
      <c r="A12" s="34"/>
      <c r="B12" s="44"/>
      <c r="C12" s="32"/>
      <c r="D12" s="34"/>
      <c r="E12" s="34"/>
      <c r="F12" s="33"/>
      <c r="G12" s="34"/>
      <c r="H12" s="34"/>
      <c r="I12" s="35"/>
      <c r="J12" s="36"/>
      <c r="K12" s="35"/>
      <c r="L12" s="37" t="str">
        <f t="shared" si="1"/>
        <v>Yes</v>
      </c>
      <c r="M12" s="33"/>
      <c r="N12" s="45">
        <v>0</v>
      </c>
      <c r="O12" s="46">
        <v>0</v>
      </c>
      <c r="P12" s="45"/>
      <c r="Q12" s="46"/>
      <c r="R12" s="38"/>
      <c r="S12" s="39"/>
      <c r="T12" s="40">
        <f t="shared" si="2"/>
        <v>0</v>
      </c>
      <c r="U12" s="48"/>
      <c r="W12" s="64">
        <f>IFERROR(ROUND(INDEX(Rates!$A:$G,MATCH(Form!$C12,Rates!$A:$A,0),2)*$D12*$N12*(1-$Z$3),0),0)</f>
        <v>0</v>
      </c>
      <c r="X12" s="65">
        <f>IFERROR(ROUND(INDEX(Rates!$A:$G,MATCH(Form!$C12,Rates!$A:$A,0),3)*$D12*O12*(1-$Z$3),0),0)</f>
        <v>0</v>
      </c>
      <c r="Y12" s="64">
        <f>IFERROR(ROUND(INDEX(Rates!$A:$G,MATCH(Form!$C12,Rates!$A:$A,0),4)*$D12*$P12*(1-$Z$3),0),0)</f>
        <v>0</v>
      </c>
      <c r="Z12" s="65">
        <f>IFERROR(ROUND(INDEX(Rates!$A:$G,MATCH(Form!$C12,Rates!$A:$A,0),5)*$D12*$Q12*(1-$Z$3),0),0)</f>
        <v>0</v>
      </c>
      <c r="AA12" s="64">
        <f>IFERROR(ROUND(INDEX(Rates!$A:$G,MATCH(Form!$C12,Rates!$A:$A,0),6)*$D12*$R12*(1-$Z$3),0),0)</f>
        <v>0</v>
      </c>
      <c r="AB12" s="65">
        <f>IFERROR(ROUND(INDEX(Rates!$A:$G,MATCH(Form!$C12,Rates!$A:$A,0),7)*$D12*$S12*(1-$Z$3),0),0)</f>
        <v>0</v>
      </c>
      <c r="AC12" s="66">
        <f t="shared" si="9"/>
        <v>0</v>
      </c>
      <c r="AD12" s="67"/>
      <c r="AE12" s="69">
        <f t="shared" si="0"/>
        <v>0</v>
      </c>
      <c r="AF12" s="69">
        <f t="shared" si="5"/>
        <v>0</v>
      </c>
      <c r="AG12" s="69">
        <f t="shared" si="6"/>
        <v>0</v>
      </c>
      <c r="AH12" s="69">
        <f t="shared" si="7"/>
        <v>0</v>
      </c>
      <c r="AI12" s="68">
        <f t="shared" si="8"/>
        <v>0</v>
      </c>
      <c r="AJ12" s="68">
        <f t="shared" si="4"/>
        <v>0</v>
      </c>
    </row>
    <row r="13" spans="1:36" s="43" customFormat="1" hidden="1" x14ac:dyDescent="0.2">
      <c r="A13" s="34"/>
      <c r="B13" s="44"/>
      <c r="C13" s="32"/>
      <c r="D13" s="34"/>
      <c r="E13" s="34"/>
      <c r="F13" s="33"/>
      <c r="G13" s="34"/>
      <c r="H13" s="34"/>
      <c r="I13" s="35"/>
      <c r="J13" s="36"/>
      <c r="K13" s="49"/>
      <c r="L13" s="50" t="str">
        <f t="shared" ref="L13:L14" si="10">IF((K13*0.0375*D13)&gt;I13,"No","Yes")</f>
        <v>Yes</v>
      </c>
      <c r="M13" s="33"/>
      <c r="N13" s="45"/>
      <c r="O13" s="46"/>
      <c r="P13" s="45"/>
      <c r="Q13" s="46"/>
      <c r="R13" s="38"/>
      <c r="S13" s="39"/>
      <c r="T13" s="40">
        <f t="shared" si="2"/>
        <v>0</v>
      </c>
      <c r="U13" s="48"/>
      <c r="W13" s="64">
        <f>IFERROR(ROUND(INDEX(Rates!$A:$G,MATCH(Form!$C13,Rates!$A:$A,0),2)*$D13*$N13*(1-$Z$3),0),0)</f>
        <v>0</v>
      </c>
      <c r="X13" s="65">
        <f>IFERROR(ROUND(INDEX(Rates!$A:$G,MATCH(Form!$C13,Rates!$A:$A,0),3)*$D13*O13*(1-$Z$3),0),0)</f>
        <v>0</v>
      </c>
      <c r="Y13" s="64">
        <f>IFERROR(ROUND(INDEX(Rates!$A:$G,MATCH(Form!$C13,Rates!$A:$A,0),4)*$D13*$P13*(1-$Z$3),0),0)</f>
        <v>0</v>
      </c>
      <c r="Z13" s="65">
        <f>IFERROR(ROUND(INDEX(Rates!$A:$G,MATCH(Form!$C13,Rates!$A:$A,0),5)*$D13*$Q13*(1-$Z$3),0),0)</f>
        <v>0</v>
      </c>
      <c r="AA13" s="64">
        <f>IFERROR(ROUND(INDEX(Rates!$A:$G,MATCH(Form!$C13,Rates!$A:$A,0),6)*$D13*$R13*(1-$Z$3),0),0)</f>
        <v>0</v>
      </c>
      <c r="AB13" s="65">
        <f>IFERROR(ROUND(INDEX(Rates!$A:$G,MATCH(Form!$C13,Rates!$A:$A,0),7)*$D13*$S13*(1-$Z$3),0),0)</f>
        <v>0</v>
      </c>
      <c r="AC13" s="66">
        <f t="shared" si="9"/>
        <v>0</v>
      </c>
      <c r="AD13" s="67"/>
      <c r="AE13" s="69">
        <f t="shared" si="0"/>
        <v>0</v>
      </c>
      <c r="AF13" s="69">
        <f t="shared" si="5"/>
        <v>0</v>
      </c>
      <c r="AG13" s="69">
        <f t="shared" si="6"/>
        <v>0</v>
      </c>
      <c r="AH13" s="69">
        <f t="shared" si="7"/>
        <v>0</v>
      </c>
      <c r="AI13" s="68">
        <f t="shared" si="8"/>
        <v>0</v>
      </c>
      <c r="AJ13" s="68">
        <f t="shared" si="4"/>
        <v>0</v>
      </c>
    </row>
    <row r="14" spans="1:36" s="43" customFormat="1" hidden="1" x14ac:dyDescent="0.2">
      <c r="A14" s="34"/>
      <c r="B14" s="44"/>
      <c r="C14" s="32"/>
      <c r="D14" s="34"/>
      <c r="E14" s="34"/>
      <c r="F14" s="33"/>
      <c r="G14" s="34"/>
      <c r="H14" s="34"/>
      <c r="I14" s="35"/>
      <c r="J14" s="36"/>
      <c r="K14" s="49"/>
      <c r="L14" s="50" t="str">
        <f t="shared" si="10"/>
        <v>Yes</v>
      </c>
      <c r="M14" s="33"/>
      <c r="N14" s="51"/>
      <c r="O14" s="52"/>
      <c r="P14" s="51"/>
      <c r="Q14" s="52"/>
      <c r="R14" s="53"/>
      <c r="S14" s="54"/>
      <c r="T14" s="40">
        <f t="shared" si="2"/>
        <v>0</v>
      </c>
      <c r="U14" s="48"/>
      <c r="W14" s="64">
        <f>IFERROR(ROUND(INDEX(Rates!$A:$G,MATCH(Form!$C14,Rates!$A:$A,0),2)*$D14*$N14*(1-$Z$3),0),0)</f>
        <v>0</v>
      </c>
      <c r="X14" s="65">
        <f>IFERROR(ROUND(INDEX(Rates!$A:$G,MATCH(Form!$C14,Rates!$A:$A,0),3)*$D14*O14*(1-$Z$3),0),0)</f>
        <v>0</v>
      </c>
      <c r="Y14" s="64">
        <f>IFERROR(ROUND(INDEX(Rates!$A:$G,MATCH(Form!$C14,Rates!$A:$A,0),4)*$D14*$P14*(1-$Z$3),0),0)</f>
        <v>0</v>
      </c>
      <c r="Z14" s="65">
        <f>IFERROR(ROUND(INDEX(Rates!$A:$G,MATCH(Form!$C14,Rates!$A:$A,0),5)*$D14*$Q14*(1-$Z$3),0),0)</f>
        <v>0</v>
      </c>
      <c r="AA14" s="64">
        <f>IFERROR(ROUND(INDEX(Rates!$A:$G,MATCH(Form!$C14,Rates!$A:$A,0),6)*$D14*$R14*(1-$Z$3),0),0)</f>
        <v>0</v>
      </c>
      <c r="AB14" s="65">
        <f>IFERROR(ROUND(INDEX(Rates!$A:$G,MATCH(Form!$C14,Rates!$A:$A,0),7)*$D14*$S14*(1-$Z$3),0),0)</f>
        <v>0</v>
      </c>
      <c r="AC14" s="66">
        <f t="shared" si="9"/>
        <v>0</v>
      </c>
      <c r="AD14" s="67"/>
      <c r="AE14" s="70">
        <f t="shared" si="0"/>
        <v>0</v>
      </c>
      <c r="AF14" s="70">
        <f t="shared" si="5"/>
        <v>0</v>
      </c>
      <c r="AG14" s="70">
        <f t="shared" si="6"/>
        <v>0</v>
      </c>
      <c r="AH14" s="70">
        <f t="shared" si="7"/>
        <v>0</v>
      </c>
      <c r="AI14" s="68">
        <f t="shared" si="8"/>
        <v>0</v>
      </c>
      <c r="AJ14" s="68">
        <f t="shared" si="4"/>
        <v>0</v>
      </c>
    </row>
    <row r="15" spans="1:36" s="43" customFormat="1" hidden="1" x14ac:dyDescent="0.2">
      <c r="A15" s="34"/>
      <c r="B15" s="44"/>
      <c r="C15" s="32"/>
      <c r="D15" s="34"/>
      <c r="E15" s="34"/>
      <c r="F15" s="33"/>
      <c r="G15" s="34"/>
      <c r="H15" s="34"/>
      <c r="I15" s="35"/>
      <c r="J15" s="36"/>
      <c r="K15" s="49"/>
      <c r="L15" s="50" t="str">
        <f t="shared" ref="L15:L28" si="11">IF((K15*0.0375*D15)&gt;I15,"No","Yes")</f>
        <v>Yes</v>
      </c>
      <c r="M15" s="33"/>
      <c r="N15" s="51"/>
      <c r="O15" s="52"/>
      <c r="P15" s="51"/>
      <c r="Q15" s="52"/>
      <c r="R15" s="51"/>
      <c r="S15" s="52"/>
      <c r="T15" s="40">
        <f t="shared" ref="T15:T28" si="12">SUM(N15:S15)</f>
        <v>0</v>
      </c>
      <c r="U15" s="48"/>
      <c r="W15" s="64">
        <f>IFERROR(ROUND(INDEX(Rates!$A:$G,MATCH(Form!$C15,Rates!$A:$A,0),2)*$D15*$N15*(1-$Z$3),0),0)</f>
        <v>0</v>
      </c>
      <c r="X15" s="65">
        <f>IFERROR(ROUND(INDEX(Rates!$A:$G,MATCH(Form!$C15,Rates!$A:$A,0),3)*$D15*O15*(1-$Z$3),0),0)</f>
        <v>0</v>
      </c>
      <c r="Y15" s="64">
        <f>IFERROR(ROUND(INDEX(Rates!$A:$G,MATCH(Form!$C15,Rates!$A:$A,0),4)*$D15*$P15*(1-$Z$3),0),0)</f>
        <v>0</v>
      </c>
      <c r="Z15" s="65">
        <f>IFERROR(ROUND(INDEX(Rates!$A:$G,MATCH(Form!$C15,Rates!$A:$A,0),5)*$D15*$Q15*(1-$Z$3),0),0)</f>
        <v>0</v>
      </c>
      <c r="AA15" s="64">
        <f>IFERROR(ROUND(INDEX(Rates!$A:$G,MATCH(Form!$C15,Rates!$A:$A,0),6)*$D15*$R15*(1-$Z$3),0),0)</f>
        <v>0</v>
      </c>
      <c r="AB15" s="65">
        <f>IFERROR(ROUND(INDEX(Rates!$A:$G,MATCH(Form!$C15,Rates!$A:$A,0),7)*$D15*$S15*(1-$Z$3),0),0)</f>
        <v>0</v>
      </c>
      <c r="AC15" s="66">
        <f t="shared" ref="AC15:AC28" si="13">SUM(W15:AB15)</f>
        <v>0</v>
      </c>
      <c r="AD15" s="67"/>
      <c r="AE15" s="70">
        <f t="shared" ref="AE15:AE28" si="14">I15</f>
        <v>0</v>
      </c>
      <c r="AF15" s="70">
        <f t="shared" ref="AF15:AF28" si="15">AE15*$AF$3</f>
        <v>0</v>
      </c>
      <c r="AG15" s="70">
        <f t="shared" ref="AG15:AG28" si="16">$AG$3*SUM(AE15:AF15)</f>
        <v>0</v>
      </c>
      <c r="AH15" s="70">
        <f t="shared" ref="AH15:AH28" si="17">AC15-SUM(AE15:AG15)</f>
        <v>0</v>
      </c>
      <c r="AI15" s="68">
        <f t="shared" ref="AI15:AI28" si="18">IF(AH15&gt;0,AH15*$AI$3,AH15*$AI$4)</f>
        <v>0</v>
      </c>
      <c r="AJ15" s="68">
        <f t="shared" ref="AJ15:AJ28" si="19">IF(AH15&gt;0,AH15*$AJ$3,AH15*$AJ$4)</f>
        <v>0</v>
      </c>
    </row>
    <row r="16" spans="1:36" s="43" customFormat="1" hidden="1" x14ac:dyDescent="0.2">
      <c r="A16" s="34"/>
      <c r="B16" s="44"/>
      <c r="C16" s="32"/>
      <c r="D16" s="34"/>
      <c r="E16" s="34"/>
      <c r="F16" s="33"/>
      <c r="G16" s="34"/>
      <c r="H16" s="34"/>
      <c r="I16" s="35"/>
      <c r="J16" s="36"/>
      <c r="K16" s="49"/>
      <c r="L16" s="50" t="str">
        <f t="shared" si="11"/>
        <v>Yes</v>
      </c>
      <c r="M16" s="33"/>
      <c r="N16" s="45"/>
      <c r="O16" s="46"/>
      <c r="P16" s="45"/>
      <c r="Q16" s="46"/>
      <c r="R16" s="45"/>
      <c r="S16" s="46"/>
      <c r="T16" s="40">
        <f t="shared" si="12"/>
        <v>0</v>
      </c>
      <c r="U16" s="48"/>
      <c r="W16" s="64">
        <f>IFERROR(ROUND(INDEX(Rates!$A:$G,MATCH(Form!$C16,Rates!$A:$A,0),2)*$D16*$N16*(1-$Z$3),0),0)</f>
        <v>0</v>
      </c>
      <c r="X16" s="65">
        <f>IFERROR(ROUND(INDEX(Rates!$A:$G,MATCH(Form!$C16,Rates!$A:$A,0),3)*$D16*O16*(1-$Z$3),0),0)</f>
        <v>0</v>
      </c>
      <c r="Y16" s="64">
        <f>IFERROR(ROUND(INDEX(Rates!$A:$G,MATCH(Form!$C16,Rates!$A:$A,0),4)*$D16*$P16*(1-$Z$3),0),0)</f>
        <v>0</v>
      </c>
      <c r="Z16" s="65">
        <f>IFERROR(ROUND(INDEX(Rates!$A:$G,MATCH(Form!$C16,Rates!$A:$A,0),5)*$D16*$Q16*(1-$Z$3),0),0)</f>
        <v>0</v>
      </c>
      <c r="AA16" s="64">
        <f>IFERROR(ROUND(INDEX(Rates!$A:$G,MATCH(Form!$C16,Rates!$A:$A,0),6)*$D16*$R16*(1-$Z$3),0),0)</f>
        <v>0</v>
      </c>
      <c r="AB16" s="65">
        <f>IFERROR(ROUND(INDEX(Rates!$A:$G,MATCH(Form!$C16,Rates!$A:$A,0),7)*$D16*$S16*(1-$Z$3),0),0)</f>
        <v>0</v>
      </c>
      <c r="AC16" s="66">
        <f t="shared" si="13"/>
        <v>0</v>
      </c>
      <c r="AD16" s="67"/>
      <c r="AE16" s="70">
        <f t="shared" si="14"/>
        <v>0</v>
      </c>
      <c r="AF16" s="70">
        <f t="shared" si="15"/>
        <v>0</v>
      </c>
      <c r="AG16" s="70">
        <f t="shared" si="16"/>
        <v>0</v>
      </c>
      <c r="AH16" s="70">
        <f t="shared" si="17"/>
        <v>0</v>
      </c>
      <c r="AI16" s="68">
        <f t="shared" si="18"/>
        <v>0</v>
      </c>
      <c r="AJ16" s="68">
        <f t="shared" si="19"/>
        <v>0</v>
      </c>
    </row>
    <row r="17" spans="1:36" s="43" customFormat="1" hidden="1" x14ac:dyDescent="0.2">
      <c r="A17" s="34"/>
      <c r="B17" s="44"/>
      <c r="C17" s="32"/>
      <c r="D17" s="34"/>
      <c r="E17" s="34"/>
      <c r="F17" s="33"/>
      <c r="G17" s="34"/>
      <c r="H17" s="34"/>
      <c r="I17" s="35"/>
      <c r="J17" s="36"/>
      <c r="K17" s="49"/>
      <c r="L17" s="50" t="str">
        <f t="shared" si="11"/>
        <v>Yes</v>
      </c>
      <c r="M17" s="33"/>
      <c r="N17" s="45"/>
      <c r="O17" s="46"/>
      <c r="P17" s="45"/>
      <c r="Q17" s="46"/>
      <c r="R17" s="45"/>
      <c r="S17" s="46"/>
      <c r="T17" s="40">
        <f t="shared" si="12"/>
        <v>0</v>
      </c>
      <c r="U17" s="48"/>
      <c r="W17" s="64">
        <f>IFERROR(ROUND(INDEX(Rates!$A:$G,MATCH(Form!$C17,Rates!$A:$A,0),2)*$D17*$N17*(1-$Z$3),0),0)</f>
        <v>0</v>
      </c>
      <c r="X17" s="65">
        <f>IFERROR(ROUND(INDEX(Rates!$A:$G,MATCH(Form!$C17,Rates!$A:$A,0),3)*$D17*O17*(1-$Z$3),0),0)</f>
        <v>0</v>
      </c>
      <c r="Y17" s="64">
        <f>IFERROR(ROUND(INDEX(Rates!$A:$G,MATCH(Form!$C17,Rates!$A:$A,0),4)*$D17*$P17*(1-$Z$3),0),0)</f>
        <v>0</v>
      </c>
      <c r="Z17" s="65">
        <f>IFERROR(ROUND(INDEX(Rates!$A:$G,MATCH(Form!$C17,Rates!$A:$A,0),5)*$D17*$Q17*(1-$Z$3),0),0)</f>
        <v>0</v>
      </c>
      <c r="AA17" s="64">
        <f>IFERROR(ROUND(INDEX(Rates!$A:$G,MATCH(Form!$C17,Rates!$A:$A,0),6)*$D17*$R17*(1-$Z$3),0),0)</f>
        <v>0</v>
      </c>
      <c r="AB17" s="65">
        <f>IFERROR(ROUND(INDEX(Rates!$A:$G,MATCH(Form!$C17,Rates!$A:$A,0),7)*$D17*$S17*(1-$Z$3),0),0)</f>
        <v>0</v>
      </c>
      <c r="AC17" s="66">
        <f t="shared" si="13"/>
        <v>0</v>
      </c>
      <c r="AD17" s="67"/>
      <c r="AE17" s="70">
        <f t="shared" si="14"/>
        <v>0</v>
      </c>
      <c r="AF17" s="70">
        <f t="shared" si="15"/>
        <v>0</v>
      </c>
      <c r="AG17" s="70">
        <f t="shared" si="16"/>
        <v>0</v>
      </c>
      <c r="AH17" s="70">
        <f t="shared" si="17"/>
        <v>0</v>
      </c>
      <c r="AI17" s="68">
        <f t="shared" si="18"/>
        <v>0</v>
      </c>
      <c r="AJ17" s="68">
        <f t="shared" si="19"/>
        <v>0</v>
      </c>
    </row>
    <row r="18" spans="1:36" s="43" customFormat="1" hidden="1" x14ac:dyDescent="0.2">
      <c r="A18" s="34"/>
      <c r="B18" s="44"/>
      <c r="C18" s="32"/>
      <c r="D18" s="34"/>
      <c r="E18" s="34"/>
      <c r="F18" s="33"/>
      <c r="G18" s="34"/>
      <c r="H18" s="34"/>
      <c r="I18" s="35"/>
      <c r="J18" s="36"/>
      <c r="K18" s="49"/>
      <c r="L18" s="50" t="str">
        <f t="shared" si="11"/>
        <v>Yes</v>
      </c>
      <c r="M18" s="33"/>
      <c r="N18" s="45"/>
      <c r="O18" s="46"/>
      <c r="P18" s="45"/>
      <c r="Q18" s="46"/>
      <c r="R18" s="45"/>
      <c r="S18" s="46"/>
      <c r="T18" s="40">
        <f t="shared" si="12"/>
        <v>0</v>
      </c>
      <c r="U18" s="48"/>
      <c r="W18" s="64">
        <f>IFERROR(ROUND(INDEX(Rates!$A:$G,MATCH(Form!$C18,Rates!$A:$A,0),2)*$D18*$N18*(1-$Z$3),0),0)</f>
        <v>0</v>
      </c>
      <c r="X18" s="65">
        <f>IFERROR(ROUND(INDEX(Rates!$A:$G,MATCH(Form!$C18,Rates!$A:$A,0),3)*$D18*O18*(1-$Z$3),0),0)</f>
        <v>0</v>
      </c>
      <c r="Y18" s="64">
        <f>IFERROR(ROUND(INDEX(Rates!$A:$G,MATCH(Form!$C18,Rates!$A:$A,0),4)*$D18*$P18*(1-$Z$3),0),0)</f>
        <v>0</v>
      </c>
      <c r="Z18" s="65">
        <f>IFERROR(ROUND(INDEX(Rates!$A:$G,MATCH(Form!$C18,Rates!$A:$A,0),5)*$D18*$Q18*(1-$Z$3),0),0)</f>
        <v>0</v>
      </c>
      <c r="AA18" s="64">
        <f>IFERROR(ROUND(INDEX(Rates!$A:$G,MATCH(Form!$C18,Rates!$A:$A,0),6)*$D18*$R18*(1-$Z$3),0),0)</f>
        <v>0</v>
      </c>
      <c r="AB18" s="65">
        <f>IFERROR(ROUND(INDEX(Rates!$A:$G,MATCH(Form!$C18,Rates!$A:$A,0),7)*$D18*$S18*(1-$Z$3),0),0)</f>
        <v>0</v>
      </c>
      <c r="AC18" s="66">
        <f t="shared" si="13"/>
        <v>0</v>
      </c>
      <c r="AD18" s="67"/>
      <c r="AE18" s="70">
        <f t="shared" si="14"/>
        <v>0</v>
      </c>
      <c r="AF18" s="70">
        <f t="shared" si="15"/>
        <v>0</v>
      </c>
      <c r="AG18" s="70">
        <f t="shared" si="16"/>
        <v>0</v>
      </c>
      <c r="AH18" s="70">
        <f t="shared" si="17"/>
        <v>0</v>
      </c>
      <c r="AI18" s="68">
        <f t="shared" si="18"/>
        <v>0</v>
      </c>
      <c r="AJ18" s="68">
        <f t="shared" si="19"/>
        <v>0</v>
      </c>
    </row>
    <row r="19" spans="1:36" s="43" customFormat="1" hidden="1" x14ac:dyDescent="0.2">
      <c r="A19" s="34"/>
      <c r="B19" s="44"/>
      <c r="C19" s="32"/>
      <c r="D19" s="34"/>
      <c r="E19" s="34"/>
      <c r="F19" s="33"/>
      <c r="G19" s="34"/>
      <c r="H19" s="34"/>
      <c r="I19" s="35"/>
      <c r="J19" s="36"/>
      <c r="K19" s="49"/>
      <c r="L19" s="50" t="str">
        <f t="shared" si="11"/>
        <v>Yes</v>
      </c>
      <c r="M19" s="33"/>
      <c r="N19" s="45"/>
      <c r="O19" s="46"/>
      <c r="P19" s="45"/>
      <c r="Q19" s="46"/>
      <c r="R19" s="45"/>
      <c r="S19" s="46"/>
      <c r="T19" s="40">
        <f t="shared" si="12"/>
        <v>0</v>
      </c>
      <c r="U19" s="48"/>
      <c r="W19" s="64">
        <f>IFERROR(ROUND(INDEX(Rates!$A:$G,MATCH(Form!$C19,Rates!$A:$A,0),2)*$D19*$N19*(1-$Z$3),0),0)</f>
        <v>0</v>
      </c>
      <c r="X19" s="65">
        <f>IFERROR(ROUND(INDEX(Rates!$A:$G,MATCH(Form!$C19,Rates!$A:$A,0),3)*$D19*O19*(1-$Z$3),0),0)</f>
        <v>0</v>
      </c>
      <c r="Y19" s="64">
        <f>IFERROR(ROUND(INDEX(Rates!$A:$G,MATCH(Form!$C19,Rates!$A:$A,0),4)*$D19*$P19*(1-$Z$3),0),0)</f>
        <v>0</v>
      </c>
      <c r="Z19" s="65">
        <f>IFERROR(ROUND(INDEX(Rates!$A:$G,MATCH(Form!$C19,Rates!$A:$A,0),5)*$D19*$Q19*(1-$Z$3),0),0)</f>
        <v>0</v>
      </c>
      <c r="AA19" s="64">
        <f>IFERROR(ROUND(INDEX(Rates!$A:$G,MATCH(Form!$C19,Rates!$A:$A,0),6)*$D19*$R19*(1-$Z$3),0),0)</f>
        <v>0</v>
      </c>
      <c r="AB19" s="65">
        <f>IFERROR(ROUND(INDEX(Rates!$A:$G,MATCH(Form!$C19,Rates!$A:$A,0),7)*$D19*$S19*(1-$Z$3),0),0)</f>
        <v>0</v>
      </c>
      <c r="AC19" s="66">
        <f t="shared" si="13"/>
        <v>0</v>
      </c>
      <c r="AD19" s="67"/>
      <c r="AE19" s="70">
        <f t="shared" si="14"/>
        <v>0</v>
      </c>
      <c r="AF19" s="70">
        <f t="shared" si="15"/>
        <v>0</v>
      </c>
      <c r="AG19" s="70">
        <f t="shared" si="16"/>
        <v>0</v>
      </c>
      <c r="AH19" s="70">
        <f t="shared" si="17"/>
        <v>0</v>
      </c>
      <c r="AI19" s="68">
        <f t="shared" si="18"/>
        <v>0</v>
      </c>
      <c r="AJ19" s="68">
        <f t="shared" si="19"/>
        <v>0</v>
      </c>
    </row>
    <row r="20" spans="1:36" s="43" customFormat="1" hidden="1" x14ac:dyDescent="0.2">
      <c r="A20" s="34"/>
      <c r="B20" s="44"/>
      <c r="C20" s="32"/>
      <c r="D20" s="34"/>
      <c r="E20" s="34"/>
      <c r="F20" s="33"/>
      <c r="G20" s="34"/>
      <c r="H20" s="34"/>
      <c r="I20" s="35"/>
      <c r="J20" s="36"/>
      <c r="K20" s="49"/>
      <c r="L20" s="50" t="str">
        <f t="shared" si="11"/>
        <v>Yes</v>
      </c>
      <c r="M20" s="33"/>
      <c r="N20" s="45"/>
      <c r="O20" s="46"/>
      <c r="P20" s="45"/>
      <c r="Q20" s="46"/>
      <c r="R20" s="45"/>
      <c r="S20" s="46"/>
      <c r="T20" s="40">
        <f t="shared" si="12"/>
        <v>0</v>
      </c>
      <c r="U20" s="48"/>
      <c r="W20" s="64">
        <f>IFERROR(ROUND(INDEX(Rates!$A:$G,MATCH(Form!$C20,Rates!$A:$A,0),2)*$D20*$N20*(1-$Z$3),0),0)</f>
        <v>0</v>
      </c>
      <c r="X20" s="65">
        <f>IFERROR(ROUND(INDEX(Rates!$A:$G,MATCH(Form!$C20,Rates!$A:$A,0),3)*$D20*O20*(1-$Z$3),0),0)</f>
        <v>0</v>
      </c>
      <c r="Y20" s="64">
        <f>IFERROR(ROUND(INDEX(Rates!$A:$G,MATCH(Form!$C20,Rates!$A:$A,0),4)*$D20*$P20*(1-$Z$3),0),0)</f>
        <v>0</v>
      </c>
      <c r="Z20" s="65">
        <f>IFERROR(ROUND(INDEX(Rates!$A:$G,MATCH(Form!$C20,Rates!$A:$A,0),5)*$D20*$Q20*(1-$Z$3),0),0)</f>
        <v>0</v>
      </c>
      <c r="AA20" s="64">
        <f>IFERROR(ROUND(INDEX(Rates!$A:$G,MATCH(Form!$C20,Rates!$A:$A,0),6)*$D20*$R20*(1-$Z$3),0),0)</f>
        <v>0</v>
      </c>
      <c r="AB20" s="65">
        <f>IFERROR(ROUND(INDEX(Rates!$A:$G,MATCH(Form!$C20,Rates!$A:$A,0),7)*$D20*$S20*(1-$Z$3),0),0)</f>
        <v>0</v>
      </c>
      <c r="AC20" s="66">
        <f t="shared" si="13"/>
        <v>0</v>
      </c>
      <c r="AD20" s="67"/>
      <c r="AE20" s="70">
        <f t="shared" si="14"/>
        <v>0</v>
      </c>
      <c r="AF20" s="70">
        <f t="shared" si="15"/>
        <v>0</v>
      </c>
      <c r="AG20" s="70">
        <f t="shared" si="16"/>
        <v>0</v>
      </c>
      <c r="AH20" s="70">
        <f t="shared" si="17"/>
        <v>0</v>
      </c>
      <c r="AI20" s="68">
        <f t="shared" si="18"/>
        <v>0</v>
      </c>
      <c r="AJ20" s="68">
        <f t="shared" si="19"/>
        <v>0</v>
      </c>
    </row>
    <row r="21" spans="1:36" s="43" customFormat="1" hidden="1" x14ac:dyDescent="0.2">
      <c r="A21" s="34"/>
      <c r="B21" s="44"/>
      <c r="C21" s="32"/>
      <c r="D21" s="34"/>
      <c r="E21" s="34"/>
      <c r="F21" s="33"/>
      <c r="G21" s="34"/>
      <c r="H21" s="34"/>
      <c r="I21" s="35"/>
      <c r="J21" s="36"/>
      <c r="K21" s="49"/>
      <c r="L21" s="50" t="str">
        <f t="shared" si="11"/>
        <v>Yes</v>
      </c>
      <c r="M21" s="33"/>
      <c r="N21" s="45"/>
      <c r="O21" s="46"/>
      <c r="P21" s="45"/>
      <c r="Q21" s="46"/>
      <c r="R21" s="45"/>
      <c r="S21" s="46"/>
      <c r="T21" s="40">
        <f t="shared" si="12"/>
        <v>0</v>
      </c>
      <c r="U21" s="48"/>
      <c r="W21" s="64">
        <f>IFERROR(ROUND(INDEX(Rates!$A:$G,MATCH(Form!$C21,Rates!$A:$A,0),2)*$D21*$N21*(1-$Z$3),0),0)</f>
        <v>0</v>
      </c>
      <c r="X21" s="65">
        <f>IFERROR(ROUND(INDEX(Rates!$A:$G,MATCH(Form!$C21,Rates!$A:$A,0),3)*$D21*O21*(1-$Z$3),0),0)</f>
        <v>0</v>
      </c>
      <c r="Y21" s="64">
        <f>IFERROR(ROUND(INDEX(Rates!$A:$G,MATCH(Form!$C21,Rates!$A:$A,0),4)*$D21*$P21*(1-$Z$3),0),0)</f>
        <v>0</v>
      </c>
      <c r="Z21" s="65">
        <f>IFERROR(ROUND(INDEX(Rates!$A:$G,MATCH(Form!$C21,Rates!$A:$A,0),5)*$D21*$Q21*(1-$Z$3),0),0)</f>
        <v>0</v>
      </c>
      <c r="AA21" s="64">
        <f>IFERROR(ROUND(INDEX(Rates!$A:$G,MATCH(Form!$C21,Rates!$A:$A,0),6)*$D21*$R21*(1-$Z$3),0),0)</f>
        <v>0</v>
      </c>
      <c r="AB21" s="65">
        <f>IFERROR(ROUND(INDEX(Rates!$A:$G,MATCH(Form!$C21,Rates!$A:$A,0),7)*$D21*$S21*(1-$Z$3),0),0)</f>
        <v>0</v>
      </c>
      <c r="AC21" s="66">
        <f t="shared" si="13"/>
        <v>0</v>
      </c>
      <c r="AD21" s="67"/>
      <c r="AE21" s="70">
        <f t="shared" si="14"/>
        <v>0</v>
      </c>
      <c r="AF21" s="70">
        <f t="shared" si="15"/>
        <v>0</v>
      </c>
      <c r="AG21" s="70">
        <f t="shared" si="16"/>
        <v>0</v>
      </c>
      <c r="AH21" s="70">
        <f t="shared" si="17"/>
        <v>0</v>
      </c>
      <c r="AI21" s="68">
        <f t="shared" si="18"/>
        <v>0</v>
      </c>
      <c r="AJ21" s="68">
        <f t="shared" si="19"/>
        <v>0</v>
      </c>
    </row>
    <row r="22" spans="1:36" s="43" customFormat="1" hidden="1" x14ac:dyDescent="0.2">
      <c r="A22" s="34"/>
      <c r="B22" s="44"/>
      <c r="C22" s="32"/>
      <c r="D22" s="34"/>
      <c r="E22" s="34"/>
      <c r="F22" s="33"/>
      <c r="G22" s="34"/>
      <c r="H22" s="34"/>
      <c r="I22" s="35"/>
      <c r="J22" s="36"/>
      <c r="K22" s="49"/>
      <c r="L22" s="50" t="str">
        <f t="shared" si="11"/>
        <v>Yes</v>
      </c>
      <c r="M22" s="33"/>
      <c r="N22" s="45"/>
      <c r="O22" s="46"/>
      <c r="P22" s="45"/>
      <c r="Q22" s="46"/>
      <c r="R22" s="45"/>
      <c r="S22" s="46"/>
      <c r="T22" s="40">
        <f t="shared" si="12"/>
        <v>0</v>
      </c>
      <c r="U22" s="48"/>
      <c r="W22" s="64">
        <f>IFERROR(ROUND(INDEX(Rates!$A:$G,MATCH(Form!$C22,Rates!$A:$A,0),2)*$D22*$N22*(1-$Z$3),0),0)</f>
        <v>0</v>
      </c>
      <c r="X22" s="65">
        <f>IFERROR(ROUND(INDEX(Rates!$A:$G,MATCH(Form!$C22,Rates!$A:$A,0),3)*$D22*O22*(1-$Z$3),0),0)</f>
        <v>0</v>
      </c>
      <c r="Y22" s="64">
        <f>IFERROR(ROUND(INDEX(Rates!$A:$G,MATCH(Form!$C22,Rates!$A:$A,0),4)*$D22*$P22*(1-$Z$3),0),0)</f>
        <v>0</v>
      </c>
      <c r="Z22" s="65">
        <f>IFERROR(ROUND(INDEX(Rates!$A:$G,MATCH(Form!$C22,Rates!$A:$A,0),5)*$D22*$Q22*(1-$Z$3),0),0)</f>
        <v>0</v>
      </c>
      <c r="AA22" s="64">
        <f>IFERROR(ROUND(INDEX(Rates!$A:$G,MATCH(Form!$C22,Rates!$A:$A,0),6)*$D22*$R22*(1-$Z$3),0),0)</f>
        <v>0</v>
      </c>
      <c r="AB22" s="65">
        <f>IFERROR(ROUND(INDEX(Rates!$A:$G,MATCH(Form!$C22,Rates!$A:$A,0),7)*$D22*$S22*(1-$Z$3),0),0)</f>
        <v>0</v>
      </c>
      <c r="AC22" s="66">
        <f t="shared" si="13"/>
        <v>0</v>
      </c>
      <c r="AD22" s="67"/>
      <c r="AE22" s="70">
        <f t="shared" si="14"/>
        <v>0</v>
      </c>
      <c r="AF22" s="70">
        <f t="shared" si="15"/>
        <v>0</v>
      </c>
      <c r="AG22" s="70">
        <f t="shared" si="16"/>
        <v>0</v>
      </c>
      <c r="AH22" s="70">
        <f t="shared" si="17"/>
        <v>0</v>
      </c>
      <c r="AI22" s="68">
        <f t="shared" si="18"/>
        <v>0</v>
      </c>
      <c r="AJ22" s="68">
        <f t="shared" si="19"/>
        <v>0</v>
      </c>
    </row>
    <row r="23" spans="1:36" s="43" customFormat="1" hidden="1" x14ac:dyDescent="0.2">
      <c r="A23" s="34"/>
      <c r="B23" s="44"/>
      <c r="C23" s="32"/>
      <c r="D23" s="34"/>
      <c r="E23" s="34"/>
      <c r="F23" s="33"/>
      <c r="G23" s="34"/>
      <c r="H23" s="34"/>
      <c r="I23" s="35"/>
      <c r="J23" s="36"/>
      <c r="K23" s="49"/>
      <c r="L23" s="50" t="str">
        <f t="shared" si="11"/>
        <v>Yes</v>
      </c>
      <c r="M23" s="33"/>
      <c r="N23" s="45"/>
      <c r="O23" s="46"/>
      <c r="P23" s="45"/>
      <c r="Q23" s="46"/>
      <c r="R23" s="45"/>
      <c r="S23" s="46"/>
      <c r="T23" s="40">
        <f t="shared" si="12"/>
        <v>0</v>
      </c>
      <c r="U23" s="48"/>
      <c r="W23" s="64">
        <f>IFERROR(ROUND(INDEX(Rates!$A:$G,MATCH(Form!$C23,Rates!$A:$A,0),2)*$D23*$N23*(1-$Z$3),0),0)</f>
        <v>0</v>
      </c>
      <c r="X23" s="65">
        <f>IFERROR(ROUND(INDEX(Rates!$A:$G,MATCH(Form!$C23,Rates!$A:$A,0),3)*$D23*O23*(1-$Z$3),0),0)</f>
        <v>0</v>
      </c>
      <c r="Y23" s="64">
        <f>IFERROR(ROUND(INDEX(Rates!$A:$G,MATCH(Form!$C23,Rates!$A:$A,0),4)*$D23*$P23*(1-$Z$3),0),0)</f>
        <v>0</v>
      </c>
      <c r="Z23" s="65">
        <f>IFERROR(ROUND(INDEX(Rates!$A:$G,MATCH(Form!$C23,Rates!$A:$A,0),5)*$D23*$Q23*(1-$Z$3),0),0)</f>
        <v>0</v>
      </c>
      <c r="AA23" s="64">
        <f>IFERROR(ROUND(INDEX(Rates!$A:$G,MATCH(Form!$C23,Rates!$A:$A,0),6)*$D23*$R23*(1-$Z$3),0),0)</f>
        <v>0</v>
      </c>
      <c r="AB23" s="65">
        <f>IFERROR(ROUND(INDEX(Rates!$A:$G,MATCH(Form!$C23,Rates!$A:$A,0),7)*$D23*$S23*(1-$Z$3),0),0)</f>
        <v>0</v>
      </c>
      <c r="AC23" s="66">
        <f t="shared" si="13"/>
        <v>0</v>
      </c>
      <c r="AD23" s="67"/>
      <c r="AE23" s="70">
        <f t="shared" si="14"/>
        <v>0</v>
      </c>
      <c r="AF23" s="70">
        <f t="shared" si="15"/>
        <v>0</v>
      </c>
      <c r="AG23" s="70">
        <f t="shared" si="16"/>
        <v>0</v>
      </c>
      <c r="AH23" s="70">
        <f t="shared" si="17"/>
        <v>0</v>
      </c>
      <c r="AI23" s="68">
        <f t="shared" si="18"/>
        <v>0</v>
      </c>
      <c r="AJ23" s="68">
        <f t="shared" si="19"/>
        <v>0</v>
      </c>
    </row>
    <row r="24" spans="1:36" s="43" customFormat="1" hidden="1" x14ac:dyDescent="0.2">
      <c r="A24" s="34"/>
      <c r="B24" s="44"/>
      <c r="C24" s="32"/>
      <c r="D24" s="34"/>
      <c r="E24" s="34"/>
      <c r="F24" s="33"/>
      <c r="G24" s="34"/>
      <c r="H24" s="34"/>
      <c r="I24" s="35"/>
      <c r="J24" s="36"/>
      <c r="K24" s="49"/>
      <c r="L24" s="50" t="str">
        <f t="shared" si="11"/>
        <v>Yes</v>
      </c>
      <c r="M24" s="33"/>
      <c r="N24" s="45"/>
      <c r="O24" s="46"/>
      <c r="P24" s="45"/>
      <c r="Q24" s="46"/>
      <c r="R24" s="45"/>
      <c r="S24" s="46"/>
      <c r="T24" s="40">
        <f t="shared" si="12"/>
        <v>0</v>
      </c>
      <c r="U24" s="48"/>
      <c r="W24" s="64">
        <f>IFERROR(ROUND(INDEX(Rates!$A:$G,MATCH(Form!$C24,Rates!$A:$A,0),2)*$D24*$N24*(1-$Z$3),0),0)</f>
        <v>0</v>
      </c>
      <c r="X24" s="65">
        <f>IFERROR(ROUND(INDEX(Rates!$A:$G,MATCH(Form!$C24,Rates!$A:$A,0),3)*$D24*O24*(1-$Z$3),0),0)</f>
        <v>0</v>
      </c>
      <c r="Y24" s="64">
        <f>IFERROR(ROUND(INDEX(Rates!$A:$G,MATCH(Form!$C24,Rates!$A:$A,0),4)*$D24*$P24*(1-$Z$3),0),0)</f>
        <v>0</v>
      </c>
      <c r="Z24" s="65">
        <f>IFERROR(ROUND(INDEX(Rates!$A:$G,MATCH(Form!$C24,Rates!$A:$A,0),5)*$D24*$Q24*(1-$Z$3),0),0)</f>
        <v>0</v>
      </c>
      <c r="AA24" s="64">
        <f>IFERROR(ROUND(INDEX(Rates!$A:$G,MATCH(Form!$C24,Rates!$A:$A,0),6)*$D24*$R24*(1-$Z$3),0),0)</f>
        <v>0</v>
      </c>
      <c r="AB24" s="65">
        <f>IFERROR(ROUND(INDEX(Rates!$A:$G,MATCH(Form!$C24,Rates!$A:$A,0),7)*$D24*$S24*(1-$Z$3),0),0)</f>
        <v>0</v>
      </c>
      <c r="AC24" s="66">
        <f t="shared" si="13"/>
        <v>0</v>
      </c>
      <c r="AD24" s="67"/>
      <c r="AE24" s="70">
        <f t="shared" si="14"/>
        <v>0</v>
      </c>
      <c r="AF24" s="70">
        <f t="shared" si="15"/>
        <v>0</v>
      </c>
      <c r="AG24" s="70">
        <f t="shared" si="16"/>
        <v>0</v>
      </c>
      <c r="AH24" s="70">
        <f t="shared" si="17"/>
        <v>0</v>
      </c>
      <c r="AI24" s="68">
        <f t="shared" si="18"/>
        <v>0</v>
      </c>
      <c r="AJ24" s="68">
        <f t="shared" si="19"/>
        <v>0</v>
      </c>
    </row>
    <row r="25" spans="1:36" s="43" customFormat="1" hidden="1" x14ac:dyDescent="0.2">
      <c r="A25" s="34"/>
      <c r="B25" s="44"/>
      <c r="C25" s="32"/>
      <c r="D25" s="34"/>
      <c r="E25" s="34"/>
      <c r="F25" s="33"/>
      <c r="G25" s="34"/>
      <c r="H25" s="34"/>
      <c r="I25" s="35"/>
      <c r="J25" s="36"/>
      <c r="K25" s="49"/>
      <c r="L25" s="50" t="str">
        <f t="shared" si="11"/>
        <v>Yes</v>
      </c>
      <c r="M25" s="33"/>
      <c r="N25" s="45"/>
      <c r="O25" s="46"/>
      <c r="P25" s="45"/>
      <c r="Q25" s="46"/>
      <c r="R25" s="45"/>
      <c r="S25" s="46"/>
      <c r="T25" s="40">
        <f t="shared" si="12"/>
        <v>0</v>
      </c>
      <c r="U25" s="48"/>
      <c r="W25" s="64">
        <f>IFERROR(ROUND(INDEX(Rates!$A:$G,MATCH(Form!$C25,Rates!$A:$A,0),2)*$D25*$N25*(1-$Z$3),0),0)</f>
        <v>0</v>
      </c>
      <c r="X25" s="65">
        <f>IFERROR(ROUND(INDEX(Rates!$A:$G,MATCH(Form!$C25,Rates!$A:$A,0),3)*$D25*O25*(1-$Z$3),0),0)</f>
        <v>0</v>
      </c>
      <c r="Y25" s="64">
        <f>IFERROR(ROUND(INDEX(Rates!$A:$G,MATCH(Form!$C25,Rates!$A:$A,0),4)*$D25*$P25*(1-$Z$3),0),0)</f>
        <v>0</v>
      </c>
      <c r="Z25" s="65">
        <f>IFERROR(ROUND(INDEX(Rates!$A:$G,MATCH(Form!$C25,Rates!$A:$A,0),5)*$D25*$Q25*(1-$Z$3),0),0)</f>
        <v>0</v>
      </c>
      <c r="AA25" s="64">
        <f>IFERROR(ROUND(INDEX(Rates!$A:$G,MATCH(Form!$C25,Rates!$A:$A,0),6)*$D25*$R25*(1-$Z$3),0),0)</f>
        <v>0</v>
      </c>
      <c r="AB25" s="65">
        <f>IFERROR(ROUND(INDEX(Rates!$A:$G,MATCH(Form!$C25,Rates!$A:$A,0),7)*$D25*$S25*(1-$Z$3),0),0)</f>
        <v>0</v>
      </c>
      <c r="AC25" s="66">
        <f t="shared" si="13"/>
        <v>0</v>
      </c>
      <c r="AD25" s="67"/>
      <c r="AE25" s="70">
        <f t="shared" si="14"/>
        <v>0</v>
      </c>
      <c r="AF25" s="70">
        <f t="shared" si="15"/>
        <v>0</v>
      </c>
      <c r="AG25" s="70">
        <f t="shared" si="16"/>
        <v>0</v>
      </c>
      <c r="AH25" s="70">
        <f t="shared" si="17"/>
        <v>0</v>
      </c>
      <c r="AI25" s="68">
        <f t="shared" si="18"/>
        <v>0</v>
      </c>
      <c r="AJ25" s="68">
        <f t="shared" si="19"/>
        <v>0</v>
      </c>
    </row>
    <row r="26" spans="1:36" s="43" customFormat="1" hidden="1" x14ac:dyDescent="0.2">
      <c r="A26" s="34"/>
      <c r="B26" s="44"/>
      <c r="C26" s="32"/>
      <c r="D26" s="34"/>
      <c r="E26" s="34"/>
      <c r="F26" s="33"/>
      <c r="G26" s="34"/>
      <c r="H26" s="34"/>
      <c r="I26" s="35"/>
      <c r="J26" s="36"/>
      <c r="K26" s="49"/>
      <c r="L26" s="50" t="str">
        <f t="shared" si="11"/>
        <v>Yes</v>
      </c>
      <c r="M26" s="33"/>
      <c r="N26" s="45"/>
      <c r="O26" s="46"/>
      <c r="P26" s="45"/>
      <c r="Q26" s="46"/>
      <c r="R26" s="45"/>
      <c r="S26" s="46"/>
      <c r="T26" s="40">
        <f t="shared" si="12"/>
        <v>0</v>
      </c>
      <c r="U26" s="48"/>
      <c r="W26" s="64">
        <f>IFERROR(ROUND(INDEX(Rates!$A:$G,MATCH(Form!$C26,Rates!$A:$A,0),2)*$D26*$N26*(1-$Z$3),0),0)</f>
        <v>0</v>
      </c>
      <c r="X26" s="65">
        <f>IFERROR(ROUND(INDEX(Rates!$A:$G,MATCH(Form!$C26,Rates!$A:$A,0),3)*$D26*O26*(1-$Z$3),0),0)</f>
        <v>0</v>
      </c>
      <c r="Y26" s="64">
        <f>IFERROR(ROUND(INDEX(Rates!$A:$G,MATCH(Form!$C26,Rates!$A:$A,0),4)*$D26*$P26*(1-$Z$3),0),0)</f>
        <v>0</v>
      </c>
      <c r="Z26" s="65">
        <f>IFERROR(ROUND(INDEX(Rates!$A:$G,MATCH(Form!$C26,Rates!$A:$A,0),5)*$D26*$Q26*(1-$Z$3),0),0)</f>
        <v>0</v>
      </c>
      <c r="AA26" s="64">
        <f>IFERROR(ROUND(INDEX(Rates!$A:$G,MATCH(Form!$C26,Rates!$A:$A,0),6)*$D26*$R26*(1-$Z$3),0),0)</f>
        <v>0</v>
      </c>
      <c r="AB26" s="65">
        <f>IFERROR(ROUND(INDEX(Rates!$A:$G,MATCH(Form!$C26,Rates!$A:$A,0),7)*$D26*$S26*(1-$Z$3),0),0)</f>
        <v>0</v>
      </c>
      <c r="AC26" s="66">
        <f t="shared" si="13"/>
        <v>0</v>
      </c>
      <c r="AD26" s="67"/>
      <c r="AE26" s="70">
        <f t="shared" si="14"/>
        <v>0</v>
      </c>
      <c r="AF26" s="70">
        <f t="shared" si="15"/>
        <v>0</v>
      </c>
      <c r="AG26" s="70">
        <f t="shared" si="16"/>
        <v>0</v>
      </c>
      <c r="AH26" s="70">
        <f t="shared" si="17"/>
        <v>0</v>
      </c>
      <c r="AI26" s="68">
        <f t="shared" si="18"/>
        <v>0</v>
      </c>
      <c r="AJ26" s="68">
        <f t="shared" si="19"/>
        <v>0</v>
      </c>
    </row>
    <row r="27" spans="1:36" s="43" customFormat="1" hidden="1" x14ac:dyDescent="0.2">
      <c r="A27" s="34"/>
      <c r="B27" s="44"/>
      <c r="C27" s="32"/>
      <c r="D27" s="34"/>
      <c r="E27" s="34"/>
      <c r="F27" s="33"/>
      <c r="G27" s="34"/>
      <c r="H27" s="34"/>
      <c r="I27" s="35"/>
      <c r="J27" s="36"/>
      <c r="K27" s="49"/>
      <c r="L27" s="50" t="str">
        <f t="shared" si="11"/>
        <v>Yes</v>
      </c>
      <c r="M27" s="33"/>
      <c r="N27" s="38"/>
      <c r="O27" s="39"/>
      <c r="P27" s="45"/>
      <c r="Q27" s="46"/>
      <c r="R27" s="45"/>
      <c r="S27" s="46"/>
      <c r="T27" s="40">
        <f t="shared" si="12"/>
        <v>0</v>
      </c>
      <c r="U27" s="48"/>
      <c r="W27" s="64">
        <f>IFERROR(ROUND(INDEX(Rates!$A:$G,MATCH(Form!$C27,Rates!$A:$A,0),2)*$D27*$N27*(1-$Z$3),0),0)</f>
        <v>0</v>
      </c>
      <c r="X27" s="65">
        <f>IFERROR(ROUND(INDEX(Rates!$A:$G,MATCH(Form!$C27,Rates!$A:$A,0),3)*$D27*O27*(1-$Z$3),0),0)</f>
        <v>0</v>
      </c>
      <c r="Y27" s="64">
        <f>IFERROR(ROUND(INDEX(Rates!$A:$G,MATCH(Form!$C27,Rates!$A:$A,0),4)*$D27*$P27*(1-$Z$3),0),0)</f>
        <v>0</v>
      </c>
      <c r="Z27" s="65">
        <f>IFERROR(ROUND(INDEX(Rates!$A:$G,MATCH(Form!$C27,Rates!$A:$A,0),5)*$D27*$Q27*(1-$Z$3),0),0)</f>
        <v>0</v>
      </c>
      <c r="AA27" s="64">
        <f>IFERROR(ROUND(INDEX(Rates!$A:$G,MATCH(Form!$C27,Rates!$A:$A,0),6)*$D27*$R27*(1-$Z$3),0),0)</f>
        <v>0</v>
      </c>
      <c r="AB27" s="65">
        <f>IFERROR(ROUND(INDEX(Rates!$A:$G,MATCH(Form!$C27,Rates!$A:$A,0),7)*$D27*$S27*(1-$Z$3),0),0)</f>
        <v>0</v>
      </c>
      <c r="AC27" s="66">
        <f t="shared" si="13"/>
        <v>0</v>
      </c>
      <c r="AD27" s="67"/>
      <c r="AE27" s="70">
        <f t="shared" si="14"/>
        <v>0</v>
      </c>
      <c r="AF27" s="70">
        <f t="shared" si="15"/>
        <v>0</v>
      </c>
      <c r="AG27" s="70">
        <f t="shared" si="16"/>
        <v>0</v>
      </c>
      <c r="AH27" s="70">
        <f t="shared" si="17"/>
        <v>0</v>
      </c>
      <c r="AI27" s="68">
        <f t="shared" si="18"/>
        <v>0</v>
      </c>
      <c r="AJ27" s="68">
        <f t="shared" si="19"/>
        <v>0</v>
      </c>
    </row>
    <row r="28" spans="1:36" s="43" customFormat="1" ht="16" hidden="1" thickBot="1" x14ac:dyDescent="0.25">
      <c r="A28" s="34"/>
      <c r="B28" s="44"/>
      <c r="C28" s="32"/>
      <c r="D28" s="34"/>
      <c r="E28" s="34"/>
      <c r="F28" s="33"/>
      <c r="G28" s="34"/>
      <c r="H28" s="34"/>
      <c r="I28" s="35"/>
      <c r="J28" s="36"/>
      <c r="K28" s="49"/>
      <c r="L28" s="50" t="str">
        <f t="shared" si="11"/>
        <v>Yes</v>
      </c>
      <c r="M28" s="33"/>
      <c r="N28" s="38"/>
      <c r="O28" s="39"/>
      <c r="P28" s="38"/>
      <c r="Q28" s="39"/>
      <c r="R28" s="38"/>
      <c r="S28" s="39"/>
      <c r="T28" s="40">
        <f t="shared" si="12"/>
        <v>0</v>
      </c>
      <c r="U28" s="48"/>
      <c r="W28" s="64">
        <f>IFERROR(ROUND(INDEX(Rates!$A:$G,MATCH(Form!$C28,Rates!$A:$A,0),2)*$D28*$N28*(1-$Z$3),0),0)</f>
        <v>0</v>
      </c>
      <c r="X28" s="65">
        <f>IFERROR(ROUND(INDEX(Rates!$A:$G,MATCH(Form!$C28,Rates!$A:$A,0),3)*$D28*O28*(1-$Z$3),0),0)</f>
        <v>0</v>
      </c>
      <c r="Y28" s="64">
        <f>IFERROR(ROUND(INDEX(Rates!$A:$G,MATCH(Form!$C28,Rates!$A:$A,0),4)*$D28*$P28*(1-$Z$3),0),0)</f>
        <v>0</v>
      </c>
      <c r="Z28" s="65">
        <f>IFERROR(ROUND(INDEX(Rates!$A:$G,MATCH(Form!$C28,Rates!$A:$A,0),5)*$D28*$Q28*(1-$Z$3),0),0)</f>
        <v>0</v>
      </c>
      <c r="AA28" s="64">
        <f>IFERROR(ROUND(INDEX(Rates!$A:$G,MATCH(Form!$C28,Rates!$A:$A,0),6)*$D28*$R28*(1-$Z$3),0),0)</f>
        <v>0</v>
      </c>
      <c r="AB28" s="65">
        <f>IFERROR(ROUND(INDEX(Rates!$A:$G,MATCH(Form!$C28,Rates!$A:$A,0),7)*$D28*$S28*(1-$Z$3),0),0)</f>
        <v>0</v>
      </c>
      <c r="AC28" s="66">
        <f t="shared" si="13"/>
        <v>0</v>
      </c>
      <c r="AD28" s="67"/>
      <c r="AE28" s="70">
        <f t="shared" si="14"/>
        <v>0</v>
      </c>
      <c r="AF28" s="70">
        <f t="shared" si="15"/>
        <v>0</v>
      </c>
      <c r="AG28" s="70">
        <f t="shared" si="16"/>
        <v>0</v>
      </c>
      <c r="AH28" s="70">
        <f t="shared" si="17"/>
        <v>0</v>
      </c>
      <c r="AI28" s="68">
        <f t="shared" si="18"/>
        <v>0</v>
      </c>
      <c r="AJ28" s="68">
        <f t="shared" si="19"/>
        <v>0</v>
      </c>
    </row>
    <row r="29" spans="1:36" ht="16" thickBot="1" x14ac:dyDescent="0.25">
      <c r="A29" s="55" t="s">
        <v>51</v>
      </c>
      <c r="B29" s="56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7"/>
      <c r="V29" s="55"/>
      <c r="W29" s="58">
        <f t="shared" ref="W29:AC29" si="20">SUM(W7:W28)</f>
        <v>0</v>
      </c>
      <c r="X29" s="58">
        <f t="shared" si="20"/>
        <v>0</v>
      </c>
      <c r="Y29" s="58">
        <f t="shared" si="20"/>
        <v>63272</v>
      </c>
      <c r="Z29" s="58">
        <f t="shared" si="20"/>
        <v>0</v>
      </c>
      <c r="AA29" s="58">
        <f t="shared" si="20"/>
        <v>0</v>
      </c>
      <c r="AB29" s="58">
        <f t="shared" si="20"/>
        <v>0</v>
      </c>
      <c r="AC29" s="58">
        <f t="shared" si="20"/>
        <v>63272</v>
      </c>
      <c r="AD29" s="55"/>
      <c r="AE29" s="100">
        <f t="shared" ref="AE29:AJ29" si="21">SUM(AE7:AE28)</f>
        <v>24750</v>
      </c>
      <c r="AF29" s="100">
        <f t="shared" si="21"/>
        <v>1893.375</v>
      </c>
      <c r="AG29" s="58">
        <f t="shared" si="21"/>
        <v>7993.0124999999998</v>
      </c>
      <c r="AH29" s="58">
        <f t="shared" si="21"/>
        <v>28635.612500000003</v>
      </c>
      <c r="AI29" s="100">
        <f t="shared" si="21"/>
        <v>18845.976875</v>
      </c>
      <c r="AJ29" s="58">
        <f t="shared" si="21"/>
        <v>9789.635624999999</v>
      </c>
    </row>
    <row r="31" spans="1:36" ht="15" customHeight="1" x14ac:dyDescent="0.2">
      <c r="A31" s="59"/>
      <c r="B31" s="9" t="s">
        <v>60</v>
      </c>
    </row>
    <row r="32" spans="1:36" ht="15.75" customHeight="1" x14ac:dyDescent="0.2">
      <c r="AE32" s="101" t="s">
        <v>69</v>
      </c>
      <c r="AF32" s="102">
        <f>AE29+AF29+AI29</f>
        <v>45489.351875</v>
      </c>
      <c r="AG32" s="60"/>
    </row>
    <row r="33" spans="8:34" x14ac:dyDescent="0.2">
      <c r="AH33" s="61"/>
    </row>
    <row r="34" spans="8:34" x14ac:dyDescent="0.2">
      <c r="W34" s="62"/>
      <c r="X34" s="62"/>
      <c r="Y34" s="62"/>
      <c r="Z34" s="62"/>
      <c r="AA34" s="62"/>
    </row>
    <row r="35" spans="8:34" x14ac:dyDescent="0.2">
      <c r="W35" s="63"/>
      <c r="X35" s="63"/>
      <c r="Y35" s="63"/>
      <c r="Z35" s="63"/>
      <c r="AA35" s="63"/>
      <c r="AC35" s="61"/>
    </row>
    <row r="36" spans="8:34" x14ac:dyDescent="0.2">
      <c r="W36" s="63"/>
      <c r="X36" s="63"/>
      <c r="Y36" s="63"/>
      <c r="Z36" s="63"/>
      <c r="AA36" s="63"/>
      <c r="AC36" s="61"/>
    </row>
    <row r="37" spans="8:34" x14ac:dyDescent="0.2">
      <c r="H37" s="71"/>
      <c r="W37" s="63"/>
      <c r="X37" s="63"/>
      <c r="Y37" s="63"/>
      <c r="Z37" s="63"/>
      <c r="AA37" s="63"/>
      <c r="AC37" s="61"/>
    </row>
    <row r="38" spans="8:34" x14ac:dyDescent="0.2">
      <c r="H38" s="71"/>
      <c r="N38" s="72"/>
      <c r="O38" s="72"/>
      <c r="P38" s="72"/>
      <c r="Q38" s="72"/>
      <c r="R38" s="72"/>
      <c r="S38" s="72"/>
      <c r="W38" s="63"/>
      <c r="X38" s="63"/>
      <c r="Y38" s="63"/>
      <c r="Z38" s="63"/>
      <c r="AA38" s="63"/>
      <c r="AC38" s="61"/>
    </row>
    <row r="39" spans="8:34" x14ac:dyDescent="0.2">
      <c r="H39" s="71"/>
      <c r="N39" s="72"/>
      <c r="O39" s="72"/>
      <c r="P39" s="72"/>
      <c r="Q39" s="72"/>
      <c r="R39" s="72"/>
      <c r="S39" s="72"/>
      <c r="AC39" s="61"/>
    </row>
    <row r="40" spans="8:34" x14ac:dyDescent="0.2">
      <c r="H40" s="71"/>
      <c r="N40" s="72"/>
      <c r="O40" s="72"/>
      <c r="P40" s="72"/>
      <c r="Q40" s="72"/>
      <c r="R40" s="72"/>
      <c r="S40" s="72"/>
      <c r="W40" s="62"/>
      <c r="X40" s="62"/>
      <c r="Y40" s="62"/>
      <c r="Z40" s="62"/>
      <c r="AA40" s="62"/>
      <c r="AC40" s="61"/>
    </row>
    <row r="41" spans="8:34" x14ac:dyDescent="0.2">
      <c r="H41" s="71"/>
      <c r="N41" s="72"/>
      <c r="O41" s="72"/>
      <c r="P41" s="72"/>
      <c r="Q41" s="72"/>
      <c r="R41" s="72"/>
      <c r="S41" s="72"/>
      <c r="W41" s="63"/>
      <c r="X41" s="63"/>
      <c r="Y41" s="63"/>
      <c r="Z41" s="63"/>
      <c r="AA41" s="63"/>
      <c r="AC41" s="61"/>
    </row>
    <row r="42" spans="8:34" x14ac:dyDescent="0.2">
      <c r="N42" s="72"/>
      <c r="O42" s="72"/>
      <c r="P42" s="72"/>
      <c r="Q42" s="72"/>
      <c r="R42" s="72"/>
      <c r="S42" s="72"/>
      <c r="W42" s="63"/>
      <c r="X42" s="63"/>
      <c r="Y42" s="63"/>
      <c r="Z42" s="63"/>
      <c r="AA42" s="63"/>
      <c r="AC42" s="61"/>
    </row>
    <row r="43" spans="8:34" x14ac:dyDescent="0.2">
      <c r="W43" s="63"/>
      <c r="X43" s="63"/>
      <c r="Y43" s="63"/>
      <c r="Z43" s="63"/>
      <c r="AA43" s="63"/>
      <c r="AC43" s="61"/>
    </row>
    <row r="44" spans="8:34" x14ac:dyDescent="0.2">
      <c r="W44" s="63"/>
      <c r="X44" s="63"/>
      <c r="Y44" s="63"/>
      <c r="Z44" s="63"/>
      <c r="AA44" s="63"/>
      <c r="AC44" s="61"/>
    </row>
    <row r="45" spans="8:34" x14ac:dyDescent="0.2">
      <c r="AC45" s="61"/>
    </row>
    <row r="46" spans="8:34" x14ac:dyDescent="0.2">
      <c r="W46" s="62"/>
      <c r="X46" s="62"/>
      <c r="Y46" s="62"/>
      <c r="Z46" s="62"/>
      <c r="AA46" s="62"/>
      <c r="AC46" s="61"/>
    </row>
    <row r="47" spans="8:34" x14ac:dyDescent="0.2">
      <c r="W47" s="63"/>
      <c r="X47" s="63"/>
      <c r="Y47" s="63"/>
      <c r="Z47" s="63"/>
      <c r="AA47" s="63"/>
      <c r="AC47" s="61"/>
    </row>
    <row r="48" spans="8:34" x14ac:dyDescent="0.2">
      <c r="W48" s="63"/>
      <c r="X48" s="63"/>
      <c r="Y48" s="63"/>
      <c r="Z48" s="63"/>
      <c r="AA48" s="63"/>
      <c r="AC48" s="61"/>
    </row>
    <row r="49" spans="23:29" x14ac:dyDescent="0.2">
      <c r="W49" s="63"/>
      <c r="X49" s="63"/>
      <c r="Y49" s="63"/>
      <c r="Z49" s="63"/>
      <c r="AA49" s="63"/>
      <c r="AC49" s="61"/>
    </row>
    <row r="50" spans="23:29" x14ac:dyDescent="0.2">
      <c r="W50" s="63"/>
      <c r="X50" s="63"/>
      <c r="Y50" s="63"/>
      <c r="Z50" s="63"/>
      <c r="AA50" s="63"/>
      <c r="AC50" s="61"/>
    </row>
  </sheetData>
  <mergeCells count="31">
    <mergeCell ref="G2:L2"/>
    <mergeCell ref="N2:U2"/>
    <mergeCell ref="AE2:AJ2"/>
    <mergeCell ref="W2:AC2"/>
    <mergeCell ref="A2:E2"/>
    <mergeCell ref="C5:C6"/>
    <mergeCell ref="B5:B6"/>
    <mergeCell ref="A5:A6"/>
    <mergeCell ref="T5:T6"/>
    <mergeCell ref="U5:U6"/>
    <mergeCell ref="R5:S5"/>
    <mergeCell ref="I5:I6"/>
    <mergeCell ref="H5:H6"/>
    <mergeCell ref="G5:G6"/>
    <mergeCell ref="E5:E6"/>
    <mergeCell ref="D5:D6"/>
    <mergeCell ref="N5:O5"/>
    <mergeCell ref="P5:Q5"/>
    <mergeCell ref="L5:L6"/>
    <mergeCell ref="K5:K6"/>
    <mergeCell ref="J5:J6"/>
    <mergeCell ref="W5:X5"/>
    <mergeCell ref="AA5:AB5"/>
    <mergeCell ref="AC5:AC6"/>
    <mergeCell ref="AE5:AE6"/>
    <mergeCell ref="AF5:AF6"/>
    <mergeCell ref="AG5:AG6"/>
    <mergeCell ref="AH5:AH6"/>
    <mergeCell ref="AI5:AI6"/>
    <mergeCell ref="AJ5:AJ6"/>
    <mergeCell ref="Y5:Z5"/>
  </mergeCells>
  <pageMargins left="0.17" right="0.17" top="0.75" bottom="0.75" header="0.44" footer="0.3"/>
  <pageSetup paperSize="5" scale="58" fitToWidth="2" orientation="landscape" r:id="rId1"/>
  <headerFooter>
    <oddHeader xml:space="preserve">&amp;L&amp;"-,Bold"&amp;18Virginia Tech - Winter Session Course Proposal and Revenue Estimator Form&amp;"-,Regular"
</oddHeader>
    <oddFooter>&amp;C&amp;P</oddFooter>
  </headerFooter>
  <colBreaks count="1" manualBreakCount="1">
    <brk id="21" max="1048575" man="1"/>
  </col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Lists!$A$12:$A$17</xm:f>
          </x14:formula1>
          <xm:sqref>J7:J28</xm:sqref>
        </x14:dataValidation>
        <x14:dataValidation type="list" allowBlank="1" showInputMessage="1" showErrorMessage="1">
          <x14:formula1>
            <xm:f>Lists!$A$22:$A$23</xm:f>
          </x14:formula1>
          <xm:sqref>C7:C28</xm:sqref>
        </x14:dataValidation>
        <x14:dataValidation type="list" allowBlank="1" showInputMessage="1" showErrorMessage="1">
          <x14:formula1>
            <xm:f>Lists!$A$3:$A$7</xm:f>
          </x14:formula1>
          <xm:sqref>E7:E28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8"/>
  <sheetViews>
    <sheetView workbookViewId="0">
      <selection activeCell="D15" sqref="D15"/>
    </sheetView>
  </sheetViews>
  <sheetFormatPr baseColWidth="10" defaultColWidth="8.83203125" defaultRowHeight="15" x14ac:dyDescent="0.2"/>
  <cols>
    <col min="1" max="1" width="15.6640625" bestFit="1" customWidth="1"/>
    <col min="2" max="2" width="9" bestFit="1" customWidth="1"/>
    <col min="3" max="3" width="12.1640625" bestFit="1" customWidth="1"/>
    <col min="4" max="4" width="9" bestFit="1" customWidth="1"/>
    <col min="5" max="5" width="12.1640625" bestFit="1" customWidth="1"/>
    <col min="6" max="6" width="9" bestFit="1" customWidth="1"/>
    <col min="7" max="7" width="12.1640625" bestFit="1" customWidth="1"/>
  </cols>
  <sheetData>
    <row r="2" spans="1:7" x14ac:dyDescent="0.2">
      <c r="B2" s="5"/>
    </row>
    <row r="3" spans="1:7" x14ac:dyDescent="0.2">
      <c r="B3" s="5"/>
    </row>
    <row r="4" spans="1:7" x14ac:dyDescent="0.2">
      <c r="A4" s="3"/>
      <c r="B4" s="96" t="s">
        <v>62</v>
      </c>
      <c r="C4" s="96"/>
      <c r="D4" s="96"/>
      <c r="E4" s="96"/>
      <c r="F4" s="96"/>
      <c r="G4" s="96"/>
    </row>
    <row r="5" spans="1:7" x14ac:dyDescent="0.2">
      <c r="A5" s="3"/>
      <c r="B5" s="92" t="s">
        <v>38</v>
      </c>
      <c r="C5" s="93"/>
      <c r="D5" s="92" t="s">
        <v>39</v>
      </c>
      <c r="E5" s="93"/>
      <c r="F5" s="94" t="s">
        <v>40</v>
      </c>
      <c r="G5" s="95"/>
    </row>
    <row r="6" spans="1:7" x14ac:dyDescent="0.2">
      <c r="A6" s="3"/>
      <c r="B6" s="7" t="s">
        <v>6</v>
      </c>
      <c r="C6" s="7" t="s">
        <v>7</v>
      </c>
      <c r="D6" s="7" t="s">
        <v>6</v>
      </c>
      <c r="E6" s="7" t="s">
        <v>7</v>
      </c>
      <c r="F6" s="7" t="s">
        <v>6</v>
      </c>
      <c r="G6" s="7" t="s">
        <v>7</v>
      </c>
    </row>
    <row r="7" spans="1:7" x14ac:dyDescent="0.2">
      <c r="A7" s="2" t="s">
        <v>42</v>
      </c>
      <c r="B7" s="6">
        <v>405</v>
      </c>
      <c r="C7" s="6">
        <v>1024</v>
      </c>
      <c r="D7" s="4">
        <v>449.5</v>
      </c>
      <c r="E7" s="4">
        <v>1137.75</v>
      </c>
      <c r="F7" s="4">
        <v>360</v>
      </c>
      <c r="G7" s="4">
        <v>910</v>
      </c>
    </row>
    <row r="8" spans="1:7" x14ac:dyDescent="0.2">
      <c r="A8" s="2" t="s">
        <v>43</v>
      </c>
      <c r="B8" s="4">
        <v>692.5</v>
      </c>
      <c r="C8" s="4">
        <v>1394.25</v>
      </c>
      <c r="D8" s="4">
        <v>766.75</v>
      </c>
      <c r="E8" s="4">
        <v>1494.25</v>
      </c>
      <c r="F8" s="4">
        <v>554</v>
      </c>
      <c r="G8" s="4">
        <v>1115</v>
      </c>
    </row>
  </sheetData>
  <sheetProtection password="CB29" sheet="1" objects="1" scenarios="1"/>
  <mergeCells count="4">
    <mergeCell ref="B5:C5"/>
    <mergeCell ref="D5:E5"/>
    <mergeCell ref="F5:G5"/>
    <mergeCell ref="B4:G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8"/>
  <sheetViews>
    <sheetView workbookViewId="0">
      <selection activeCell="A27" sqref="A27"/>
    </sheetView>
  </sheetViews>
  <sheetFormatPr baseColWidth="10" defaultColWidth="8.83203125" defaultRowHeight="15" x14ac:dyDescent="0.2"/>
  <cols>
    <col min="1" max="1" width="31.33203125" customWidth="1"/>
  </cols>
  <sheetData>
    <row r="2" spans="1:2" x14ac:dyDescent="0.2">
      <c r="A2" s="1" t="s">
        <v>15</v>
      </c>
    </row>
    <row r="3" spans="1:2" x14ac:dyDescent="0.2">
      <c r="A3" t="s">
        <v>16</v>
      </c>
    </row>
    <row r="4" spans="1:2" x14ac:dyDescent="0.2">
      <c r="A4" t="s">
        <v>17</v>
      </c>
    </row>
    <row r="5" spans="1:2" x14ac:dyDescent="0.2">
      <c r="A5" t="s">
        <v>34</v>
      </c>
    </row>
    <row r="6" spans="1:2" x14ac:dyDescent="0.2">
      <c r="A6" t="s">
        <v>35</v>
      </c>
    </row>
    <row r="7" spans="1:2" x14ac:dyDescent="0.2">
      <c r="A7" t="s">
        <v>36</v>
      </c>
    </row>
    <row r="11" spans="1:2" x14ac:dyDescent="0.2">
      <c r="A11" s="1" t="s">
        <v>21</v>
      </c>
    </row>
    <row r="12" spans="1:2" x14ac:dyDescent="0.2">
      <c r="A12" t="s">
        <v>32</v>
      </c>
      <c r="B12">
        <v>1</v>
      </c>
    </row>
    <row r="13" spans="1:2" x14ac:dyDescent="0.2">
      <c r="A13" t="s">
        <v>22</v>
      </c>
      <c r="B13">
        <v>9</v>
      </c>
    </row>
    <row r="14" spans="1:2" x14ac:dyDescent="0.2">
      <c r="A14" t="s">
        <v>23</v>
      </c>
      <c r="B14">
        <v>12</v>
      </c>
    </row>
    <row r="15" spans="1:2" x14ac:dyDescent="0.2">
      <c r="A15" t="s">
        <v>24</v>
      </c>
      <c r="B15">
        <v>1</v>
      </c>
    </row>
    <row r="16" spans="1:2" x14ac:dyDescent="0.2">
      <c r="A16" t="s">
        <v>33</v>
      </c>
      <c r="B16">
        <v>1</v>
      </c>
    </row>
    <row r="17" spans="1:2" x14ac:dyDescent="0.2">
      <c r="A17" t="s">
        <v>25</v>
      </c>
      <c r="B17">
        <v>1</v>
      </c>
    </row>
    <row r="21" spans="1:2" x14ac:dyDescent="0.2">
      <c r="A21" s="1" t="s">
        <v>41</v>
      </c>
    </row>
    <row r="22" spans="1:2" x14ac:dyDescent="0.2">
      <c r="A22" t="s">
        <v>42</v>
      </c>
    </row>
    <row r="23" spans="1:2" x14ac:dyDescent="0.2">
      <c r="A23" t="s">
        <v>43</v>
      </c>
    </row>
    <row r="26" spans="1:2" x14ac:dyDescent="0.2">
      <c r="A26" s="1" t="s">
        <v>50</v>
      </c>
    </row>
    <row r="27" spans="1:2" x14ac:dyDescent="0.2">
      <c r="A27" t="s">
        <v>49</v>
      </c>
    </row>
    <row r="28" spans="1:2" x14ac:dyDescent="0.2">
      <c r="A28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</vt:lpstr>
      <vt:lpstr>Rates</vt:lpstr>
      <vt:lpstr>Lists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Ken</dc:creator>
  <cp:lastModifiedBy>Sallie Keller</cp:lastModifiedBy>
  <cp:lastPrinted>2016-11-09T14:38:51Z</cp:lastPrinted>
  <dcterms:created xsi:type="dcterms:W3CDTF">2012-12-10T13:56:47Z</dcterms:created>
  <dcterms:modified xsi:type="dcterms:W3CDTF">2018-01-13T16:33:12Z</dcterms:modified>
</cp:coreProperties>
</file>