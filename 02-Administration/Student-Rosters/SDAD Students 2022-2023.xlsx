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uva.sharepoint.com/sites/sdad/Shared Documents/DSPG/"/>
    </mc:Choice>
  </mc:AlternateContent>
  <xr:revisionPtr revIDLastSave="325" documentId="11_6E0F42A49122FED86CE0A7A19AFDFCFCA3C61050" xr6:coauthVersionLast="47" xr6:coauthVersionMax="47" xr10:uidLastSave="{89A05113-AEF5-426C-B5E7-D001885DC660}"/>
  <bookViews>
    <workbookView xWindow="-108" yWindow="-108" windowWidth="23256" windowHeight="14016" xr2:uid="{00000000-000D-0000-FFFF-FFFF00000000}"/>
  </bookViews>
  <sheets>
    <sheet name="SDAD student hours" sheetId="1" r:id="rId1"/>
    <sheet name="SDAD student info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1" l="1"/>
  <c r="W1" i="1"/>
  <c r="D2" i="1"/>
  <c r="E2" i="1" s="1"/>
  <c r="F2" i="1" s="1"/>
  <c r="G2" i="1" s="1"/>
  <c r="H2" i="1" s="1"/>
  <c r="I2" i="1" s="1"/>
  <c r="J2" i="1" s="1"/>
  <c r="K2" i="1" s="1"/>
  <c r="L2" i="1" s="1"/>
  <c r="M2" i="1" s="1"/>
  <c r="N2" i="1" s="1"/>
  <c r="O2" i="1" s="1"/>
  <c r="P2" i="1" s="1"/>
  <c r="Q2" i="1" s="1"/>
  <c r="R2" i="1" s="1"/>
  <c r="S2" i="1" s="1"/>
  <c r="T2" i="1" s="1"/>
  <c r="U2" i="1" s="1"/>
  <c r="V2" i="1" s="1"/>
  <c r="D1" i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X11" i="1"/>
  <c r="X10" i="1"/>
  <c r="X9" i="1"/>
  <c r="X8" i="1"/>
  <c r="X7" i="1"/>
  <c r="X6" i="1"/>
  <c r="X5" i="1"/>
  <c r="X4" i="1"/>
  <c r="X3" i="1"/>
</calcChain>
</file>

<file path=xl/sharedStrings.xml><?xml version="1.0" encoding="utf-8"?>
<sst xmlns="http://schemas.openxmlformats.org/spreadsheetml/2006/main" count="165" uniqueCount="85">
  <si>
    <t>weekly</t>
  </si>
  <si>
    <t>First</t>
  </si>
  <si>
    <t>Last</t>
  </si>
  <si>
    <t>average</t>
  </si>
  <si>
    <t>Donovan</t>
  </si>
  <si>
    <t>Cates</t>
  </si>
  <si>
    <t>Kishore</t>
  </si>
  <si>
    <t>Sundaram</t>
  </si>
  <si>
    <t>Kristian</t>
  </si>
  <si>
    <t>Olsson</t>
  </si>
  <si>
    <t>Olivia</t>
  </si>
  <si>
    <t>Davis</t>
  </si>
  <si>
    <t>-</t>
  </si>
  <si>
    <t>Prashanth</t>
  </si>
  <si>
    <t>Wagle</t>
  </si>
  <si>
    <t>Skylar</t>
  </si>
  <si>
    <t>Haskiell</t>
  </si>
  <si>
    <t>Stephanie</t>
  </si>
  <si>
    <t>Zhang</t>
  </si>
  <si>
    <t>Steve</t>
  </si>
  <si>
    <t>Zhou</t>
  </si>
  <si>
    <t>*Steve won't be working through the end of the Fall 23 semester due to 21 credits</t>
  </si>
  <si>
    <t>Michael</t>
  </si>
  <si>
    <t>Vaden</t>
  </si>
  <si>
    <t>*JT is not listed as Michael supervisor in Workday</t>
  </si>
  <si>
    <t>PROJECT ASSIGNMENTS / EST. TIME</t>
  </si>
  <si>
    <t>Student</t>
  </si>
  <si>
    <t>Task</t>
  </si>
  <si>
    <t>Staff</t>
  </si>
  <si>
    <t>Est. hrs</t>
  </si>
  <si>
    <t>CM?</t>
  </si>
  <si>
    <t>VDH data commons</t>
  </si>
  <si>
    <t>AS</t>
  </si>
  <si>
    <t>correcting measure info files</t>
  </si>
  <si>
    <t>KL</t>
  </si>
  <si>
    <t>reviewing articles</t>
  </si>
  <si>
    <t>SSS</t>
  </si>
  <si>
    <t>5-10</t>
  </si>
  <si>
    <t>AW?</t>
  </si>
  <si>
    <t>ARI NLP</t>
  </si>
  <si>
    <t>JT</t>
  </si>
  <si>
    <t>Uni</t>
  </si>
  <si>
    <t>Degree</t>
  </si>
  <si>
    <t>2022-2023</t>
  </si>
  <si>
    <t>last day</t>
  </si>
  <si>
    <t>Summer 2023</t>
  </si>
  <si>
    <t>Fall 2023</t>
  </si>
  <si>
    <t>possible return date</t>
  </si>
  <si>
    <t>UVA</t>
  </si>
  <si>
    <t>Math and Econ</t>
  </si>
  <si>
    <t>4th year</t>
  </si>
  <si>
    <t>UVA masters program</t>
  </si>
  <si>
    <t>no</t>
  </si>
  <si>
    <t>Kishorekarthick (Kishore)</t>
  </si>
  <si>
    <t>Computer Engineering (Masters)</t>
  </si>
  <si>
    <t>temp/Student</t>
  </si>
  <si>
    <t>continuing</t>
  </si>
  <si>
    <t>SDAD temp employee</t>
  </si>
  <si>
    <t>ongoing</t>
  </si>
  <si>
    <t>Mathematics (Financial Mathematics) &amp; Applied Statistics (Data Science)</t>
  </si>
  <si>
    <t>3rd year</t>
  </si>
  <si>
    <t>UVA SDS Masters in Data Science</t>
  </si>
  <si>
    <t>Undecided - tentatively data science or statistics</t>
  </si>
  <si>
    <t>2nd year</t>
  </si>
  <si>
    <t>data science and AI bootcamp and internship this summer in Cape Town</t>
  </si>
  <si>
    <t>yes</t>
  </si>
  <si>
    <t>Computer Science (Masters)</t>
  </si>
  <si>
    <t>Masters - 1st year</t>
  </si>
  <si>
    <t>DSPG 2023!</t>
  </si>
  <si>
    <t>yes?</t>
  </si>
  <si>
    <t>Engineering and Applied Sciences</t>
  </si>
  <si>
    <t>technology consulting with EY</t>
  </si>
  <si>
    <t>maybe</t>
  </si>
  <si>
    <t xml:space="preserve">Mathematics (Probability/Statistics), Sociology </t>
  </si>
  <si>
    <t xml:space="preserve">Max Planck Institute for Demographic Research (Pop and Social Data Science Incubator Program); Sociology PhD at UCLA in Fall
</t>
  </si>
  <si>
    <t>Wenyao (Steve)</t>
  </si>
  <si>
    <t>Economics &amp; Computer Science</t>
  </si>
  <si>
    <t>Alan</t>
  </si>
  <si>
    <t>Wang</t>
  </si>
  <si>
    <t>Computer Engineering (PhD)</t>
  </si>
  <si>
    <t>PhD - last year</t>
  </si>
  <si>
    <t>postdoc</t>
  </si>
  <si>
    <t>n/a</t>
  </si>
  <si>
    <t>Computer Science</t>
  </si>
  <si>
    <t>to discuss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</si>
</sst>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A6A6A6"/>
        <bgColor rgb="FF000000"/>
      </patternFill>
    </fill>
    <fill>
      <patternFill patternType="solid">
        <fgColor rgb="FF757171"/>
        <bgColor rgb="FF000000"/>
      </patternFill>
    </fill>
    <fill>
      <patternFill patternType="solid">
        <fgColor rgb="FF75717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3" fillId="0" borderId="0" xfId="0" applyFont="1"/>
    <xf numFmtId="2" fontId="3" fillId="2" borderId="0" xfId="0" applyNumberFormat="1" applyFont="1" applyFill="1" applyAlignment="1">
      <alignment horizontal="center"/>
    </xf>
    <xf numFmtId="2" fontId="2" fillId="3" borderId="0" xfId="0" applyNumberFormat="1" applyFont="1" applyFill="1" applyAlignment="1">
      <alignment horizontal="center"/>
    </xf>
    <xf numFmtId="2" fontId="3" fillId="5" borderId="0" xfId="0" quotePrefix="1" applyNumberFormat="1" applyFont="1" applyFill="1" applyAlignment="1">
      <alignment horizontal="center"/>
    </xf>
    <xf numFmtId="2" fontId="3" fillId="3" borderId="0" xfId="0" applyNumberFormat="1" applyFont="1" applyFill="1" applyAlignment="1">
      <alignment horizontal="center"/>
    </xf>
    <xf numFmtId="1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/>
    </xf>
    <xf numFmtId="164" fontId="2" fillId="4" borderId="0" xfId="0" applyNumberFormat="1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0" fillId="0" borderId="0" xfId="0" applyAlignment="1">
      <alignment horizontal="left"/>
    </xf>
    <xf numFmtId="16" fontId="0" fillId="0" borderId="0" xfId="0" applyNumberFormat="1" applyAlignment="1">
      <alignment horizontal="left"/>
    </xf>
    <xf numFmtId="16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5"/>
  <sheetViews>
    <sheetView tabSelected="1" topLeftCell="C1" workbookViewId="0">
      <selection activeCell="W2" sqref="W2"/>
    </sheetView>
  </sheetViews>
  <sheetFormatPr defaultRowHeight="15" customHeight="1" x14ac:dyDescent="0.3"/>
  <cols>
    <col min="1" max="1" width="16" bestFit="1" customWidth="1"/>
    <col min="2" max="2" width="16.109375" customWidth="1"/>
  </cols>
  <sheetData>
    <row r="1" spans="1:25" s="9" customFormat="1" ht="15.6" x14ac:dyDescent="0.3">
      <c r="C1" s="7">
        <v>45153</v>
      </c>
      <c r="D1" s="7">
        <f>C1+14</f>
        <v>45167</v>
      </c>
      <c r="E1" s="7">
        <f t="shared" ref="E1:W1" si="0">D1+14</f>
        <v>45181</v>
      </c>
      <c r="F1" s="7">
        <f t="shared" si="0"/>
        <v>45195</v>
      </c>
      <c r="G1" s="7">
        <f t="shared" si="0"/>
        <v>45209</v>
      </c>
      <c r="H1" s="7">
        <f t="shared" si="0"/>
        <v>45223</v>
      </c>
      <c r="I1" s="7">
        <f t="shared" si="0"/>
        <v>45237</v>
      </c>
      <c r="J1" s="7">
        <f t="shared" si="0"/>
        <v>45251</v>
      </c>
      <c r="K1" s="7">
        <f t="shared" si="0"/>
        <v>45265</v>
      </c>
      <c r="L1" s="7">
        <f t="shared" si="0"/>
        <v>45279</v>
      </c>
      <c r="M1" s="7">
        <f t="shared" si="0"/>
        <v>45293</v>
      </c>
      <c r="N1" s="7">
        <f t="shared" si="0"/>
        <v>45307</v>
      </c>
      <c r="O1" s="7">
        <f t="shared" si="0"/>
        <v>45321</v>
      </c>
      <c r="P1" s="7">
        <f t="shared" si="0"/>
        <v>45335</v>
      </c>
      <c r="Q1" s="7">
        <f t="shared" si="0"/>
        <v>45349</v>
      </c>
      <c r="R1" s="7">
        <f t="shared" si="0"/>
        <v>45363</v>
      </c>
      <c r="S1" s="7">
        <f t="shared" si="0"/>
        <v>45377</v>
      </c>
      <c r="T1" s="7">
        <f t="shared" si="0"/>
        <v>45391</v>
      </c>
      <c r="U1" s="7">
        <f t="shared" si="0"/>
        <v>45405</v>
      </c>
      <c r="V1" s="7">
        <f t="shared" si="0"/>
        <v>45419</v>
      </c>
      <c r="W1" s="7">
        <f t="shared" si="0"/>
        <v>45433</v>
      </c>
      <c r="X1" s="16" t="s">
        <v>0</v>
      </c>
      <c r="Y1" s="10"/>
    </row>
    <row r="2" spans="1:25" s="9" customFormat="1" ht="15.6" x14ac:dyDescent="0.3">
      <c r="A2" s="8" t="s">
        <v>1</v>
      </c>
      <c r="B2" s="8" t="s">
        <v>2</v>
      </c>
      <c r="C2" s="7">
        <v>45166</v>
      </c>
      <c r="D2" s="7">
        <f>C2+14</f>
        <v>45180</v>
      </c>
      <c r="E2" s="7">
        <f t="shared" ref="E2:W2" si="1">D2+14</f>
        <v>45194</v>
      </c>
      <c r="F2" s="7">
        <f t="shared" si="1"/>
        <v>45208</v>
      </c>
      <c r="G2" s="7">
        <f t="shared" si="1"/>
        <v>45222</v>
      </c>
      <c r="H2" s="7">
        <f t="shared" si="1"/>
        <v>45236</v>
      </c>
      <c r="I2" s="7">
        <f t="shared" si="1"/>
        <v>45250</v>
      </c>
      <c r="J2" s="7">
        <f t="shared" si="1"/>
        <v>45264</v>
      </c>
      <c r="K2" s="7">
        <f t="shared" si="1"/>
        <v>45278</v>
      </c>
      <c r="L2" s="7">
        <f t="shared" si="1"/>
        <v>45292</v>
      </c>
      <c r="M2" s="7">
        <f t="shared" si="1"/>
        <v>45306</v>
      </c>
      <c r="N2" s="7">
        <f t="shared" si="1"/>
        <v>45320</v>
      </c>
      <c r="O2" s="7">
        <f t="shared" si="1"/>
        <v>45334</v>
      </c>
      <c r="P2" s="7">
        <f t="shared" si="1"/>
        <v>45348</v>
      </c>
      <c r="Q2" s="7">
        <f t="shared" si="1"/>
        <v>45362</v>
      </c>
      <c r="R2" s="7">
        <f t="shared" si="1"/>
        <v>45376</v>
      </c>
      <c r="S2" s="7">
        <f t="shared" si="1"/>
        <v>45390</v>
      </c>
      <c r="T2" s="7">
        <f t="shared" si="1"/>
        <v>45404</v>
      </c>
      <c r="U2" s="7">
        <f t="shared" si="1"/>
        <v>45418</v>
      </c>
      <c r="V2" s="7">
        <f t="shared" si="1"/>
        <v>45432</v>
      </c>
      <c r="W2" s="7">
        <f t="shared" si="1"/>
        <v>45446</v>
      </c>
      <c r="X2" s="16" t="s">
        <v>3</v>
      </c>
      <c r="Y2" s="10"/>
    </row>
    <row r="3" spans="1:25" ht="15.6" x14ac:dyDescent="0.3">
      <c r="A3" s="1" t="s">
        <v>4</v>
      </c>
      <c r="B3" s="1" t="s">
        <v>5</v>
      </c>
      <c r="C3" s="3">
        <v>5</v>
      </c>
      <c r="D3" s="4">
        <v>12</v>
      </c>
      <c r="E3" s="3">
        <v>17</v>
      </c>
      <c r="F3" s="4">
        <v>21</v>
      </c>
      <c r="G3" s="3">
        <v>14</v>
      </c>
      <c r="H3" s="4">
        <v>15.5</v>
      </c>
      <c r="I3" s="3">
        <v>18.5</v>
      </c>
      <c r="J3" s="4">
        <v>8</v>
      </c>
      <c r="K3" s="3">
        <v>7</v>
      </c>
      <c r="L3" s="4">
        <v>11</v>
      </c>
      <c r="M3" s="3">
        <v>6</v>
      </c>
      <c r="N3" s="4">
        <v>12.5</v>
      </c>
      <c r="O3" s="3">
        <v>11</v>
      </c>
      <c r="P3" s="4">
        <v>11.5</v>
      </c>
      <c r="Q3" s="3">
        <v>11</v>
      </c>
      <c r="R3" s="4">
        <v>10.5</v>
      </c>
      <c r="S3" s="3">
        <v>13.5</v>
      </c>
      <c r="T3" s="4">
        <v>16.5</v>
      </c>
      <c r="U3" s="3">
        <v>7</v>
      </c>
      <c r="V3" s="4">
        <v>0</v>
      </c>
      <c r="W3" s="3">
        <v>0</v>
      </c>
      <c r="X3" s="15">
        <f>AVERAGE(C3:V3)/2</f>
        <v>5.7125000000000004</v>
      </c>
      <c r="Y3" s="1"/>
    </row>
    <row r="4" spans="1:25" ht="15.6" x14ac:dyDescent="0.3">
      <c r="A4" s="1" t="s">
        <v>6</v>
      </c>
      <c r="B4" s="1" t="s">
        <v>7</v>
      </c>
      <c r="C4" s="3">
        <v>4</v>
      </c>
      <c r="D4" s="4">
        <v>27</v>
      </c>
      <c r="E4" s="3">
        <v>31</v>
      </c>
      <c r="F4" s="4">
        <v>28</v>
      </c>
      <c r="G4" s="3">
        <v>32</v>
      </c>
      <c r="H4" s="4">
        <v>31</v>
      </c>
      <c r="I4" s="3">
        <v>32</v>
      </c>
      <c r="J4" s="4">
        <v>24</v>
      </c>
      <c r="K4" s="5"/>
      <c r="L4" s="5"/>
      <c r="M4" s="5"/>
      <c r="N4" s="5"/>
      <c r="O4" s="5"/>
      <c r="P4" s="4">
        <v>80</v>
      </c>
      <c r="Q4" s="3">
        <v>80</v>
      </c>
      <c r="R4" s="4">
        <v>80</v>
      </c>
      <c r="S4" s="3">
        <v>80</v>
      </c>
      <c r="T4" s="4">
        <v>80</v>
      </c>
      <c r="U4" s="3">
        <v>80</v>
      </c>
      <c r="V4" s="4">
        <v>80</v>
      </c>
      <c r="W4" s="3">
        <v>72</v>
      </c>
      <c r="X4" s="15">
        <f t="shared" ref="X4:X11" si="2">AVERAGE(C4:V4)/2</f>
        <v>25.633333333333333</v>
      </c>
      <c r="Y4" s="1"/>
    </row>
    <row r="5" spans="1:25" ht="15.6" x14ac:dyDescent="0.3">
      <c r="A5" s="1" t="s">
        <v>8</v>
      </c>
      <c r="B5" s="1" t="s">
        <v>9</v>
      </c>
      <c r="C5" s="3">
        <v>0</v>
      </c>
      <c r="D5" s="4">
        <v>20</v>
      </c>
      <c r="E5" s="3">
        <v>12</v>
      </c>
      <c r="F5" s="4">
        <v>0</v>
      </c>
      <c r="G5" s="3">
        <v>28.5</v>
      </c>
      <c r="H5" s="4">
        <v>15</v>
      </c>
      <c r="I5" s="3">
        <v>5</v>
      </c>
      <c r="J5" s="4">
        <v>4</v>
      </c>
      <c r="K5" s="3">
        <v>0</v>
      </c>
      <c r="L5" s="4">
        <v>12</v>
      </c>
      <c r="M5" s="3">
        <v>0</v>
      </c>
      <c r="N5" s="4">
        <v>2.5</v>
      </c>
      <c r="O5" s="3">
        <v>8</v>
      </c>
      <c r="P5" s="4">
        <v>9</v>
      </c>
      <c r="Q5" s="3">
        <v>2</v>
      </c>
      <c r="R5" s="4">
        <v>4</v>
      </c>
      <c r="S5" s="3">
        <v>4</v>
      </c>
      <c r="T5" s="4">
        <v>4</v>
      </c>
      <c r="U5" s="3">
        <v>0</v>
      </c>
      <c r="V5" s="4">
        <v>0</v>
      </c>
      <c r="W5" s="3">
        <v>6.5</v>
      </c>
      <c r="X5" s="15">
        <f t="shared" si="2"/>
        <v>3.25</v>
      </c>
      <c r="Y5" s="1"/>
    </row>
    <row r="6" spans="1:25" ht="15.6" x14ac:dyDescent="0.3">
      <c r="A6" s="2" t="s">
        <v>10</v>
      </c>
      <c r="B6" s="2" t="s">
        <v>11</v>
      </c>
      <c r="C6" s="5" t="s">
        <v>12</v>
      </c>
      <c r="D6" s="5" t="s">
        <v>12</v>
      </c>
      <c r="E6" s="3">
        <v>3.75</v>
      </c>
      <c r="F6" s="4">
        <v>15.75</v>
      </c>
      <c r="G6" s="3">
        <v>12.75</v>
      </c>
      <c r="H6" s="4">
        <v>14</v>
      </c>
      <c r="I6" s="3">
        <v>11.5</v>
      </c>
      <c r="J6" s="4">
        <v>9</v>
      </c>
      <c r="K6" s="3">
        <v>0.5</v>
      </c>
      <c r="L6" s="4">
        <v>0</v>
      </c>
      <c r="M6" s="3">
        <v>0</v>
      </c>
      <c r="N6" s="4">
        <v>10</v>
      </c>
      <c r="O6" s="3">
        <v>12</v>
      </c>
      <c r="P6" s="4">
        <v>8</v>
      </c>
      <c r="Q6" s="3">
        <v>2.5</v>
      </c>
      <c r="R6" s="6">
        <v>13.5</v>
      </c>
      <c r="S6" s="3">
        <v>5</v>
      </c>
      <c r="T6" s="6">
        <v>11</v>
      </c>
      <c r="U6" s="3">
        <v>8.25</v>
      </c>
      <c r="V6" s="6">
        <v>0</v>
      </c>
      <c r="W6" s="3">
        <v>0</v>
      </c>
      <c r="X6" s="15">
        <f t="shared" si="2"/>
        <v>3.8194444444444446</v>
      </c>
      <c r="Y6" s="1"/>
    </row>
    <row r="7" spans="1:25" ht="15.6" x14ac:dyDescent="0.3">
      <c r="A7" s="2" t="s">
        <v>13</v>
      </c>
      <c r="B7" s="2" t="s">
        <v>14</v>
      </c>
      <c r="C7" s="5" t="s">
        <v>12</v>
      </c>
      <c r="D7" s="5" t="s">
        <v>12</v>
      </c>
      <c r="E7" s="3">
        <v>11</v>
      </c>
      <c r="F7" s="4">
        <v>24</v>
      </c>
      <c r="G7" s="3">
        <v>23.5</v>
      </c>
      <c r="H7" s="4">
        <v>26</v>
      </c>
      <c r="I7" s="3">
        <v>18.5</v>
      </c>
      <c r="J7" s="4">
        <v>18</v>
      </c>
      <c r="K7" s="3">
        <v>22.5</v>
      </c>
      <c r="L7" s="4">
        <v>50</v>
      </c>
      <c r="M7" s="3">
        <v>55</v>
      </c>
      <c r="N7" s="4">
        <v>40</v>
      </c>
      <c r="O7" s="3">
        <v>39.5</v>
      </c>
      <c r="P7" s="4">
        <v>36</v>
      </c>
      <c r="Q7" s="3">
        <v>30</v>
      </c>
      <c r="R7" s="6">
        <v>29</v>
      </c>
      <c r="S7" s="3">
        <v>30</v>
      </c>
      <c r="T7" s="6">
        <v>22</v>
      </c>
      <c r="U7" s="3">
        <v>30.5</v>
      </c>
      <c r="V7" s="6">
        <v>15</v>
      </c>
      <c r="W7" s="3">
        <v>3</v>
      </c>
      <c r="X7" s="15">
        <f t="shared" si="2"/>
        <v>14.458333333333334</v>
      </c>
      <c r="Y7" s="1"/>
    </row>
    <row r="8" spans="1:25" ht="15.6" x14ac:dyDescent="0.3">
      <c r="A8" s="1" t="s">
        <v>15</v>
      </c>
      <c r="B8" s="1" t="s">
        <v>16</v>
      </c>
      <c r="C8" s="3">
        <v>0</v>
      </c>
      <c r="D8" s="4">
        <v>6</v>
      </c>
      <c r="E8" s="3">
        <v>12.5</v>
      </c>
      <c r="F8" s="4">
        <v>20.5</v>
      </c>
      <c r="G8" s="3">
        <v>11.5</v>
      </c>
      <c r="H8" s="4">
        <v>15</v>
      </c>
      <c r="I8" s="3">
        <v>18</v>
      </c>
      <c r="J8" s="4">
        <v>11</v>
      </c>
      <c r="K8" s="3">
        <v>3.5</v>
      </c>
      <c r="L8" s="4">
        <v>21.5</v>
      </c>
      <c r="M8" s="3">
        <v>54</v>
      </c>
      <c r="N8" s="4">
        <v>10</v>
      </c>
      <c r="O8" s="3">
        <v>11</v>
      </c>
      <c r="P8" s="4">
        <v>10</v>
      </c>
      <c r="Q8" s="3">
        <v>5</v>
      </c>
      <c r="R8" s="4">
        <v>7</v>
      </c>
      <c r="S8" s="3">
        <v>10.5</v>
      </c>
      <c r="T8" s="4">
        <v>9.5</v>
      </c>
      <c r="U8" s="3">
        <v>5</v>
      </c>
      <c r="V8" s="4">
        <v>8</v>
      </c>
      <c r="W8" s="3">
        <v>0</v>
      </c>
      <c r="X8" s="15">
        <f t="shared" si="2"/>
        <v>6.2374999999999998</v>
      </c>
      <c r="Y8" s="1"/>
    </row>
    <row r="9" spans="1:25" ht="15.6" x14ac:dyDescent="0.3">
      <c r="A9" s="1" t="s">
        <v>17</v>
      </c>
      <c r="B9" s="1" t="s">
        <v>18</v>
      </c>
      <c r="C9" s="3">
        <v>2</v>
      </c>
      <c r="D9" s="4">
        <v>16.5</v>
      </c>
      <c r="E9" s="3">
        <v>16.5</v>
      </c>
      <c r="F9" s="4">
        <v>14.5</v>
      </c>
      <c r="G9" s="3">
        <v>15</v>
      </c>
      <c r="H9" s="4">
        <v>20.5</v>
      </c>
      <c r="I9" s="3">
        <v>10.5</v>
      </c>
      <c r="J9" s="4">
        <v>6.5</v>
      </c>
      <c r="K9" s="3">
        <v>1.5</v>
      </c>
      <c r="L9" s="4">
        <v>12.5</v>
      </c>
      <c r="M9" s="3">
        <v>7</v>
      </c>
      <c r="N9" s="4">
        <v>14.5</v>
      </c>
      <c r="O9" s="3">
        <v>10.5</v>
      </c>
      <c r="P9" s="4">
        <v>10</v>
      </c>
      <c r="Q9" s="3">
        <v>16</v>
      </c>
      <c r="R9" s="4">
        <v>10.5</v>
      </c>
      <c r="S9" s="3">
        <v>9</v>
      </c>
      <c r="T9" s="4">
        <v>7.5</v>
      </c>
      <c r="U9" s="3">
        <v>11</v>
      </c>
      <c r="V9" s="4">
        <v>3.5</v>
      </c>
      <c r="W9" s="3">
        <v>0</v>
      </c>
      <c r="X9" s="15">
        <f t="shared" si="2"/>
        <v>5.3875000000000002</v>
      </c>
      <c r="Y9" s="2"/>
    </row>
    <row r="10" spans="1:25" ht="15.6" x14ac:dyDescent="0.3">
      <c r="A10" s="1" t="s">
        <v>19</v>
      </c>
      <c r="B10" s="1" t="s">
        <v>20</v>
      </c>
      <c r="C10" s="3">
        <v>2</v>
      </c>
      <c r="D10" s="4">
        <v>33</v>
      </c>
      <c r="E10" s="3">
        <v>22</v>
      </c>
      <c r="F10" s="4">
        <v>0</v>
      </c>
      <c r="G10" s="3">
        <v>0</v>
      </c>
      <c r="H10" s="4">
        <v>0</v>
      </c>
      <c r="I10" s="3">
        <v>24</v>
      </c>
      <c r="J10" s="4">
        <v>0</v>
      </c>
      <c r="K10" s="3">
        <v>0</v>
      </c>
      <c r="L10" s="4">
        <v>0</v>
      </c>
      <c r="M10" s="3">
        <v>0</v>
      </c>
      <c r="N10" s="4">
        <v>11</v>
      </c>
      <c r="O10" s="3">
        <v>0</v>
      </c>
      <c r="P10" s="4">
        <v>0</v>
      </c>
      <c r="Q10" s="5" t="s">
        <v>12</v>
      </c>
      <c r="R10" s="5" t="s">
        <v>12</v>
      </c>
      <c r="S10" s="5" t="s">
        <v>12</v>
      </c>
      <c r="T10" s="5" t="s">
        <v>12</v>
      </c>
      <c r="U10" s="5" t="s">
        <v>12</v>
      </c>
      <c r="V10" s="5" t="s">
        <v>12</v>
      </c>
      <c r="W10" s="5" t="s">
        <v>12</v>
      </c>
      <c r="X10" s="15">
        <f t="shared" si="2"/>
        <v>3.2857142857142856</v>
      </c>
      <c r="Y10" s="2" t="s">
        <v>21</v>
      </c>
    </row>
    <row r="11" spans="1:25" ht="15.6" x14ac:dyDescent="0.3">
      <c r="A11" s="2" t="s">
        <v>22</v>
      </c>
      <c r="B11" s="2" t="s">
        <v>23</v>
      </c>
      <c r="C11" s="5" t="s">
        <v>12</v>
      </c>
      <c r="D11" s="5" t="s">
        <v>12</v>
      </c>
      <c r="E11" s="5" t="s">
        <v>12</v>
      </c>
      <c r="F11" s="5" t="s">
        <v>12</v>
      </c>
      <c r="G11" s="5" t="s">
        <v>12</v>
      </c>
      <c r="H11" s="5" t="s">
        <v>12</v>
      </c>
      <c r="I11" s="5" t="s">
        <v>12</v>
      </c>
      <c r="J11" s="5" t="s">
        <v>12</v>
      </c>
      <c r="K11" s="5" t="s">
        <v>12</v>
      </c>
      <c r="L11" s="5" t="s">
        <v>12</v>
      </c>
      <c r="M11" s="5" t="s">
        <v>12</v>
      </c>
      <c r="N11" s="5" t="s">
        <v>12</v>
      </c>
      <c r="O11" s="3">
        <v>20</v>
      </c>
      <c r="P11" s="4">
        <v>20</v>
      </c>
      <c r="Q11" s="3">
        <v>20</v>
      </c>
      <c r="R11" s="5" t="s">
        <v>12</v>
      </c>
      <c r="S11" s="3">
        <v>28</v>
      </c>
      <c r="T11" s="4">
        <v>30</v>
      </c>
      <c r="U11" s="3" t="s">
        <v>12</v>
      </c>
      <c r="V11" s="4" t="s">
        <v>12</v>
      </c>
      <c r="W11" s="3" t="s">
        <v>12</v>
      </c>
      <c r="X11" s="15">
        <f t="shared" si="2"/>
        <v>11.8</v>
      </c>
      <c r="Y11" s="1" t="s">
        <v>24</v>
      </c>
    </row>
    <row r="13" spans="1:25" ht="14.4" x14ac:dyDescent="0.3">
      <c r="A13" s="20" t="s">
        <v>25</v>
      </c>
      <c r="B13" s="20"/>
      <c r="C13" s="20"/>
      <c r="D13" s="20"/>
    </row>
    <row r="14" spans="1:25" ht="14.4" x14ac:dyDescent="0.3">
      <c r="A14" s="11" t="s">
        <v>26</v>
      </c>
      <c r="B14" s="11" t="s">
        <v>27</v>
      </c>
      <c r="C14" s="11" t="s">
        <v>28</v>
      </c>
      <c r="D14" s="11" t="s">
        <v>29</v>
      </c>
    </row>
    <row r="15" spans="1:25" ht="15.6" x14ac:dyDescent="0.3">
      <c r="A15" s="1" t="s">
        <v>4</v>
      </c>
      <c r="B15" s="12"/>
      <c r="C15" s="13" t="s">
        <v>30</v>
      </c>
      <c r="D15" s="13"/>
    </row>
    <row r="16" spans="1:25" ht="15.6" x14ac:dyDescent="0.3">
      <c r="A16" s="1" t="s">
        <v>6</v>
      </c>
      <c r="B16" s="12" t="s">
        <v>31</v>
      </c>
      <c r="C16" s="13" t="s">
        <v>32</v>
      </c>
      <c r="D16" s="13">
        <v>10</v>
      </c>
    </row>
    <row r="17" spans="1:5" ht="15.6" x14ac:dyDescent="0.3">
      <c r="A17" s="1" t="s">
        <v>6</v>
      </c>
      <c r="B17" s="12"/>
      <c r="C17" s="13" t="s">
        <v>30</v>
      </c>
      <c r="D17" s="13"/>
    </row>
    <row r="18" spans="1:5" ht="15.6" x14ac:dyDescent="0.3">
      <c r="A18" s="1" t="s">
        <v>8</v>
      </c>
      <c r="B18" s="12" t="s">
        <v>33</v>
      </c>
      <c r="C18" s="13" t="s">
        <v>34</v>
      </c>
      <c r="D18" s="13"/>
      <c r="E18" s="9"/>
    </row>
    <row r="19" spans="1:5" ht="15.6" x14ac:dyDescent="0.3">
      <c r="A19" s="2" t="s">
        <v>10</v>
      </c>
      <c r="B19" s="12" t="s">
        <v>35</v>
      </c>
      <c r="C19" s="13" t="s">
        <v>36</v>
      </c>
      <c r="D19" s="14" t="s">
        <v>37</v>
      </c>
      <c r="E19" s="9"/>
    </row>
    <row r="20" spans="1:5" ht="15.6" x14ac:dyDescent="0.3">
      <c r="A20" s="2" t="s">
        <v>13</v>
      </c>
      <c r="B20" s="12"/>
      <c r="C20" s="13" t="s">
        <v>38</v>
      </c>
      <c r="D20" s="13"/>
      <c r="E20" s="9"/>
    </row>
    <row r="21" spans="1:5" ht="15.6" x14ac:dyDescent="0.3">
      <c r="A21" s="1" t="s">
        <v>15</v>
      </c>
      <c r="B21" s="12" t="s">
        <v>39</v>
      </c>
      <c r="C21" s="13" t="s">
        <v>40</v>
      </c>
      <c r="D21" s="14" t="s">
        <v>37</v>
      </c>
      <c r="E21" s="9"/>
    </row>
    <row r="22" spans="1:5" ht="15.6" x14ac:dyDescent="0.3">
      <c r="A22" s="1" t="s">
        <v>17</v>
      </c>
      <c r="B22" s="12"/>
      <c r="C22" s="13" t="s">
        <v>36</v>
      </c>
      <c r="D22" s="13"/>
      <c r="E22" s="9"/>
    </row>
    <row r="23" spans="1:5" ht="15.6" x14ac:dyDescent="0.3">
      <c r="A23" s="2" t="s">
        <v>22</v>
      </c>
      <c r="B23" s="12"/>
      <c r="C23" s="13" t="s">
        <v>30</v>
      </c>
      <c r="D23" s="13"/>
      <c r="E23" s="9"/>
    </row>
    <row r="24" spans="1:5" ht="15.6" x14ac:dyDescent="0.3">
      <c r="A24" s="2"/>
    </row>
    <row r="25" spans="1:5" ht="15.6" x14ac:dyDescent="0.3">
      <c r="A25" s="1"/>
    </row>
  </sheetData>
  <mergeCells count="1">
    <mergeCell ref="A13:D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509B9-DB1B-4BE6-B74D-0821E5048620}">
  <dimension ref="A1:I11"/>
  <sheetViews>
    <sheetView workbookViewId="0">
      <selection activeCell="H8" sqref="H8"/>
    </sheetView>
  </sheetViews>
  <sheetFormatPr defaultRowHeight="14.4" x14ac:dyDescent="0.3"/>
  <cols>
    <col min="1" max="1" width="24.88671875" bestFit="1" customWidth="1"/>
    <col min="2" max="2" width="10.5546875" bestFit="1" customWidth="1"/>
    <col min="3" max="3" width="10.5546875" customWidth="1"/>
    <col min="4" max="4" width="70.109375" bestFit="1" customWidth="1"/>
    <col min="5" max="5" width="17.5546875" customWidth="1"/>
    <col min="6" max="6" width="9.44140625" bestFit="1" customWidth="1"/>
    <col min="7" max="7" width="50.6640625" customWidth="1"/>
    <col min="8" max="8" width="13.33203125" customWidth="1"/>
    <col min="9" max="9" width="20.109375" bestFit="1" customWidth="1"/>
  </cols>
  <sheetData>
    <row r="1" spans="1:9" ht="15.6" x14ac:dyDescent="0.3">
      <c r="A1" s="8" t="s">
        <v>1</v>
      </c>
      <c r="B1" s="8" t="s">
        <v>2</v>
      </c>
      <c r="C1" s="8" t="s">
        <v>41</v>
      </c>
      <c r="D1" s="8" t="s">
        <v>42</v>
      </c>
      <c r="E1" s="8" t="s">
        <v>43</v>
      </c>
      <c r="F1" s="8" t="s">
        <v>44</v>
      </c>
      <c r="G1" s="8" t="s">
        <v>45</v>
      </c>
      <c r="H1" s="8" t="s">
        <v>46</v>
      </c>
      <c r="I1" s="8" t="s">
        <v>47</v>
      </c>
    </row>
    <row r="2" spans="1:9" ht="15.6" x14ac:dyDescent="0.3">
      <c r="A2" s="1" t="s">
        <v>4</v>
      </c>
      <c r="B2" s="1" t="s">
        <v>5</v>
      </c>
      <c r="C2" s="10" t="s">
        <v>48</v>
      </c>
      <c r="D2" s="1" t="s">
        <v>49</v>
      </c>
      <c r="E2" t="s">
        <v>50</v>
      </c>
      <c r="F2" s="18">
        <v>45048</v>
      </c>
      <c r="G2" t="s">
        <v>51</v>
      </c>
      <c r="H2" s="9" t="s">
        <v>52</v>
      </c>
      <c r="I2" s="9"/>
    </row>
    <row r="3" spans="1:9" ht="15.6" x14ac:dyDescent="0.3">
      <c r="A3" s="1" t="s">
        <v>53</v>
      </c>
      <c r="B3" s="1" t="s">
        <v>7</v>
      </c>
      <c r="C3" s="10" t="s">
        <v>48</v>
      </c>
      <c r="D3" s="1" t="s">
        <v>54</v>
      </c>
      <c r="E3" t="s">
        <v>55</v>
      </c>
      <c r="F3" s="17" t="s">
        <v>56</v>
      </c>
      <c r="G3" t="s">
        <v>57</v>
      </c>
      <c r="H3" s="9" t="s">
        <v>58</v>
      </c>
      <c r="I3" s="9" t="s">
        <v>58</v>
      </c>
    </row>
    <row r="4" spans="1:9" ht="15.6" x14ac:dyDescent="0.3">
      <c r="A4" s="1" t="s">
        <v>8</v>
      </c>
      <c r="B4" s="1" t="s">
        <v>9</v>
      </c>
      <c r="C4" s="10" t="s">
        <v>48</v>
      </c>
      <c r="D4" s="1" t="s">
        <v>59</v>
      </c>
      <c r="E4" t="s">
        <v>60</v>
      </c>
      <c r="F4" s="17"/>
      <c r="G4" t="s">
        <v>61</v>
      </c>
      <c r="H4" s="9" t="s">
        <v>52</v>
      </c>
      <c r="I4" s="9"/>
    </row>
    <row r="5" spans="1:9" ht="15.6" x14ac:dyDescent="0.3">
      <c r="A5" s="2" t="s">
        <v>10</v>
      </c>
      <c r="B5" s="2" t="s">
        <v>11</v>
      </c>
      <c r="C5" s="10" t="s">
        <v>48</v>
      </c>
      <c r="D5" s="2" t="s">
        <v>62</v>
      </c>
      <c r="E5" t="s">
        <v>63</v>
      </c>
      <c r="F5" s="18">
        <v>45047</v>
      </c>
      <c r="G5" t="s">
        <v>64</v>
      </c>
      <c r="H5" s="9" t="s">
        <v>65</v>
      </c>
      <c r="I5" s="9"/>
    </row>
    <row r="6" spans="1:9" ht="15.6" x14ac:dyDescent="0.3">
      <c r="A6" s="2" t="s">
        <v>13</v>
      </c>
      <c r="B6" s="2" t="s">
        <v>14</v>
      </c>
      <c r="C6" s="10" t="s">
        <v>48</v>
      </c>
      <c r="D6" s="2" t="s">
        <v>66</v>
      </c>
      <c r="E6" t="s">
        <v>67</v>
      </c>
      <c r="F6" s="17" t="s">
        <v>56</v>
      </c>
      <c r="G6" t="s">
        <v>68</v>
      </c>
      <c r="H6" s="9" t="s">
        <v>69</v>
      </c>
      <c r="I6" s="9"/>
    </row>
    <row r="7" spans="1:9" ht="15.6" x14ac:dyDescent="0.3">
      <c r="A7" s="1" t="s">
        <v>15</v>
      </c>
      <c r="B7" s="1" t="s">
        <v>16</v>
      </c>
      <c r="C7" s="10" t="s">
        <v>48</v>
      </c>
      <c r="D7" s="1" t="s">
        <v>70</v>
      </c>
      <c r="E7" t="s">
        <v>60</v>
      </c>
      <c r="F7" s="18">
        <v>45065</v>
      </c>
      <c r="G7" t="s">
        <v>71</v>
      </c>
      <c r="H7" s="9" t="s">
        <v>72</v>
      </c>
      <c r="I7" s="19">
        <v>45139</v>
      </c>
    </row>
    <row r="8" spans="1:9" ht="15.6" x14ac:dyDescent="0.3">
      <c r="A8" s="1" t="s">
        <v>17</v>
      </c>
      <c r="B8" s="1" t="s">
        <v>18</v>
      </c>
      <c r="C8" s="10" t="s">
        <v>48</v>
      </c>
      <c r="D8" s="1" t="s">
        <v>73</v>
      </c>
      <c r="E8" t="s">
        <v>50</v>
      </c>
      <c r="F8" s="18">
        <v>45065</v>
      </c>
      <c r="G8" t="s">
        <v>74</v>
      </c>
      <c r="H8" s="9" t="s">
        <v>52</v>
      </c>
      <c r="I8" s="9"/>
    </row>
    <row r="9" spans="1:9" ht="15.6" x14ac:dyDescent="0.3">
      <c r="A9" s="1" t="s">
        <v>75</v>
      </c>
      <c r="B9" s="1" t="s">
        <v>20</v>
      </c>
      <c r="C9" s="10" t="s">
        <v>48</v>
      </c>
      <c r="D9" s="1" t="s">
        <v>76</v>
      </c>
      <c r="E9" t="s">
        <v>60</v>
      </c>
      <c r="F9" s="17" t="s">
        <v>56</v>
      </c>
      <c r="G9" t="s">
        <v>68</v>
      </c>
      <c r="H9" s="9" t="s">
        <v>69</v>
      </c>
      <c r="I9" s="9"/>
    </row>
    <row r="10" spans="1:9" ht="15.6" x14ac:dyDescent="0.3">
      <c r="A10" s="1" t="s">
        <v>77</v>
      </c>
      <c r="B10" s="1" t="s">
        <v>78</v>
      </c>
      <c r="C10" s="10" t="s">
        <v>48</v>
      </c>
      <c r="D10" s="1" t="s">
        <v>79</v>
      </c>
      <c r="E10" t="s">
        <v>80</v>
      </c>
      <c r="F10" s="17" t="s">
        <v>56</v>
      </c>
      <c r="G10" t="s">
        <v>81</v>
      </c>
      <c r="H10" s="9" t="s">
        <v>82</v>
      </c>
      <c r="I10" s="9"/>
    </row>
    <row r="11" spans="1:9" ht="15.6" x14ac:dyDescent="0.3">
      <c r="A11" s="2" t="s">
        <v>22</v>
      </c>
      <c r="B11" s="2" t="s">
        <v>23</v>
      </c>
      <c r="C11" s="10" t="s">
        <v>48</v>
      </c>
      <c r="D11" s="2" t="s">
        <v>83</v>
      </c>
      <c r="E11" t="s">
        <v>60</v>
      </c>
      <c r="F11" s="18">
        <v>45061</v>
      </c>
      <c r="G11" t="s">
        <v>51</v>
      </c>
      <c r="H11" s="9" t="s">
        <v>72</v>
      </c>
      <c r="I11" s="9" t="s">
        <v>84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5AE3D1135F4E41AB498540A40487BD" ma:contentTypeVersion="17" ma:contentTypeDescription="Create a new document." ma:contentTypeScope="" ma:versionID="e87a22b1668461aaba1cb243e9c1a54a">
  <xsd:schema xmlns:xsd="http://www.w3.org/2001/XMLSchema" xmlns:xs="http://www.w3.org/2001/XMLSchema" xmlns:p="http://schemas.microsoft.com/office/2006/metadata/properties" xmlns:ns2="7a2657dd-b8a5-4c99-8d51-b0b9d254c989" xmlns:ns3="5ba80a41-9917-4a22-8f13-cb051ddce64c" targetNamespace="http://schemas.microsoft.com/office/2006/metadata/properties" ma:root="true" ma:fieldsID="f50a2de1385131c5aef9d9d9626e0b05" ns2:_="" ns3:_="">
    <xsd:import namespace="7a2657dd-b8a5-4c99-8d51-b0b9d254c989"/>
    <xsd:import namespace="5ba80a41-9917-4a22-8f13-cb051ddce6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2657dd-b8a5-4c99-8d51-b0b9d254c9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d038b50-52dc-447d-ac2e-a29bd036c4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a80a41-9917-4a22-8f13-cb051ddce64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ceef030-0fd2-4c4f-af00-feafa4f18198}" ma:internalName="TaxCatchAll" ma:showField="CatchAllData" ma:web="5ba80a41-9917-4a22-8f13-cb051ddce6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2657dd-b8a5-4c99-8d51-b0b9d254c989">
      <Terms xmlns="http://schemas.microsoft.com/office/infopath/2007/PartnerControls"/>
    </lcf76f155ced4ddcb4097134ff3c332f>
    <TaxCatchAll xmlns="5ba80a41-9917-4a22-8f13-cb051ddce64c" xsi:nil="true"/>
  </documentManagement>
</p:properties>
</file>

<file path=customXml/itemProps1.xml><?xml version="1.0" encoding="utf-8"?>
<ds:datastoreItem xmlns:ds="http://schemas.openxmlformats.org/officeDocument/2006/customXml" ds:itemID="{B2601448-5F15-4673-85F7-F39C18EAAD7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5D5343F-06B9-4925-AA91-3B3C9FBF9749}"/>
</file>

<file path=customXml/itemProps3.xml><?xml version="1.0" encoding="utf-8"?>
<ds:datastoreItem xmlns:ds="http://schemas.openxmlformats.org/officeDocument/2006/customXml" ds:itemID="{2835D824-6C79-4F75-A195-F4E9A666DE86}">
  <ds:schemaRefs>
    <ds:schemaRef ds:uri="http://schemas.microsoft.com/office/2006/metadata/properties"/>
    <ds:schemaRef ds:uri="http://schemas.microsoft.com/office/infopath/2007/PartnerControls"/>
    <ds:schemaRef ds:uri="7a2657dd-b8a5-4c99-8d51-b0b9d254c989"/>
    <ds:schemaRef ds:uri="5ba80a41-9917-4a22-8f13-cb051ddce64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SDAD student hours</vt:lpstr>
      <vt:lpstr>SDAD student info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Thurston, Joel (jt9sz)</cp:lastModifiedBy>
  <cp:revision/>
  <dcterms:created xsi:type="dcterms:W3CDTF">2023-03-01T17:46:34Z</dcterms:created>
  <dcterms:modified xsi:type="dcterms:W3CDTF">2023-06-06T13:04:46Z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0x010100D45AE3D1135F4E41AB498540A40487BD</vt:lpwstr>
  </property>
  <property fmtid="{D5CDD505-2E9C-101B-9397-08002B2CF9AE}" pid="3" name="MediaServiceImageTags">
    <vt:lpwstr/>
  </property>
</Properties>
</file>