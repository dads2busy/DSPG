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uva.sharepoint.com/sites/sdad/Shared Documents/DSPG/"/>
    </mc:Choice>
  </mc:AlternateContent>
  <xr:revisionPtr revIDLastSave="128" documentId="8_{78AC3FF5-8F5E-4E70-A557-448E12955F44}" xr6:coauthVersionLast="47" xr6:coauthVersionMax="47" xr10:uidLastSave="{5DF79124-4C82-4337-9C2C-5A17A0755151}"/>
  <bookViews>
    <workbookView xWindow="8470" yWindow="-21710" windowWidth="38620" windowHeight="21220" firstSheet="1" xr2:uid="{00000000-000D-0000-FFFF-FFFF00000000}"/>
  </bookViews>
  <sheets>
    <sheet name="All DSPG" sheetId="9" r:id="rId1"/>
    <sheet name="2023-Summer (DSPG)" sheetId="7" r:id="rId2"/>
    <sheet name="2022-23 Academic Year" sheetId="6" r:id="rId3"/>
    <sheet name="2022-Summer (DSPG)" sheetId="4" r:id="rId4"/>
    <sheet name="2021-Summer (DSPG)" sheetId="5" r:id="rId5"/>
    <sheet name="2020-Summer (DSPG)" sheetId="2" r:id="rId6"/>
    <sheet name="2019-Summer (DSPG)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7" l="1"/>
  <c r="C2" i="7"/>
  <c r="C9" i="7"/>
  <c r="C8" i="7"/>
  <c r="C7" i="7"/>
  <c r="C6" i="7"/>
  <c r="C5" i="7"/>
  <c r="C4" i="7"/>
  <c r="C3" i="7"/>
  <c r="L13" i="2"/>
  <c r="K13" i="2"/>
  <c r="M13" i="2" l="1"/>
</calcChain>
</file>

<file path=xl/sharedStrings.xml><?xml version="1.0" encoding="utf-8"?>
<sst xmlns="http://schemas.openxmlformats.org/spreadsheetml/2006/main" count="1229" uniqueCount="609">
  <si>
    <t>Year</t>
  </si>
  <si>
    <t>Name-First</t>
  </si>
  <si>
    <t>Name-Last</t>
  </si>
  <si>
    <t>University</t>
  </si>
  <si>
    <t>Degree program</t>
  </si>
  <si>
    <t>Field1</t>
  </si>
  <si>
    <t>Field2</t>
  </si>
  <si>
    <t>email1</t>
  </si>
  <si>
    <t>email2</t>
  </si>
  <si>
    <t>phone</t>
  </si>
  <si>
    <t>LinkedIn</t>
  </si>
  <si>
    <t>post-DSPG</t>
  </si>
  <si>
    <t>Current/last known employer</t>
  </si>
  <si>
    <t>Gender</t>
  </si>
  <si>
    <t>Previous employer1</t>
  </si>
  <si>
    <t>Previous employer2</t>
  </si>
  <si>
    <t>Previous employer3</t>
  </si>
  <si>
    <t>Alexis Bernal (GU)</t>
  </si>
  <si>
    <t>Georgetown U</t>
  </si>
  <si>
    <t>BS</t>
  </si>
  <si>
    <t>Math/Stat</t>
  </si>
  <si>
    <t>Math/Stat/CS</t>
  </si>
  <si>
    <t>???</t>
  </si>
  <si>
    <t>Capital Markets Analyst at Fannie Mae</t>
  </si>
  <si>
    <t>Male</t>
  </si>
  <si>
    <t>David Healey</t>
  </si>
  <si>
    <t>MIT</t>
  </si>
  <si>
    <t>PhD</t>
  </si>
  <si>
    <t>Bioengineering</t>
  </si>
  <si>
    <t>Engineering</t>
  </si>
  <si>
    <t>Senior Data Scientist at Recursion Pharmaceuticals</t>
  </si>
  <si>
    <t>Erik Belmont</t>
  </si>
  <si>
    <t>Virginia Tech</t>
  </si>
  <si>
    <t>SBS</t>
  </si>
  <si>
    <t>DC government</t>
  </si>
  <si>
    <t>Hanyun Li (GU)</t>
  </si>
  <si>
    <t>MS</t>
  </si>
  <si>
    <t>consulting company</t>
  </si>
  <si>
    <t>Female</t>
  </si>
  <si>
    <t>Jessica Phelan (GU)</t>
  </si>
  <si>
    <t>Census Bureau</t>
  </si>
  <si>
    <t>Jinhui (Lorraine) Wang (GU)</t>
  </si>
  <si>
    <t>Senior Data Analyst at Alibaba Group</t>
  </si>
  <si>
    <t>Kyle Angelotti (UVa)</t>
  </si>
  <si>
    <t>UVA</t>
  </si>
  <si>
    <t>Bates White Economic Consulting</t>
  </si>
  <si>
    <t>Xuemin Zhang (GUBio)</t>
  </si>
  <si>
    <t>Life Sciences</t>
  </si>
  <si>
    <t>Science</t>
  </si>
  <si>
    <t>Kelly Services</t>
  </si>
  <si>
    <t>Adrienne Rogers</t>
  </si>
  <si>
    <t>VT</t>
  </si>
  <si>
    <t>Statistics</t>
  </si>
  <si>
    <t>Deloitte</t>
  </si>
  <si>
    <t>Berk Norman</t>
  </si>
  <si>
    <t>Rice</t>
  </si>
  <si>
    <t>Statistics &amp; Computational Mathematics</t>
  </si>
  <si>
    <t>Arterys</t>
  </si>
  <si>
    <t>Jesse Jeter (GWU, PHD)</t>
  </si>
  <si>
    <t>George Washington U</t>
  </si>
  <si>
    <t>Capital One</t>
  </si>
  <si>
    <t>Kyle Angelotti</t>
  </si>
  <si>
    <t>Paul Sabin</t>
  </si>
  <si>
    <t>graduate school</t>
  </si>
  <si>
    <t>CNN &amp; grad school</t>
  </si>
  <si>
    <t>Stephanie Allen</t>
  </si>
  <si>
    <t>SUNY</t>
  </si>
  <si>
    <t>Math &amp; Econ</t>
  </si>
  <si>
    <t>Graduate school</t>
  </si>
  <si>
    <t>Emily Stark</t>
  </si>
  <si>
    <t>APSU</t>
  </si>
  <si>
    <t>Math</t>
  </si>
  <si>
    <t>PhD student, Florida Atlantic University</t>
  </si>
  <si>
    <t>Jess Flynn</t>
  </si>
  <si>
    <t>Cornell</t>
  </si>
  <si>
    <t>Biological Statistics and Computational Biology</t>
  </si>
  <si>
    <t>job</t>
  </si>
  <si>
    <t>Data Analyst II at Memorial Sloan Kettering Cancer Center</t>
  </si>
  <si>
    <t>Madison Arnsbarger</t>
  </si>
  <si>
    <t>Economics</t>
  </si>
  <si>
    <t>Mark Almanza</t>
  </si>
  <si>
    <t>Physics</t>
  </si>
  <si>
    <t>Carillion Clinic</t>
  </si>
  <si>
    <t>Millicent Grant</t>
  </si>
  <si>
    <t>ISU</t>
  </si>
  <si>
    <t>Sam Tyner</t>
  </si>
  <si>
    <t>PHD</t>
  </si>
  <si>
    <t>Will Sandholtz</t>
  </si>
  <si>
    <t>Berkeley</t>
  </si>
  <si>
    <t>Maddie Arnsbarger</t>
  </si>
  <si>
    <t>Economics and Sociology</t>
  </si>
  <si>
    <t>Hannah Brinkley</t>
  </si>
  <si>
    <t>Biological Sciences</t>
  </si>
  <si>
    <t>Daniel Chen</t>
  </si>
  <si>
    <t>Genetics, Bioinformatics &amp; Computational Biology</t>
  </si>
  <si>
    <t>Ronnie Fecso</t>
  </si>
  <si>
    <t>PSU</t>
  </si>
  <si>
    <t>Computational Model &amp; Data Analytics</t>
  </si>
  <si>
    <t>David M. Hinkle</t>
  </si>
  <si>
    <t>Business Information Technology</t>
  </si>
  <si>
    <t>Business</t>
  </si>
  <si>
    <t>Zarni Htet (Fellow)</t>
  </si>
  <si>
    <t>Applied Statistics</t>
  </si>
  <si>
    <t>Eirik Iversen</t>
  </si>
  <si>
    <t>Claire Kelling (Fellow)</t>
  </si>
  <si>
    <t>Joseph Kim</t>
  </si>
  <si>
    <t>Lata Kodali (Fellow)</t>
  </si>
  <si>
    <t>Chanida Lerdritsomboon</t>
  </si>
  <si>
    <t>Kyle Morgan</t>
  </si>
  <si>
    <t>Mathematics</t>
  </si>
  <si>
    <t>Craig Morton</t>
  </si>
  <si>
    <t>Geography</t>
  </si>
  <si>
    <t>Harsimrat K. Pandher</t>
  </si>
  <si>
    <t>David Park</t>
  </si>
  <si>
    <t>Sayali Phadke (Fellow)</t>
  </si>
  <si>
    <t>Sean M. Pili</t>
  </si>
  <si>
    <t>Ben J. Swartz</t>
  </si>
  <si>
    <t>Electrical Engineering</t>
  </si>
  <si>
    <t>Daniel Wilkin</t>
  </si>
  <si>
    <t>NYU</t>
  </si>
  <si>
    <t>Biological Systems Engineering</t>
  </si>
  <si>
    <t>Chen, Keren</t>
  </si>
  <si>
    <t>Computer Science</t>
  </si>
  <si>
    <t>Grondine, Megan</t>
  </si>
  <si>
    <t>Communication Studies</t>
  </si>
  <si>
    <t>Kim, Cory</t>
  </si>
  <si>
    <t>Comp Model &amp; Data Anyl</t>
  </si>
  <si>
    <t>Kim, Luke</t>
  </si>
  <si>
    <t>UMN</t>
  </si>
  <si>
    <t>Mattingly, Doug</t>
  </si>
  <si>
    <t>Mechanical Engineering</t>
  </si>
  <si>
    <t>McMahon, Kelsey</t>
  </si>
  <si>
    <t>AU</t>
  </si>
  <si>
    <t>Sociology</t>
  </si>
  <si>
    <t>Mosavian, Armi</t>
  </si>
  <si>
    <t>International Public Policy</t>
  </si>
  <si>
    <t>Nosal, Alexa J.</t>
  </si>
  <si>
    <t>Psychology</t>
  </si>
  <si>
    <t>Sawhney, Raghav</t>
  </si>
  <si>
    <t>Warajuntano, Weerasu</t>
  </si>
  <si>
    <t>Daniel Liden</t>
  </si>
  <si>
    <t>Claremont</t>
  </si>
  <si>
    <t>MS Statistics</t>
  </si>
  <si>
    <t>José Calderón</t>
  </si>
  <si>
    <t>PhD Econ</t>
  </si>
  <si>
    <t>Davon Woodard</t>
  </si>
  <si>
    <t>PhD Urban Planning</t>
  </si>
  <si>
    <t>Emily Sheen</t>
  </si>
  <si>
    <t>PhD Statistics</t>
  </si>
  <si>
    <t>Fanfang Lee</t>
  </si>
  <si>
    <t>Devika Nair</t>
  </si>
  <si>
    <t>MS Data Analytics</t>
  </si>
  <si>
    <t>Halewicz, Victoria</t>
  </si>
  <si>
    <t>Rutgers</t>
  </si>
  <si>
    <t>Isch, Calvin</t>
  </si>
  <si>
    <t>U of Miami</t>
  </si>
  <si>
    <t>Cognitive Science</t>
  </si>
  <si>
    <t>Keast, Jessica</t>
  </si>
  <si>
    <t>Indiana U</t>
  </si>
  <si>
    <t>Statistical and Data Sciences</t>
  </si>
  <si>
    <t>McDonald, Sarah</t>
  </si>
  <si>
    <t>UIUC</t>
  </si>
  <si>
    <t>Mathematics, Economics</t>
  </si>
  <si>
    <t>Pietrowicz, Sean</t>
  </si>
  <si>
    <t>Applied and Computational Mathematics and Statistics</t>
  </si>
  <si>
    <t>Smith</t>
  </si>
  <si>
    <t>Computational Modeling &amp; Data Analytics</t>
  </si>
  <si>
    <t>Tobin, Eliza</t>
  </si>
  <si>
    <t>Leadership &amp; Public Policy</t>
  </si>
  <si>
    <t>Pocinki, Allegra</t>
  </si>
  <si>
    <t>Columbia</t>
  </si>
  <si>
    <t>Fowers, Alyssa</t>
  </si>
  <si>
    <t>Department of Educational and Psychological Studies</t>
  </si>
  <si>
    <t>Cong, Cong</t>
  </si>
  <si>
    <t>Marymount</t>
  </si>
  <si>
    <t>Urban and Regional Planning</t>
  </si>
  <si>
    <t>Neville, Quinton</t>
  </si>
  <si>
    <t>Notre Dame</t>
  </si>
  <si>
    <t>Biostatistics</t>
  </si>
  <si>
    <t>Savchyn, Kateryna</t>
  </si>
  <si>
    <t>Mathematics and Statistics</t>
  </si>
  <si>
    <t>Anjali</t>
  </si>
  <si>
    <t>Mehta</t>
  </si>
  <si>
    <t>University of Virginia</t>
  </si>
  <si>
    <t>BS (Computer Science Engineering)</t>
  </si>
  <si>
    <t>Annie</t>
  </si>
  <si>
    <t>Xie</t>
  </si>
  <si>
    <t>CMU/Shanghai Jiao Tong University</t>
  </si>
  <si>
    <t>MA (Public Administration)</t>
  </si>
  <si>
    <t>Jianing</t>
  </si>
  <si>
    <t>Cai</t>
  </si>
  <si>
    <t>BA (Math &amp; Computer Science)</t>
  </si>
  <si>
    <t>Marijke</t>
  </si>
  <si>
    <t>van der Geer</t>
  </si>
  <si>
    <t>San Diego State University</t>
  </si>
  <si>
    <t>BA (Stats &amp; International Relations)</t>
  </si>
  <si>
    <t>Nakshatra</t>
  </si>
  <si>
    <t>Yalagach</t>
  </si>
  <si>
    <t>MS (Computer Science)</t>
  </si>
  <si>
    <t>Prashanth</t>
  </si>
  <si>
    <t>Wagle</t>
  </si>
  <si>
    <t>Sara</t>
  </si>
  <si>
    <t>Shallenberger</t>
  </si>
  <si>
    <t>Carleton College</t>
  </si>
  <si>
    <t>BA (Stats)</t>
  </si>
  <si>
    <t>Steve</t>
  </si>
  <si>
    <t>Zhou</t>
  </si>
  <si>
    <t>Trinity</t>
  </si>
  <si>
    <t>Chamblin</t>
  </si>
  <si>
    <t>BS (Stats &amp; Computer Science)</t>
  </si>
  <si>
    <t>Name, first</t>
  </si>
  <si>
    <t>Name, last</t>
  </si>
  <si>
    <t>Name, full</t>
  </si>
  <si>
    <t>Status</t>
  </si>
  <si>
    <t>Degree</t>
  </si>
  <si>
    <t>Institution</t>
  </si>
  <si>
    <t>undegrad</t>
  </si>
  <si>
    <t>graduate</t>
  </si>
  <si>
    <t>First</t>
  </si>
  <si>
    <t>Last</t>
  </si>
  <si>
    <t>Donovan</t>
  </si>
  <si>
    <t>Cates</t>
  </si>
  <si>
    <t>Math and Econ</t>
  </si>
  <si>
    <t>Kishorekarthick (Kishore)</t>
  </si>
  <si>
    <t>Sundaram</t>
  </si>
  <si>
    <t>Computer Engineering (Masters)</t>
  </si>
  <si>
    <t>Kristian</t>
  </si>
  <si>
    <t>Olsson</t>
  </si>
  <si>
    <t>Mathematics (Financial Mathematics) &amp; Applied Statistics (Data Science)</t>
  </si>
  <si>
    <t>Olivia</t>
  </si>
  <si>
    <t>Davis</t>
  </si>
  <si>
    <t>Undecided - tentatively data science or statistics</t>
  </si>
  <si>
    <t>Computer Science (Masters)</t>
  </si>
  <si>
    <t>Skylar</t>
  </si>
  <si>
    <t>Haskiell</t>
  </si>
  <si>
    <t>Engineering and Applied Sciences</t>
  </si>
  <si>
    <t>Stephanie</t>
  </si>
  <si>
    <t>Zhang</t>
  </si>
  <si>
    <t xml:space="preserve">Mathematics (Probability/Statistics), Sociology </t>
  </si>
  <si>
    <t>Wenyao (Steve)</t>
  </si>
  <si>
    <t>Economics &amp; Computer Science</t>
  </si>
  <si>
    <t>Alan</t>
  </si>
  <si>
    <t>Wang</t>
  </si>
  <si>
    <t>Computer Engineering (PhD)</t>
  </si>
  <si>
    <t>Michael</t>
  </si>
  <si>
    <t>Vaden</t>
  </si>
  <si>
    <t>Name-first</t>
  </si>
  <si>
    <t>Position Title</t>
  </si>
  <si>
    <t>Workday Job Profile</t>
  </si>
  <si>
    <t>Organization</t>
  </si>
  <si>
    <t>Start Date</t>
  </si>
  <si>
    <t>End Date</t>
  </si>
  <si>
    <t>Rate</t>
  </si>
  <si>
    <t># hours</t>
  </si>
  <si>
    <t>to be paid</t>
  </si>
  <si>
    <t>Location</t>
  </si>
  <si>
    <t xml:space="preserve">Email </t>
  </si>
  <si>
    <t>Email</t>
  </si>
  <si>
    <t>Phone</t>
  </si>
  <si>
    <t>Funding Project</t>
  </si>
  <si>
    <t>PTAO</t>
  </si>
  <si>
    <t>Project Lead</t>
  </si>
  <si>
    <t>Supervisor Name</t>
  </si>
  <si>
    <t>Supervisor email</t>
  </si>
  <si>
    <t>Supervisor Phone</t>
  </si>
  <si>
    <t>Kishorekarthick (Kishore) Govindasamy Shanmuga</t>
  </si>
  <si>
    <t>Data Science for the Public Good Intern</t>
  </si>
  <si>
    <t>UVA student</t>
  </si>
  <si>
    <t>Social &amp; Decision Analytics Division,
Biocomplexity Institute</t>
  </si>
  <si>
    <t>biweekly</t>
  </si>
  <si>
    <t>on site</t>
  </si>
  <si>
    <t>wuc9jr@virginia.edu</t>
  </si>
  <si>
    <t>kishorekarthickgs23@gmail.com</t>
  </si>
  <si>
    <t>703-795-4245</t>
  </si>
  <si>
    <t>Impacts of Broadband Development on Rural Property Values (USDA)</t>
  </si>
  <si>
    <t>168503.101.GG12419.30001</t>
  </si>
  <si>
    <t>Aritra Halder</t>
  </si>
  <si>
    <t>Joel Thurston</t>
  </si>
  <si>
    <t>jt9sz@virginia.edu</t>
  </si>
  <si>
    <t>724-840-1705</t>
  </si>
  <si>
    <t>ahw9f@virginia.edu</t>
  </si>
  <si>
    <t>NCSES Innovation</t>
  </si>
  <si>
    <t>164737.101.GG12302.30001</t>
  </si>
  <si>
    <t>Neil Kattampallil</t>
  </si>
  <si>
    <t>Eberhart</t>
  </si>
  <si>
    <t>Jillian</t>
  </si>
  <si>
    <t>Biostatistics (BS)</t>
  </si>
  <si>
    <t>jme6bk@virginia.edu</t>
  </si>
  <si>
    <t>jillebe213@gmail.com</t>
  </si>
  <si>
    <t>757-802-0967</t>
  </si>
  <si>
    <t>Coastal Futures: Building Capacity for Data-driven Adaptation in Rural Coastal Communities</t>
  </si>
  <si>
    <t>87.5% grant funded through Coastal Futures: Building Capacity for Data-driven Adaptation in Rural Coastal Communities grant.
12.5% funded through NCSES (PTAO 164737.101.GG12302.30001)</t>
  </si>
  <si>
    <t>Josh Goldstein</t>
  </si>
  <si>
    <t>Economics &amp; Computer Science (BS)</t>
  </si>
  <si>
    <t>wz8ry@virginia.edu</t>
  </si>
  <si>
    <t>434-426-8175</t>
  </si>
  <si>
    <t>168472.101.GA11609.31795</t>
  </si>
  <si>
    <t>Mathematics (Financial Mathematics) (BS) &amp; Applied Statistics (Data Science) (BA)</t>
  </si>
  <si>
    <t>kno5cac@virginia.edu</t>
  </si>
  <si>
    <t>212-365-0409</t>
  </si>
  <si>
    <t xml:space="preserve">VDH Data Commons </t>
  </si>
  <si>
    <t xml:space="preserve"> (168743.101.GS11707.30001) through 7/18/2022 or August 5  if Phase 2 is added to the same PTAO (or switch to VDH PTAO at that time</t>
  </si>
  <si>
    <t>Aaron Schroeder</t>
  </si>
  <si>
    <t>seh6fy@virginia.edu</t>
  </si>
  <si>
    <t>757-768-4689</t>
  </si>
  <si>
    <t>Kathryn Linehan</t>
  </si>
  <si>
    <t>dcc7ffm@virginia.edu</t>
  </si>
  <si>
    <t>703-727-0045</t>
  </si>
  <si>
    <t>ARI Leveraging Existing DoD Data Towards Optimized Individual and Team Performance in the Army</t>
  </si>
  <si>
    <t>160739.101.GG12179.30001</t>
  </si>
  <si>
    <t>Fellow</t>
  </si>
  <si>
    <t>Department, Degree</t>
  </si>
  <si>
    <t>Major</t>
  </si>
  <si>
    <t>Project 1</t>
  </si>
  <si>
    <t>Project 2</t>
  </si>
  <si>
    <t>Mentor</t>
  </si>
  <si>
    <t>Mentor email</t>
  </si>
  <si>
    <t>Mentor web</t>
  </si>
  <si>
    <t>Contact email</t>
  </si>
  <si>
    <t>Contact phone</t>
  </si>
  <si>
    <t>Morgan Stockham (DSPG Alumni)</t>
  </si>
  <si>
    <t>Claremont Graduate University</t>
  </si>
  <si>
    <t>Economics, PhD</t>
  </si>
  <si>
    <t>Applied Microeconomics</t>
  </si>
  <si>
    <t>mes5bu@virginia.edu</t>
  </si>
  <si>
    <t>MasterCard</t>
  </si>
  <si>
    <t>ARI</t>
  </si>
  <si>
    <t>Stephanie Shipp</t>
  </si>
  <si>
    <t>sss5sc@virginia.edu</t>
  </si>
  <si>
    <t>https://biocomplexity.virginia.edu/stephanie-shipp</t>
  </si>
  <si>
    <t>morganstockham@gmail.com</t>
  </si>
  <si>
    <t>Crystal Zang (DSPG Alumni)</t>
  </si>
  <si>
    <t>University of Pittsburgh Graduate School of Public Health</t>
  </si>
  <si>
    <t>Biostatistics, PhD</t>
  </si>
  <si>
    <t>zz3hs@virginia.edu</t>
  </si>
  <si>
    <t>OSS</t>
  </si>
  <si>
    <t>R&amp;D</t>
  </si>
  <si>
    <t>Vicki Lancaster</t>
  </si>
  <si>
    <t>val7zv@virginia.edu</t>
  </si>
  <si>
    <t>https://biocomplexity.virginia.edu/vicki-lancaster</t>
  </si>
  <si>
    <t>Digvijay Ghotane</t>
  </si>
  <si>
    <t>Georgetown University</t>
  </si>
  <si>
    <t>Public Policy, MS</t>
  </si>
  <si>
    <t>Data Science for Public Policy</t>
  </si>
  <si>
    <t>far3jh@virginia.edu</t>
  </si>
  <si>
    <t>BINN</t>
  </si>
  <si>
    <t>aaron.schroeder@virginia.edu</t>
  </si>
  <si>
    <t>https://biocomplexity.virginia.edu/aaron-schroeder</t>
  </si>
  <si>
    <t>digvijay.ghotane@gmail.com</t>
  </si>
  <si>
    <t>Emily L Kurtz</t>
  </si>
  <si>
    <t>University of Minnesota</t>
  </si>
  <si>
    <t>Political Science (PhD), Statistics (MS)</t>
  </si>
  <si>
    <t>Political Science</t>
  </si>
  <si>
    <t>pae4ey@virginia.edu</t>
  </si>
  <si>
    <t>STW</t>
  </si>
  <si>
    <t>Data Reusability</t>
  </si>
  <si>
    <t>Joshua Goldstein</t>
  </si>
  <si>
    <t>josh.goldstein@virginia.edu</t>
  </si>
  <si>
    <t>https://biocomplexity.virginia.edu/joshua-goldstein</t>
  </si>
  <si>
    <t>kurtz217@umn.edu</t>
  </si>
  <si>
    <t>Intern</t>
  </si>
  <si>
    <t>Department</t>
  </si>
  <si>
    <t>Aditi Mahabal</t>
  </si>
  <si>
    <t>College of Arts and Sciences</t>
  </si>
  <si>
    <t>Statistics, Psychology</t>
  </si>
  <si>
    <t>am8hf@virginia.edu</t>
  </si>
  <si>
    <t>https://biocomplexity.virginia.edu/joel-thurston</t>
  </si>
  <si>
    <t>Akilesh S Ramakrishna</t>
  </si>
  <si>
    <t>asr8r@virginia.edu</t>
  </si>
  <si>
    <t>Cesar Montalvo</t>
  </si>
  <si>
    <t>cpm9w@virginia.edu</t>
  </si>
  <si>
    <t>https://biocomplexity.virginia.edu/person/cesar-montalvo</t>
  </si>
  <si>
    <t>Asia Porter</t>
  </si>
  <si>
    <t>Washington University in St. Louis</t>
  </si>
  <si>
    <t>Sociology, Legal Studies</t>
  </si>
  <si>
    <t>dkj3ny@virginia.edu</t>
  </si>
  <si>
    <t>Nathaniel Ratcliff</t>
  </si>
  <si>
    <t>nr3xe@virginia.edu</t>
  </si>
  <si>
    <t>https://biocomplexity.virginia.edu/nathaniel-ratcliff</t>
  </si>
  <si>
    <t>Cierra Rubylee Oliveira</t>
  </si>
  <si>
    <t>Clemson University</t>
  </si>
  <si>
    <t>College of Engineering, Computing and Applied Sciences</t>
  </si>
  <si>
    <t>Computer Science, Political Science</t>
  </si>
  <si>
    <t>dab3dj@virginia.edu</t>
  </si>
  <si>
    <t>gxk9jg@virginia.edu</t>
  </si>
  <si>
    <t>https://biocomplexity.virginia.edu/person/aritra-halder</t>
  </si>
  <si>
    <t>cierraoliveira@gmail.com</t>
  </si>
  <si>
    <t>Haleigh Tomlin</t>
  </si>
  <si>
    <t>Washington and Lee University</t>
  </si>
  <si>
    <t>Sociology and Anthropology</t>
  </si>
  <si>
    <t>Sociology and Anthropology, Data Science, Mathematics</t>
  </si>
  <si>
    <t>scb8kw@virginia.edu</t>
  </si>
  <si>
    <t>Brandon Kramer</t>
  </si>
  <si>
    <t>kb7hp@virginia.edu</t>
  </si>
  <si>
    <t>https://biocomplexity.virginia.edu/brandon-kramer</t>
  </si>
  <si>
    <t xml:space="preserve">tomlinh22@mail.wlu.edu </t>
  </si>
  <si>
    <t>Madeline Garrett</t>
  </si>
  <si>
    <t>University of Colorado- Boulder</t>
  </si>
  <si>
    <t xml:space="preserve">College of Arts and Sciences </t>
  </si>
  <si>
    <t xml:space="preserve">Statistics and Data Science, Political Science </t>
  </si>
  <si>
    <t>unq6jg@virginia.edu</t>
  </si>
  <si>
    <t>Sarah Nusser</t>
  </si>
  <si>
    <t>nusser@iastate.edu</t>
  </si>
  <si>
    <t>https://www.stat.iastate.edu/people/sarah-nusser</t>
  </si>
  <si>
    <t>Stephanie Zhang</t>
  </si>
  <si>
    <t>College of Arts/Sciences, Mathematics/Sociology</t>
  </si>
  <si>
    <t>sz3wr@virginia.edu</t>
  </si>
  <si>
    <t>Eric Oh</t>
  </si>
  <si>
    <t>eo9tv@virginia.edu</t>
  </si>
  <si>
    <t>https://biocomplexity.virginia.edu/person/eric-oh</t>
  </si>
  <si>
    <t>univ</t>
  </si>
  <si>
    <t>status</t>
  </si>
  <si>
    <t>middle</t>
  </si>
  <si>
    <t>email</t>
  </si>
  <si>
    <t>first</t>
  </si>
  <si>
    <t>last</t>
  </si>
  <si>
    <t>Virginia State University</t>
  </si>
  <si>
    <t>Ayanta</t>
  </si>
  <si>
    <t>jaidarobinson24@gmail.com</t>
  </si>
  <si>
    <t>JaiDa</t>
  </si>
  <si>
    <t>Robinson</t>
  </si>
  <si>
    <t>Alicia</t>
  </si>
  <si>
    <t>Calawson122@gmail.com</t>
  </si>
  <si>
    <t>Courtney</t>
  </si>
  <si>
    <t>Lawson</t>
  </si>
  <si>
    <t>Kyle96jacobs@gmail.com</t>
  </si>
  <si>
    <t>Kyle</t>
  </si>
  <si>
    <t>Jacobs</t>
  </si>
  <si>
    <t>Eman-Lakee</t>
  </si>
  <si>
    <t>walkerme19@gmail.com</t>
  </si>
  <si>
    <t>Mychala</t>
  </si>
  <si>
    <t>Walker</t>
  </si>
  <si>
    <t>Mousa</t>
  </si>
  <si>
    <t>rtou2167@students.vsu.edu</t>
  </si>
  <si>
    <t>Reginald</t>
  </si>
  <si>
    <t>Toure</t>
  </si>
  <si>
    <t>Danielle</t>
  </si>
  <si>
    <t>kyra.danielle.00@gmail.com</t>
  </si>
  <si>
    <t>Kyra</t>
  </si>
  <si>
    <t>Faison</t>
  </si>
  <si>
    <t>fellow</t>
  </si>
  <si>
    <t>intern</t>
  </si>
  <si>
    <t>Iowa State University</t>
  </si>
  <si>
    <t>alizadeh@iastate.edu</t>
  </si>
  <si>
    <t>Atefeh</t>
  </si>
  <si>
    <t>Rajabalizadeh</t>
  </si>
  <si>
    <t>Kumar</t>
  </si>
  <si>
    <t>ksridhar@iastate.edu</t>
  </si>
  <si>
    <t>Kishor</t>
  </si>
  <si>
    <t xml:space="preserve"> Sridhar</t>
  </si>
  <si>
    <t>George</t>
  </si>
  <si>
    <t>dgthomas@iastate.edu</t>
  </si>
  <si>
    <t>Deepak</t>
  </si>
  <si>
    <t>Thomas</t>
  </si>
  <si>
    <t>Erin</t>
  </si>
  <si>
    <t>jebustin@iastate.edu</t>
  </si>
  <si>
    <t>Jessie</t>
  </si>
  <si>
    <t>Bustin</t>
  </si>
  <si>
    <t>VSU</t>
  </si>
  <si>
    <t>Kent</t>
  </si>
  <si>
    <t>kchong@iastate.edu</t>
  </si>
  <si>
    <t>Kok</t>
  </si>
  <si>
    <t>Chong</t>
  </si>
  <si>
    <t>OSU</t>
  </si>
  <si>
    <t>David</t>
  </si>
  <si>
    <t>gdurbahn@iastate.edu</t>
  </si>
  <si>
    <t>Grant</t>
  </si>
  <si>
    <t>Durbahn</t>
  </si>
  <si>
    <t>M</t>
  </si>
  <si>
    <t>joelvb@iastate.edu</t>
  </si>
  <si>
    <t>Joel</t>
  </si>
  <si>
    <t>Von Behren</t>
  </si>
  <si>
    <t>vmagal@iastate.edu</t>
  </si>
  <si>
    <t>Vikram</t>
  </si>
  <si>
    <t>Magal</t>
  </si>
  <si>
    <t>amaloney@iastate.edu</t>
  </si>
  <si>
    <t xml:space="preserve">Andrew </t>
  </si>
  <si>
    <t>Maloney</t>
  </si>
  <si>
    <t>kmt99@iastate.edu</t>
  </si>
  <si>
    <t>Kathleen</t>
  </si>
  <si>
    <t>Thompson</t>
  </si>
  <si>
    <t>J.</t>
  </si>
  <si>
    <t>mjvoss@iastate.edu</t>
  </si>
  <si>
    <t>Matthew</t>
  </si>
  <si>
    <t>Voss</t>
  </si>
  <si>
    <t>xinyiz09@iastate.edu</t>
  </si>
  <si>
    <t>Xinyi</t>
  </si>
  <si>
    <t>Zhu</t>
  </si>
  <si>
    <t>Paul</t>
  </si>
  <si>
    <t>jpbeverly@vt.edu</t>
  </si>
  <si>
    <t>Joshua</t>
  </si>
  <si>
    <t>Beverly</t>
  </si>
  <si>
    <t>boya66@vt.edu</t>
  </si>
  <si>
    <t>Boya</t>
  </si>
  <si>
    <t>Karu Mabili</t>
  </si>
  <si>
    <t>tkgrant@vt.edu</t>
  </si>
  <si>
    <t>Talib</t>
  </si>
  <si>
    <t>Sean</t>
  </si>
  <si>
    <t>dylanglover@vt.edu</t>
  </si>
  <si>
    <t>Dylan</t>
  </si>
  <si>
    <t>Glover</t>
  </si>
  <si>
    <t>Yates</t>
  </si>
  <si>
    <t>aywells@vt.edu</t>
  </si>
  <si>
    <t>Adam</t>
  </si>
  <si>
    <t>Wells</t>
  </si>
  <si>
    <t>afrina@vt.edu</t>
  </si>
  <si>
    <t>Afrina</t>
  </si>
  <si>
    <t>Tabassum</t>
  </si>
  <si>
    <t>laura19@vt.edu</t>
  </si>
  <si>
    <t>Laura</t>
  </si>
  <si>
    <t>Pranteddu</t>
  </si>
  <si>
    <t>dnb3k@virginia.edu</t>
  </si>
  <si>
    <t>Daniel</t>
  </si>
  <si>
    <t>Bullock</t>
  </si>
  <si>
    <t>llh7e@virginia.edu</t>
  </si>
  <si>
    <t>Lara</t>
  </si>
  <si>
    <t>Haase</t>
  </si>
  <si>
    <t>mcp5t@virginia.edu</t>
  </si>
  <si>
    <t>Madeline</t>
  </si>
  <si>
    <t>Pickens</t>
  </si>
  <si>
    <t>sr2wm@virginia.edu</t>
  </si>
  <si>
    <t>Susweta</t>
  </si>
  <si>
    <t>Ray</t>
  </si>
  <si>
    <t>far3mr@virginia.edu</t>
  </si>
  <si>
    <t>Finn</t>
  </si>
  <si>
    <t>Roberts</t>
  </si>
  <si>
    <t>ms3mn@virginia.edu</t>
  </si>
  <si>
    <t>Mary</t>
  </si>
  <si>
    <t>Solomon</t>
  </si>
  <si>
    <t>Morgan</t>
  </si>
  <si>
    <t>Stockham</t>
  </si>
  <si>
    <t>Intern - alumni</t>
  </si>
  <si>
    <t>sp3sd@virginia.edu</t>
  </si>
  <si>
    <t>Pietrowicz</t>
  </si>
  <si>
    <t>sm9dv@virginia.edu</t>
  </si>
  <si>
    <t>Sarah</t>
  </si>
  <si>
    <t xml:space="preserve">McDonald </t>
  </si>
  <si>
    <t>rb4ba@virginia.edu</t>
  </si>
  <si>
    <t>Riya</t>
  </si>
  <si>
    <t>Berry</t>
  </si>
  <si>
    <t>tmc2z@virginia.edu</t>
  </si>
  <si>
    <t>Tasfia</t>
  </si>
  <si>
    <t>Chowdhury</t>
  </si>
  <si>
    <t>mc9bn@virginia.edu</t>
  </si>
  <si>
    <t>Martha</t>
  </si>
  <si>
    <t>Czernuszenko</t>
  </si>
  <si>
    <t>scd3dz@virginia.edu</t>
  </si>
  <si>
    <t>Chase</t>
  </si>
  <si>
    <t>Dawson</t>
  </si>
  <si>
    <t>gf2qh@virginia.edu</t>
  </si>
  <si>
    <t>Gina</t>
  </si>
  <si>
    <t>Fendley</t>
  </si>
  <si>
    <t>eg5se@virginia.edu</t>
  </si>
  <si>
    <t>Ellen</t>
  </si>
  <si>
    <t>Graham</t>
  </si>
  <si>
    <t>ig5eq@virginia.edu</t>
  </si>
  <si>
    <t>Isabel</t>
  </si>
  <si>
    <t>Gomez</t>
  </si>
  <si>
    <t>sh5rp@virginia.edu</t>
  </si>
  <si>
    <t>Saimun</t>
  </si>
  <si>
    <t>Habib</t>
  </si>
  <si>
    <t>oh5nd@virginia.edu</t>
  </si>
  <si>
    <t>Owen</t>
  </si>
  <si>
    <t>Hart</t>
  </si>
  <si>
    <t>mek2p@virginia.edu</t>
  </si>
  <si>
    <t>Klutzke</t>
  </si>
  <si>
    <t>itm3f@virginia.edu</t>
  </si>
  <si>
    <t>Ian</t>
  </si>
  <si>
    <t>MacLeod</t>
  </si>
  <si>
    <t>ehm7af@virginia.edu</t>
  </si>
  <si>
    <t>Elizabeth</t>
  </si>
  <si>
    <t>Miller</t>
  </si>
  <si>
    <t>vr5pf@virginia.edu</t>
  </si>
  <si>
    <t>Vatsala</t>
  </si>
  <si>
    <t>Ramanan</t>
  </si>
  <si>
    <t>js2mr@virginia.edu</t>
  </si>
  <si>
    <t>Joanna</t>
  </si>
  <si>
    <t>Schroeder</t>
  </si>
  <si>
    <t>Crystal</t>
  </si>
  <si>
    <t>Zang</t>
  </si>
  <si>
    <t>Oregon State</t>
  </si>
  <si>
    <t>Guen Patty &lt;guen.patty@oregonstate.edu&gt;</t>
  </si>
  <si>
    <t>Sebastiano Busato, &lt;busatos@oregonstate.edu&gt;</t>
  </si>
  <si>
    <t>Jakob Oetinger &lt;oetingej@oregonstate.edu&gt;</t>
  </si>
  <si>
    <t>Thamanna Vasan  &lt;vasant@oregonstate.edu&gt;</t>
  </si>
  <si>
    <t>Heather Miller &lt;millerh@oregonstate.edu&gt;</t>
  </si>
  <si>
    <t>Contact:</t>
  </si>
  <si>
    <t>ap3xx@virginia.edu</t>
  </si>
  <si>
    <t>University of Miami</t>
  </si>
  <si>
    <t>af5ug@virginia.edu</t>
  </si>
  <si>
    <t>University of Illinois at Urbana-Champaign</t>
  </si>
  <si>
    <t>cc2cm@virginia.edu</t>
  </si>
  <si>
    <t xml:space="preserve">Neville, Quinton </t>
  </si>
  <si>
    <t>Columbia University</t>
  </si>
  <si>
    <t>qn6au@virginia.edu</t>
  </si>
  <si>
    <t>ks6pn@virginia.edu</t>
  </si>
  <si>
    <t>vh5dg@virginia.edu</t>
  </si>
  <si>
    <t xml:space="preserve">Isch, Calvin </t>
  </si>
  <si>
    <t>Indiana University</t>
  </si>
  <si>
    <t>ci3uz@virginia.edu</t>
  </si>
  <si>
    <t>Keast, Jessica </t>
  </si>
  <si>
    <t>Smith College</t>
  </si>
  <si>
    <t>jk9ra@virginia.edu</t>
  </si>
  <si>
    <t>Marymount University</t>
  </si>
  <si>
    <t>University of Notre Dame</t>
  </si>
  <si>
    <t>Sawhney, Raghav </t>
  </si>
  <si>
    <t>Virginia Polytechnic Institute and State University</t>
  </si>
  <si>
    <t>rs7te@virginia.edu</t>
  </si>
  <si>
    <t>ent4pn@virginia.edu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</si>
</sst>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2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u/>
      <sz val="14"/>
      <color theme="1"/>
      <name val="Franklin Gothic Book"/>
      <family val="2"/>
    </font>
    <font>
      <b/>
      <sz val="5"/>
      <color theme="1"/>
      <name val="Franklin Gothic Book"/>
      <family val="2"/>
    </font>
    <font>
      <u/>
      <sz val="12"/>
      <color theme="10"/>
      <name val="Calibri"/>
      <family val="2"/>
      <scheme val="minor"/>
    </font>
    <font>
      <b/>
      <sz val="12"/>
      <color theme="1"/>
      <name val="Franklin Gothic Book"/>
      <family val="2"/>
    </font>
    <font>
      <sz val="12"/>
      <color theme="1"/>
      <name val="Segoe UI Symbol"/>
      <family val="2"/>
    </font>
    <font>
      <sz val="12"/>
      <color theme="1"/>
      <name val="MS Gothic"/>
      <family val="3"/>
    </font>
    <font>
      <sz val="12"/>
      <color rgb="FF000000"/>
      <name val="Calibri"/>
      <family val="2"/>
    </font>
    <font>
      <sz val="12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color theme="1"/>
      <name val="Calibri"/>
    </font>
    <font>
      <u/>
      <sz val="12"/>
      <color theme="10"/>
      <name val="Calibri"/>
    </font>
    <font>
      <sz val="12"/>
      <color theme="1"/>
      <name val="Calibri"/>
    </font>
    <font>
      <u/>
      <sz val="12"/>
      <color rgb="FF0563C1"/>
      <name val="Calibri"/>
    </font>
    <font>
      <b/>
      <sz val="12"/>
      <name val="Calibri"/>
    </font>
    <font>
      <sz val="12"/>
      <name val="Calibri"/>
    </font>
    <font>
      <b/>
      <sz val="12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59">
    <xf numFmtId="0" fontId="0" fillId="0" borderId="0" xfId="0"/>
    <xf numFmtId="0" fontId="3" fillId="0" borderId="0" xfId="2" applyFont="1" applyAlignment="1">
      <alignment horizontal="center" vertical="center"/>
    </xf>
    <xf numFmtId="16" fontId="3" fillId="0" borderId="0" xfId="2" applyNumberFormat="1" applyFont="1" applyAlignment="1">
      <alignment horizontal="center" vertical="center"/>
    </xf>
    <xf numFmtId="0" fontId="2" fillId="0" borderId="0" xfId="2" applyAlignment="1">
      <alignment horizontal="center" vertical="center"/>
    </xf>
    <xf numFmtId="0" fontId="4" fillId="0" borderId="0" xfId="2" applyFont="1" applyAlignment="1">
      <alignment vertical="center" wrapText="1"/>
    </xf>
    <xf numFmtId="0" fontId="2" fillId="0" borderId="0" xfId="2" applyAlignment="1">
      <alignment vertical="center" wrapText="1"/>
    </xf>
    <xf numFmtId="0" fontId="2" fillId="0" borderId="0" xfId="2" applyAlignment="1">
      <alignment horizontal="left" vertical="center" wrapText="1"/>
    </xf>
    <xf numFmtId="16" fontId="2" fillId="0" borderId="0" xfId="2" applyNumberFormat="1" applyAlignment="1">
      <alignment horizontal="center" vertical="center"/>
    </xf>
    <xf numFmtId="6" fontId="0" fillId="0" borderId="0" xfId="3" applyNumberFormat="1" applyFont="1" applyAlignment="1">
      <alignment horizontal="center" vertical="center"/>
    </xf>
    <xf numFmtId="0" fontId="2" fillId="0" borderId="0" xfId="2" applyAlignment="1">
      <alignment vertical="center"/>
    </xf>
    <xf numFmtId="0" fontId="5" fillId="0" borderId="0" xfId="2" applyFont="1" applyAlignment="1">
      <alignment horizontal="left" vertical="center" indent="2"/>
    </xf>
    <xf numFmtId="0" fontId="2" fillId="0" borderId="0" xfId="2" applyAlignment="1">
      <alignment horizontal="left" vertical="center"/>
    </xf>
    <xf numFmtId="0" fontId="6" fillId="0" borderId="0" xfId="2" applyFont="1" applyAlignment="1">
      <alignment vertical="center"/>
    </xf>
    <xf numFmtId="0" fontId="7" fillId="0" borderId="0" xfId="4" applyAlignment="1">
      <alignment vertical="center"/>
    </xf>
    <xf numFmtId="0" fontId="8" fillId="0" borderId="0" xfId="2" applyFont="1" applyAlignment="1">
      <alignment vertical="center"/>
    </xf>
    <xf numFmtId="0" fontId="9" fillId="0" borderId="0" xfId="2" applyFont="1" applyAlignment="1">
      <alignment horizontal="left" vertical="center" indent="3"/>
    </xf>
    <xf numFmtId="0" fontId="4" fillId="0" borderId="0" xfId="2" applyFont="1" applyAlignment="1">
      <alignment vertical="center"/>
    </xf>
    <xf numFmtId="0" fontId="7" fillId="0" borderId="0" xfId="4" applyAlignment="1">
      <alignment horizontal="left" vertical="center" indent="3"/>
    </xf>
    <xf numFmtId="0" fontId="10" fillId="0" borderId="0" xfId="2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4" fillId="0" borderId="0" xfId="2" applyFont="1" applyAlignment="1">
      <alignment horizontal="center" vertical="center"/>
    </xf>
    <xf numFmtId="0" fontId="15" fillId="0" borderId="0" xfId="2" applyFont="1" applyAlignment="1">
      <alignment horizontal="left" vertical="center"/>
    </xf>
    <xf numFmtId="0" fontId="19" fillId="0" borderId="0" xfId="1" applyFont="1" applyFill="1" applyBorder="1" applyAlignment="1">
      <alignment vertical="top"/>
    </xf>
    <xf numFmtId="0" fontId="17" fillId="0" borderId="0" xfId="0" applyFont="1"/>
    <xf numFmtId="0" fontId="18" fillId="0" borderId="0" xfId="0" applyFont="1"/>
    <xf numFmtId="0" fontId="16" fillId="0" borderId="0" xfId="0" applyFont="1"/>
    <xf numFmtId="0" fontId="20" fillId="0" borderId="0" xfId="0" applyFont="1"/>
    <xf numFmtId="0" fontId="16" fillId="0" borderId="0" xfId="0" applyFont="1" applyAlignment="1">
      <alignment vertical="top"/>
    </xf>
    <xf numFmtId="0" fontId="21" fillId="0" borderId="0" xfId="0" applyFont="1"/>
    <xf numFmtId="0" fontId="20" fillId="0" borderId="0" xfId="0" applyFont="1" applyAlignment="1">
      <alignment vertical="top"/>
    </xf>
    <xf numFmtId="0" fontId="17" fillId="10" borderId="0" xfId="0" applyFont="1" applyFill="1"/>
    <xf numFmtId="0" fontId="19" fillId="0" borderId="0" xfId="1" applyFont="1" applyBorder="1" applyAlignment="1"/>
    <xf numFmtId="0" fontId="3" fillId="0" borderId="0" xfId="0" applyFont="1" applyAlignment="1">
      <alignment horizontal="center"/>
    </xf>
    <xf numFmtId="0" fontId="2" fillId="0" borderId="0" xfId="0" applyFont="1"/>
    <xf numFmtId="0" fontId="2" fillId="4" borderId="0" xfId="0" applyFont="1" applyFill="1"/>
    <xf numFmtId="0" fontId="7" fillId="4" borderId="0" xfId="1" applyFont="1" applyFill="1"/>
    <xf numFmtId="0" fontId="2" fillId="5" borderId="0" xfId="0" applyFont="1" applyFill="1"/>
    <xf numFmtId="0" fontId="7" fillId="5" borderId="0" xfId="1" applyFont="1" applyFill="1"/>
    <xf numFmtId="0" fontId="2" fillId="0" borderId="1" xfId="0" applyFont="1" applyBorder="1"/>
    <xf numFmtId="0" fontId="2" fillId="6" borderId="0" xfId="0" applyFont="1" applyFill="1"/>
    <xf numFmtId="0" fontId="7" fillId="6" borderId="0" xfId="1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2" borderId="0" xfId="0" applyFont="1" applyFill="1"/>
    <xf numFmtId="0" fontId="2" fillId="3" borderId="0" xfId="0" applyFont="1" applyFill="1"/>
    <xf numFmtId="0" fontId="7" fillId="3" borderId="0" xfId="1" applyFont="1" applyFill="1"/>
    <xf numFmtId="0" fontId="19" fillId="0" borderId="0" xfId="1" applyFont="1" applyFill="1" applyBorder="1" applyAlignment="1"/>
    <xf numFmtId="0" fontId="22" fillId="11" borderId="0" xfId="0" applyFont="1" applyFill="1"/>
    <xf numFmtId="0" fontId="23" fillId="0" borderId="0" xfId="0" applyFont="1"/>
    <xf numFmtId="0" fontId="0" fillId="12" borderId="0" xfId="0" applyFill="1"/>
    <xf numFmtId="0" fontId="4" fillId="0" borderId="0" xfId="0" applyFont="1"/>
    <xf numFmtId="0" fontId="24" fillId="0" borderId="0" xfId="0" applyFont="1" applyAlignment="1">
      <alignment horizontal="center"/>
    </xf>
    <xf numFmtId="0" fontId="0" fillId="13" borderId="0" xfId="0" applyFill="1"/>
    <xf numFmtId="0" fontId="4" fillId="13" borderId="0" xfId="0" applyFont="1" applyFill="1"/>
    <xf numFmtId="0" fontId="15" fillId="13" borderId="0" xfId="2" applyFont="1" applyFill="1" applyAlignment="1">
      <alignment horizontal="left" vertical="center"/>
    </xf>
  </cellXfs>
  <cellStyles count="5">
    <cellStyle name="Currency 2" xfId="3" xr:uid="{E74AE2D4-EE1D-4DF9-9DB8-C7985A89326A}"/>
    <cellStyle name="Hyperlink" xfId="1" builtinId="8"/>
    <cellStyle name="Hyperlink 2" xfId="4" xr:uid="{EAC4E9C0-287A-415A-9914-B1900CB89858}"/>
    <cellStyle name="Normal" xfId="0" builtinId="0"/>
    <cellStyle name="Normal 2" xfId="2" xr:uid="{7FF2C57A-F042-48B5-903F-CAC241DA8954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eh6fy@virginia.edu" TargetMode="External"/><Relationship Id="rId2" Type="http://schemas.openxmlformats.org/officeDocument/2006/relationships/hyperlink" Target="mailto:kno5cac@virginia.edu" TargetMode="External"/><Relationship Id="rId1" Type="http://schemas.openxmlformats.org/officeDocument/2006/relationships/hyperlink" Target="mailto:jme6bk@virginia.edu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josh.goldstein@virginia.edu" TargetMode="External"/><Relationship Id="rId13" Type="http://schemas.openxmlformats.org/officeDocument/2006/relationships/hyperlink" Target="https://biocomplexity.virginia.edu/joel-thurston" TargetMode="External"/><Relationship Id="rId18" Type="http://schemas.openxmlformats.org/officeDocument/2006/relationships/hyperlink" Target="https://biocomplexity.virginia.edu/person/eric-oh" TargetMode="External"/><Relationship Id="rId26" Type="http://schemas.openxmlformats.org/officeDocument/2006/relationships/hyperlink" Target="mailto:kurtz217@umn.edu" TargetMode="External"/><Relationship Id="rId3" Type="http://schemas.openxmlformats.org/officeDocument/2006/relationships/hyperlink" Target="mailto:kb7hp@virginia.edu" TargetMode="External"/><Relationship Id="rId21" Type="http://schemas.openxmlformats.org/officeDocument/2006/relationships/hyperlink" Target="mailto:gxk9jg@virginia.edu" TargetMode="External"/><Relationship Id="rId7" Type="http://schemas.openxmlformats.org/officeDocument/2006/relationships/hyperlink" Target="mailto:aaron.schroeder@virginia.edu" TargetMode="External"/><Relationship Id="rId12" Type="http://schemas.openxmlformats.org/officeDocument/2006/relationships/hyperlink" Target="mailto:jt9sz@virginia.edu" TargetMode="External"/><Relationship Id="rId17" Type="http://schemas.openxmlformats.org/officeDocument/2006/relationships/hyperlink" Target="https://biocomplexity.virginia.edu/stephanie-shipp" TargetMode="External"/><Relationship Id="rId25" Type="http://schemas.openxmlformats.org/officeDocument/2006/relationships/hyperlink" Target="mailto:pae4ey@virginia.edu" TargetMode="External"/><Relationship Id="rId2" Type="http://schemas.openxmlformats.org/officeDocument/2006/relationships/hyperlink" Target="mailto:unq6jg@virginia.edu" TargetMode="External"/><Relationship Id="rId16" Type="http://schemas.openxmlformats.org/officeDocument/2006/relationships/hyperlink" Target="mailto:sss5sc@virginia.edu" TargetMode="External"/><Relationship Id="rId20" Type="http://schemas.openxmlformats.org/officeDocument/2006/relationships/hyperlink" Target="https://biocomplexity.virginia.edu/person/aritra-halder" TargetMode="External"/><Relationship Id="rId29" Type="http://schemas.openxmlformats.org/officeDocument/2006/relationships/hyperlink" Target="mailto:asr8r@virginia.edu" TargetMode="External"/><Relationship Id="rId1" Type="http://schemas.openxmlformats.org/officeDocument/2006/relationships/hyperlink" Target="mailto:scb8kw@virginia.edu" TargetMode="External"/><Relationship Id="rId6" Type="http://schemas.openxmlformats.org/officeDocument/2006/relationships/hyperlink" Target="https://biocomplexity.virginia.edu/aaron-schroeder" TargetMode="External"/><Relationship Id="rId11" Type="http://schemas.openxmlformats.org/officeDocument/2006/relationships/hyperlink" Target="https://biocomplexity.virginia.edu/vicki-lancaster" TargetMode="External"/><Relationship Id="rId24" Type="http://schemas.openxmlformats.org/officeDocument/2006/relationships/hyperlink" Target="mailto:zz3hs@virginia.edu" TargetMode="External"/><Relationship Id="rId5" Type="http://schemas.openxmlformats.org/officeDocument/2006/relationships/hyperlink" Target="https://www.stat.iastate.edu/people/sarah-nusser" TargetMode="External"/><Relationship Id="rId15" Type="http://schemas.openxmlformats.org/officeDocument/2006/relationships/hyperlink" Target="https://biocomplexity.virginia.edu/nathaniel-ratcliff" TargetMode="External"/><Relationship Id="rId23" Type="http://schemas.openxmlformats.org/officeDocument/2006/relationships/hyperlink" Target="mailto:dkj3ny@virginia.edu" TargetMode="External"/><Relationship Id="rId28" Type="http://schemas.openxmlformats.org/officeDocument/2006/relationships/hyperlink" Target="mailto:digvijay.ghotane@gmail.com" TargetMode="External"/><Relationship Id="rId10" Type="http://schemas.openxmlformats.org/officeDocument/2006/relationships/hyperlink" Target="mailto:val7zv@virginia.edu" TargetMode="External"/><Relationship Id="rId19" Type="http://schemas.openxmlformats.org/officeDocument/2006/relationships/hyperlink" Target="mailto:eo9tv@virginia.edu" TargetMode="External"/><Relationship Id="rId31" Type="http://schemas.openxmlformats.org/officeDocument/2006/relationships/hyperlink" Target="mailto:tomlinh22@mail.wlu.edu" TargetMode="External"/><Relationship Id="rId4" Type="http://schemas.openxmlformats.org/officeDocument/2006/relationships/hyperlink" Target="https://biocomplexity.virginia.edu/brandon-kramer" TargetMode="External"/><Relationship Id="rId9" Type="http://schemas.openxmlformats.org/officeDocument/2006/relationships/hyperlink" Target="https://biocomplexity.virginia.edu/joshua-goldstein" TargetMode="External"/><Relationship Id="rId14" Type="http://schemas.openxmlformats.org/officeDocument/2006/relationships/hyperlink" Target="mailto:nr3xe@virginia.edu" TargetMode="External"/><Relationship Id="rId22" Type="http://schemas.openxmlformats.org/officeDocument/2006/relationships/hyperlink" Target="https://biocomplexity.virginia.edu/person/cesar-montalvo" TargetMode="External"/><Relationship Id="rId27" Type="http://schemas.openxmlformats.org/officeDocument/2006/relationships/hyperlink" Target="mailto:morganstockham@gmail.com" TargetMode="External"/><Relationship Id="rId30" Type="http://schemas.openxmlformats.org/officeDocument/2006/relationships/hyperlink" Target="mailto:cierraoliveira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alizadeh@iastate.edu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Kyle96jacobs@gmail.com" TargetMode="External"/><Relationship Id="rId1" Type="http://schemas.openxmlformats.org/officeDocument/2006/relationships/hyperlink" Target="mailto:Calawson122@gmail.com" TargetMode="External"/><Relationship Id="rId6" Type="http://schemas.openxmlformats.org/officeDocument/2006/relationships/hyperlink" Target="mailto:ig5eq@virginia.edu" TargetMode="External"/><Relationship Id="rId5" Type="http://schemas.openxmlformats.org/officeDocument/2006/relationships/hyperlink" Target="mailto:dgthomas@iastate.edu" TargetMode="External"/><Relationship Id="rId4" Type="http://schemas.openxmlformats.org/officeDocument/2006/relationships/hyperlink" Target="mailto:ksridhar@iastate.edu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jk9ra@virginia.edu" TargetMode="External"/><Relationship Id="rId3" Type="http://schemas.openxmlformats.org/officeDocument/2006/relationships/hyperlink" Target="mailto:cc2cm@virginia.edu" TargetMode="External"/><Relationship Id="rId7" Type="http://schemas.openxmlformats.org/officeDocument/2006/relationships/hyperlink" Target="mailto:ci3uz@virginia.edu" TargetMode="External"/><Relationship Id="rId12" Type="http://schemas.openxmlformats.org/officeDocument/2006/relationships/hyperlink" Target="mailto:ent4pn@virginia.edu" TargetMode="External"/><Relationship Id="rId2" Type="http://schemas.openxmlformats.org/officeDocument/2006/relationships/hyperlink" Target="mailto:ap3xx@virginia.edu" TargetMode="External"/><Relationship Id="rId1" Type="http://schemas.openxmlformats.org/officeDocument/2006/relationships/hyperlink" Target="mailto:af5ug@virginia.edu" TargetMode="External"/><Relationship Id="rId6" Type="http://schemas.openxmlformats.org/officeDocument/2006/relationships/hyperlink" Target="mailto:vh5dg@virginia.edu" TargetMode="External"/><Relationship Id="rId11" Type="http://schemas.openxmlformats.org/officeDocument/2006/relationships/hyperlink" Target="mailto:rs7te@virginia.edu" TargetMode="External"/><Relationship Id="rId5" Type="http://schemas.openxmlformats.org/officeDocument/2006/relationships/hyperlink" Target="mailto:qn6au@virginia.edu" TargetMode="External"/><Relationship Id="rId10" Type="http://schemas.openxmlformats.org/officeDocument/2006/relationships/hyperlink" Target="mailto:sp3sd@virginia.edu" TargetMode="External"/><Relationship Id="rId4" Type="http://schemas.openxmlformats.org/officeDocument/2006/relationships/hyperlink" Target="mailto:ks6pn@virginia.edu" TargetMode="External"/><Relationship Id="rId9" Type="http://schemas.openxmlformats.org/officeDocument/2006/relationships/hyperlink" Target="mailto:sm9dv@virgini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DAD6-12F4-445C-885D-34D5B8AF359B}">
  <dimension ref="A1:Q89"/>
  <sheetViews>
    <sheetView tabSelected="1" topLeftCell="A58" workbookViewId="0">
      <selection activeCell="D100" sqref="D100"/>
    </sheetView>
  </sheetViews>
  <sheetFormatPr defaultRowHeight="15"/>
  <cols>
    <col min="1" max="1" width="5.42578125" bestFit="1" customWidth="1"/>
    <col min="2" max="3" width="27.28515625" bestFit="1" customWidth="1"/>
    <col min="4" max="4" width="21.85546875" bestFit="1" customWidth="1"/>
    <col min="5" max="5" width="16.7109375" bestFit="1" customWidth="1"/>
    <col min="6" max="6" width="53.42578125" bestFit="1" customWidth="1"/>
    <col min="7" max="7" width="13.85546875" bestFit="1" customWidth="1"/>
    <col min="8" max="11" width="13.85546875" customWidth="1"/>
    <col min="12" max="12" width="34.140625" bestFit="1" customWidth="1"/>
    <col min="13" max="13" width="53" bestFit="1" customWidth="1"/>
    <col min="14" max="14" width="8.140625" bestFit="1" customWidth="1"/>
  </cols>
  <sheetData>
    <row r="1" spans="1:17" s="55" customFormat="1" ht="15.75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13</v>
      </c>
      <c r="O1" s="55" t="s">
        <v>14</v>
      </c>
      <c r="P1" s="55" t="s">
        <v>15</v>
      </c>
      <c r="Q1" s="55" t="s">
        <v>16</v>
      </c>
    </row>
    <row r="2" spans="1:17" ht="15.75">
      <c r="A2" s="53">
        <v>2014</v>
      </c>
      <c r="B2" s="54" t="s">
        <v>17</v>
      </c>
      <c r="C2" s="54"/>
      <c r="D2" s="54" t="s">
        <v>18</v>
      </c>
      <c r="E2" s="54" t="s">
        <v>19</v>
      </c>
      <c r="F2" s="54" t="s">
        <v>20</v>
      </c>
      <c r="G2" s="54" t="s">
        <v>21</v>
      </c>
      <c r="H2" s="54"/>
      <c r="I2" s="54"/>
      <c r="J2" s="54"/>
      <c r="K2" s="54"/>
      <c r="L2" t="s">
        <v>22</v>
      </c>
      <c r="M2" t="s">
        <v>23</v>
      </c>
      <c r="N2" s="54" t="s">
        <v>24</v>
      </c>
    </row>
    <row r="3" spans="1:17" ht="15.75">
      <c r="A3">
        <v>2014</v>
      </c>
      <c r="B3" s="54" t="s">
        <v>25</v>
      </c>
      <c r="C3" s="54"/>
      <c r="D3" s="54" t="s">
        <v>26</v>
      </c>
      <c r="E3" s="54" t="s">
        <v>27</v>
      </c>
      <c r="F3" s="54" t="s">
        <v>28</v>
      </c>
      <c r="G3" s="54" t="s">
        <v>29</v>
      </c>
      <c r="H3" s="54"/>
      <c r="I3" s="54"/>
      <c r="J3" s="54"/>
      <c r="K3" s="54"/>
      <c r="L3" t="s">
        <v>22</v>
      </c>
      <c r="M3" t="s">
        <v>30</v>
      </c>
      <c r="N3" s="54" t="s">
        <v>24</v>
      </c>
    </row>
    <row r="4" spans="1:17" ht="15.75">
      <c r="A4">
        <v>2014</v>
      </c>
      <c r="B4" s="54" t="s">
        <v>31</v>
      </c>
      <c r="C4" s="54"/>
      <c r="D4" s="54" t="s">
        <v>32</v>
      </c>
      <c r="E4" s="54" t="s">
        <v>19</v>
      </c>
      <c r="F4" s="54" t="s">
        <v>33</v>
      </c>
      <c r="G4" s="54" t="s">
        <v>33</v>
      </c>
      <c r="H4" s="54"/>
      <c r="I4" s="54"/>
      <c r="J4" s="54"/>
      <c r="K4" s="54"/>
      <c r="L4" t="s">
        <v>22</v>
      </c>
      <c r="M4" t="s">
        <v>34</v>
      </c>
      <c r="N4" s="54" t="s">
        <v>24</v>
      </c>
    </row>
    <row r="5" spans="1:17" ht="15.75">
      <c r="A5">
        <v>2014</v>
      </c>
      <c r="B5" s="54" t="s">
        <v>35</v>
      </c>
      <c r="C5" s="54"/>
      <c r="D5" s="54" t="s">
        <v>18</v>
      </c>
      <c r="E5" s="54" t="s">
        <v>36</v>
      </c>
      <c r="F5" s="54" t="s">
        <v>20</v>
      </c>
      <c r="G5" s="54" t="s">
        <v>21</v>
      </c>
      <c r="H5" s="54"/>
      <c r="I5" s="54"/>
      <c r="J5" s="54"/>
      <c r="K5" s="54"/>
      <c r="L5" t="s">
        <v>22</v>
      </c>
      <c r="M5" t="s">
        <v>37</v>
      </c>
      <c r="N5" s="54" t="s">
        <v>38</v>
      </c>
    </row>
    <row r="6" spans="1:17" ht="15.75">
      <c r="A6">
        <v>2014</v>
      </c>
      <c r="B6" s="54" t="s">
        <v>39</v>
      </c>
      <c r="C6" s="54"/>
      <c r="D6" s="54" t="s">
        <v>18</v>
      </c>
      <c r="E6" s="54" t="s">
        <v>36</v>
      </c>
      <c r="F6" s="54" t="s">
        <v>20</v>
      </c>
      <c r="G6" s="54" t="s">
        <v>21</v>
      </c>
      <c r="H6" s="54"/>
      <c r="I6" s="54"/>
      <c r="J6" s="54"/>
      <c r="K6" s="54"/>
      <c r="L6" t="s">
        <v>22</v>
      </c>
      <c r="M6" t="s">
        <v>40</v>
      </c>
      <c r="N6" s="54" t="s">
        <v>38</v>
      </c>
    </row>
    <row r="7" spans="1:17" ht="15.75">
      <c r="A7">
        <v>2014</v>
      </c>
      <c r="B7" s="54" t="s">
        <v>41</v>
      </c>
      <c r="C7" s="54"/>
      <c r="D7" s="54" t="s">
        <v>18</v>
      </c>
      <c r="E7" s="54" t="s">
        <v>36</v>
      </c>
      <c r="F7" s="54" t="s">
        <v>20</v>
      </c>
      <c r="G7" s="54" t="s">
        <v>21</v>
      </c>
      <c r="H7" s="54"/>
      <c r="I7" s="54"/>
      <c r="J7" s="54"/>
      <c r="K7" s="54"/>
      <c r="L7" t="s">
        <v>22</v>
      </c>
      <c r="M7" t="s">
        <v>42</v>
      </c>
      <c r="N7" s="54" t="s">
        <v>38</v>
      </c>
    </row>
    <row r="8" spans="1:17" ht="15.75">
      <c r="A8">
        <v>2014</v>
      </c>
      <c r="B8" s="54" t="s">
        <v>43</v>
      </c>
      <c r="C8" s="54"/>
      <c r="D8" s="54" t="s">
        <v>44</v>
      </c>
      <c r="E8" s="54" t="s">
        <v>19</v>
      </c>
      <c r="F8" s="54" t="s">
        <v>29</v>
      </c>
      <c r="G8" s="54" t="s">
        <v>29</v>
      </c>
      <c r="H8" s="54"/>
      <c r="I8" s="54"/>
      <c r="J8" s="54"/>
      <c r="K8" s="54"/>
      <c r="L8" t="s">
        <v>22</v>
      </c>
      <c r="M8" t="s">
        <v>45</v>
      </c>
      <c r="N8" s="54" t="s">
        <v>24</v>
      </c>
    </row>
    <row r="9" spans="1:17" ht="15.75">
      <c r="A9">
        <v>2014</v>
      </c>
      <c r="B9" s="54" t="s">
        <v>46</v>
      </c>
      <c r="C9" s="54"/>
      <c r="D9" s="54" t="s">
        <v>18</v>
      </c>
      <c r="E9" s="54" t="s">
        <v>27</v>
      </c>
      <c r="F9" s="54" t="s">
        <v>47</v>
      </c>
      <c r="G9" s="54" t="s">
        <v>48</v>
      </c>
      <c r="H9" s="54"/>
      <c r="I9" s="54"/>
      <c r="J9" s="54"/>
      <c r="K9" s="54"/>
      <c r="L9" t="s">
        <v>22</v>
      </c>
      <c r="M9" t="s">
        <v>49</v>
      </c>
      <c r="N9" s="54" t="s">
        <v>24</v>
      </c>
    </row>
    <row r="10" spans="1:17" ht="15.75">
      <c r="A10" s="53">
        <v>2015</v>
      </c>
      <c r="B10" s="54" t="s">
        <v>50</v>
      </c>
      <c r="C10" s="54"/>
      <c r="D10" s="54" t="s">
        <v>51</v>
      </c>
      <c r="E10" s="54" t="s">
        <v>19</v>
      </c>
      <c r="F10" s="54" t="s">
        <v>52</v>
      </c>
      <c r="G10" s="54" t="s">
        <v>21</v>
      </c>
      <c r="H10" s="54"/>
      <c r="I10" s="54"/>
      <c r="J10" s="54"/>
      <c r="K10" s="54"/>
      <c r="L10" t="s">
        <v>22</v>
      </c>
      <c r="M10" t="s">
        <v>53</v>
      </c>
      <c r="N10" s="54" t="s">
        <v>38</v>
      </c>
    </row>
    <row r="11" spans="1:17" ht="15.75">
      <c r="A11">
        <v>2015</v>
      </c>
      <c r="B11" s="54" t="s">
        <v>54</v>
      </c>
      <c r="C11" s="54"/>
      <c r="D11" s="54" t="s">
        <v>55</v>
      </c>
      <c r="E11" s="54" t="s">
        <v>19</v>
      </c>
      <c r="F11" s="54" t="s">
        <v>56</v>
      </c>
      <c r="G11" s="54" t="s">
        <v>21</v>
      </c>
      <c r="H11" s="54"/>
      <c r="I11" s="54"/>
      <c r="J11" s="54"/>
      <c r="K11" s="54"/>
      <c r="L11" t="s">
        <v>22</v>
      </c>
      <c r="M11" t="s">
        <v>57</v>
      </c>
      <c r="N11" s="54" t="s">
        <v>24</v>
      </c>
    </row>
    <row r="12" spans="1:17" ht="15.75">
      <c r="A12">
        <v>2015</v>
      </c>
      <c r="B12" s="54" t="s">
        <v>58</v>
      </c>
      <c r="C12" s="54"/>
      <c r="D12" s="54" t="s">
        <v>59</v>
      </c>
      <c r="E12" s="54" t="s">
        <v>27</v>
      </c>
      <c r="F12" s="54" t="s">
        <v>52</v>
      </c>
      <c r="G12" s="54" t="s">
        <v>21</v>
      </c>
      <c r="H12" s="54"/>
      <c r="I12" s="54"/>
      <c r="J12" s="54"/>
      <c r="K12" s="54"/>
      <c r="L12" t="s">
        <v>22</v>
      </c>
      <c r="M12" t="s">
        <v>60</v>
      </c>
      <c r="N12" s="54" t="s">
        <v>24</v>
      </c>
    </row>
    <row r="13" spans="1:17" ht="15.75">
      <c r="A13">
        <v>2015</v>
      </c>
      <c r="B13" s="54" t="s">
        <v>61</v>
      </c>
      <c r="C13" s="54"/>
      <c r="D13" s="54" t="s">
        <v>44</v>
      </c>
      <c r="E13" s="54" t="s">
        <v>19</v>
      </c>
      <c r="F13" s="54" t="s">
        <v>29</v>
      </c>
      <c r="G13" s="54" t="s">
        <v>29</v>
      </c>
      <c r="H13" s="54"/>
      <c r="I13" s="54"/>
      <c r="J13" s="54"/>
      <c r="K13" s="54"/>
      <c r="L13" t="s">
        <v>22</v>
      </c>
      <c r="M13" t="s">
        <v>45</v>
      </c>
      <c r="N13" s="54" t="s">
        <v>24</v>
      </c>
    </row>
    <row r="14" spans="1:17" ht="15.75">
      <c r="A14">
        <v>2015</v>
      </c>
      <c r="B14" s="54" t="s">
        <v>62</v>
      </c>
      <c r="C14" s="54"/>
      <c r="D14" s="54" t="s">
        <v>51</v>
      </c>
      <c r="E14" s="54" t="s">
        <v>27</v>
      </c>
      <c r="F14" s="54" t="s">
        <v>52</v>
      </c>
      <c r="G14" s="54" t="s">
        <v>21</v>
      </c>
      <c r="H14" s="54"/>
      <c r="I14" s="54"/>
      <c r="J14" s="54"/>
      <c r="K14" s="54"/>
      <c r="L14" t="s">
        <v>63</v>
      </c>
      <c r="M14" t="s">
        <v>64</v>
      </c>
      <c r="N14" s="54" t="s">
        <v>24</v>
      </c>
    </row>
    <row r="15" spans="1:17" ht="15.75">
      <c r="A15">
        <v>2015</v>
      </c>
      <c r="B15" s="54" t="s">
        <v>65</v>
      </c>
      <c r="C15" s="54"/>
      <c r="D15" s="54" t="s">
        <v>66</v>
      </c>
      <c r="E15" s="54" t="s">
        <v>19</v>
      </c>
      <c r="F15" s="54" t="s">
        <v>67</v>
      </c>
      <c r="G15" s="54" t="s">
        <v>21</v>
      </c>
      <c r="H15" s="54"/>
      <c r="I15" s="54"/>
      <c r="J15" s="54"/>
      <c r="K15" s="54"/>
      <c r="L15" t="s">
        <v>63</v>
      </c>
      <c r="M15" t="s">
        <v>68</v>
      </c>
      <c r="N15" s="54" t="s">
        <v>38</v>
      </c>
    </row>
    <row r="16" spans="1:17" ht="15.75">
      <c r="A16" s="53">
        <v>2016</v>
      </c>
      <c r="B16" s="54" t="s">
        <v>50</v>
      </c>
      <c r="C16" s="54"/>
      <c r="D16" s="54" t="s">
        <v>51</v>
      </c>
      <c r="E16" s="54" t="s">
        <v>19</v>
      </c>
      <c r="F16" s="54" t="s">
        <v>52</v>
      </c>
      <c r="G16" s="54" t="s">
        <v>21</v>
      </c>
      <c r="H16" s="54"/>
      <c r="I16" s="54"/>
      <c r="J16" s="54"/>
      <c r="K16" s="54"/>
      <c r="L16" t="s">
        <v>22</v>
      </c>
      <c r="M16" t="s">
        <v>53</v>
      </c>
      <c r="N16" s="54" t="s">
        <v>38</v>
      </c>
    </row>
    <row r="17" spans="1:14" ht="15.75">
      <c r="A17">
        <v>2016</v>
      </c>
      <c r="B17" s="54" t="s">
        <v>69</v>
      </c>
      <c r="C17" s="54"/>
      <c r="D17" s="54" t="s">
        <v>70</v>
      </c>
      <c r="E17" s="54" t="s">
        <v>19</v>
      </c>
      <c r="F17" s="54" t="s">
        <v>71</v>
      </c>
      <c r="G17" s="54" t="s">
        <v>21</v>
      </c>
      <c r="H17" s="54"/>
      <c r="I17" s="54"/>
      <c r="J17" s="54"/>
      <c r="K17" s="54"/>
      <c r="L17" t="s">
        <v>63</v>
      </c>
      <c r="M17" t="s">
        <v>72</v>
      </c>
      <c r="N17" s="54" t="s">
        <v>38</v>
      </c>
    </row>
    <row r="18" spans="1:14" ht="15.75">
      <c r="A18">
        <v>2016</v>
      </c>
      <c r="B18" s="54" t="s">
        <v>73</v>
      </c>
      <c r="C18" s="54"/>
      <c r="D18" s="54" t="s">
        <v>74</v>
      </c>
      <c r="E18" s="54" t="s">
        <v>19</v>
      </c>
      <c r="F18" s="54" t="s">
        <v>75</v>
      </c>
      <c r="G18" s="54" t="s">
        <v>48</v>
      </c>
      <c r="H18" s="54"/>
      <c r="I18" s="54"/>
      <c r="J18" s="54"/>
      <c r="K18" s="54"/>
      <c r="L18" t="s">
        <v>76</v>
      </c>
      <c r="M18" t="s">
        <v>77</v>
      </c>
      <c r="N18" s="54" t="s">
        <v>38</v>
      </c>
    </row>
    <row r="19" spans="1:14" ht="15.75">
      <c r="A19">
        <v>2016</v>
      </c>
      <c r="B19" s="54" t="s">
        <v>78</v>
      </c>
      <c r="C19" s="54"/>
      <c r="D19" s="54" t="s">
        <v>51</v>
      </c>
      <c r="E19" s="54" t="s">
        <v>19</v>
      </c>
      <c r="F19" s="54" t="s">
        <v>79</v>
      </c>
      <c r="G19" s="54" t="s">
        <v>33</v>
      </c>
      <c r="H19" s="54"/>
      <c r="I19" s="54"/>
      <c r="J19" s="54"/>
      <c r="K19" s="54"/>
      <c r="L19" t="s">
        <v>63</v>
      </c>
      <c r="M19" t="s">
        <v>68</v>
      </c>
      <c r="N19" s="54" t="s">
        <v>38</v>
      </c>
    </row>
    <row r="20" spans="1:14" ht="15.75">
      <c r="A20">
        <v>2016</v>
      </c>
      <c r="B20" s="54" t="s">
        <v>80</v>
      </c>
      <c r="C20" s="54"/>
      <c r="D20" s="54" t="s">
        <v>51</v>
      </c>
      <c r="E20" s="54" t="s">
        <v>19</v>
      </c>
      <c r="F20" s="54" t="s">
        <v>81</v>
      </c>
      <c r="G20" s="54" t="s">
        <v>48</v>
      </c>
      <c r="H20" s="54"/>
      <c r="I20" s="54"/>
      <c r="J20" s="54"/>
      <c r="K20" s="54"/>
      <c r="L20" t="s">
        <v>76</v>
      </c>
      <c r="M20" t="s">
        <v>82</v>
      </c>
      <c r="N20" s="54" t="s">
        <v>24</v>
      </c>
    </row>
    <row r="21" spans="1:14" ht="15.75">
      <c r="A21">
        <v>2016</v>
      </c>
      <c r="B21" s="54" t="s">
        <v>83</v>
      </c>
      <c r="C21" s="54"/>
      <c r="D21" s="54" t="s">
        <v>84</v>
      </c>
      <c r="E21" s="54" t="s">
        <v>36</v>
      </c>
      <c r="F21" s="54" t="s">
        <v>52</v>
      </c>
      <c r="G21" s="54" t="s">
        <v>21</v>
      </c>
      <c r="H21" s="54"/>
      <c r="I21" s="54"/>
      <c r="J21" s="54"/>
      <c r="K21" s="54"/>
      <c r="L21" t="s">
        <v>76</v>
      </c>
      <c r="M21" t="s">
        <v>40</v>
      </c>
      <c r="N21" s="54" t="s">
        <v>38</v>
      </c>
    </row>
    <row r="22" spans="1:14" ht="15.75">
      <c r="A22">
        <v>2016</v>
      </c>
      <c r="B22" s="54" t="s">
        <v>85</v>
      </c>
      <c r="C22" s="54"/>
      <c r="D22" s="54" t="s">
        <v>84</v>
      </c>
      <c r="E22" s="54" t="s">
        <v>86</v>
      </c>
      <c r="F22" s="54" t="s">
        <v>52</v>
      </c>
      <c r="G22" s="54" t="s">
        <v>21</v>
      </c>
      <c r="H22" s="54"/>
      <c r="I22" s="54"/>
      <c r="J22" s="54"/>
      <c r="K22" s="54"/>
      <c r="N22" s="54" t="s">
        <v>38</v>
      </c>
    </row>
    <row r="23" spans="1:14" ht="15.75">
      <c r="A23">
        <v>2016</v>
      </c>
      <c r="B23" s="54" t="s">
        <v>87</v>
      </c>
      <c r="C23" s="54"/>
      <c r="D23" s="54" t="s">
        <v>88</v>
      </c>
      <c r="E23" s="54" t="s">
        <v>19</v>
      </c>
      <c r="F23" s="54" t="s">
        <v>79</v>
      </c>
      <c r="G23" s="54" t="s">
        <v>33</v>
      </c>
      <c r="H23" s="54"/>
      <c r="I23" s="54"/>
      <c r="J23" s="54"/>
      <c r="K23" s="54"/>
      <c r="N23" s="54" t="s">
        <v>24</v>
      </c>
    </row>
    <row r="24" spans="1:14" ht="15.75">
      <c r="A24" s="53">
        <v>2017</v>
      </c>
      <c r="B24" s="54" t="s">
        <v>89</v>
      </c>
      <c r="C24" s="54"/>
      <c r="D24" s="54" t="s">
        <v>51</v>
      </c>
      <c r="E24" s="54" t="s">
        <v>19</v>
      </c>
      <c r="F24" s="54" t="s">
        <v>90</v>
      </c>
      <c r="G24" s="54" t="s">
        <v>33</v>
      </c>
      <c r="H24" s="54"/>
      <c r="I24" s="54"/>
      <c r="J24" s="54"/>
      <c r="K24" s="54"/>
      <c r="N24" s="54" t="s">
        <v>38</v>
      </c>
    </row>
    <row r="25" spans="1:14" ht="15.75">
      <c r="A25">
        <v>2017</v>
      </c>
      <c r="B25" s="54" t="s">
        <v>91</v>
      </c>
      <c r="C25" s="54"/>
      <c r="D25" s="54" t="s">
        <v>51</v>
      </c>
      <c r="E25" s="54" t="s">
        <v>19</v>
      </c>
      <c r="F25" s="54" t="s">
        <v>92</v>
      </c>
      <c r="G25" s="54" t="s">
        <v>48</v>
      </c>
      <c r="H25" s="54"/>
      <c r="I25" s="54"/>
      <c r="J25" s="54"/>
      <c r="K25" s="54"/>
      <c r="N25" s="54" t="s">
        <v>24</v>
      </c>
    </row>
    <row r="26" spans="1:14" ht="15.75">
      <c r="A26">
        <v>2017</v>
      </c>
      <c r="B26" s="54" t="s">
        <v>93</v>
      </c>
      <c r="C26" s="54"/>
      <c r="D26" s="54" t="s">
        <v>51</v>
      </c>
      <c r="E26" s="54" t="s">
        <v>19</v>
      </c>
      <c r="F26" s="54" t="s">
        <v>94</v>
      </c>
      <c r="G26" s="54" t="s">
        <v>48</v>
      </c>
      <c r="H26" s="54"/>
      <c r="I26" s="54"/>
      <c r="J26" s="54"/>
      <c r="K26" s="54"/>
      <c r="N26" s="54" t="s">
        <v>38</v>
      </c>
    </row>
    <row r="27" spans="1:14" ht="15.75">
      <c r="A27">
        <v>2017</v>
      </c>
      <c r="B27" s="54" t="s">
        <v>95</v>
      </c>
      <c r="C27" s="54"/>
      <c r="D27" s="54" t="s">
        <v>96</v>
      </c>
      <c r="E27" s="54" t="s">
        <v>19</v>
      </c>
      <c r="F27" s="54" t="s">
        <v>97</v>
      </c>
      <c r="G27" s="54" t="s">
        <v>21</v>
      </c>
      <c r="H27" s="54"/>
      <c r="I27" s="54"/>
      <c r="J27" s="54"/>
      <c r="K27" s="54"/>
      <c r="N27" s="54" t="s">
        <v>38</v>
      </c>
    </row>
    <row r="28" spans="1:14" ht="15.75">
      <c r="A28">
        <v>2017</v>
      </c>
      <c r="B28" s="54" t="s">
        <v>98</v>
      </c>
      <c r="C28" s="54"/>
      <c r="D28" s="54" t="s">
        <v>51</v>
      </c>
      <c r="E28" s="54" t="s">
        <v>19</v>
      </c>
      <c r="F28" s="54" t="s">
        <v>99</v>
      </c>
      <c r="G28" s="54" t="s">
        <v>100</v>
      </c>
      <c r="H28" s="54"/>
      <c r="I28" s="54"/>
      <c r="J28" s="54"/>
      <c r="K28" s="54"/>
      <c r="N28" s="54" t="s">
        <v>24</v>
      </c>
    </row>
    <row r="29" spans="1:14" ht="15.75">
      <c r="A29">
        <v>2017</v>
      </c>
      <c r="B29" s="54" t="s">
        <v>101</v>
      </c>
      <c r="C29" s="54"/>
      <c r="D29" s="54" t="s">
        <v>51</v>
      </c>
      <c r="E29" s="54" t="s">
        <v>36</v>
      </c>
      <c r="F29" s="54" t="s">
        <v>102</v>
      </c>
      <c r="G29" s="54" t="s">
        <v>21</v>
      </c>
      <c r="H29" s="54"/>
      <c r="I29" s="54"/>
      <c r="J29" s="54"/>
      <c r="K29" s="54"/>
      <c r="N29" s="54" t="s">
        <v>24</v>
      </c>
    </row>
    <row r="30" spans="1:14" ht="15.75">
      <c r="A30">
        <v>2017</v>
      </c>
      <c r="B30" s="54" t="s">
        <v>103</v>
      </c>
      <c r="C30" s="54"/>
      <c r="D30" s="54" t="s">
        <v>51</v>
      </c>
      <c r="E30" s="54" t="s">
        <v>19</v>
      </c>
      <c r="F30" s="54" t="s">
        <v>97</v>
      </c>
      <c r="G30" s="54" t="s">
        <v>21</v>
      </c>
      <c r="H30" s="54"/>
      <c r="I30" s="54"/>
      <c r="J30" s="54"/>
      <c r="K30" s="54"/>
      <c r="N30" s="54" t="s">
        <v>24</v>
      </c>
    </row>
    <row r="31" spans="1:14" ht="15.75">
      <c r="A31">
        <v>2017</v>
      </c>
      <c r="B31" s="54" t="s">
        <v>104</v>
      </c>
      <c r="C31" s="54"/>
      <c r="D31" s="54" t="s">
        <v>51</v>
      </c>
      <c r="E31" s="54" t="s">
        <v>27</v>
      </c>
      <c r="F31" s="54" t="s">
        <v>52</v>
      </c>
      <c r="G31" s="54" t="s">
        <v>21</v>
      </c>
      <c r="H31" s="54"/>
      <c r="I31" s="54"/>
      <c r="J31" s="54"/>
      <c r="K31" s="54"/>
      <c r="N31" s="54" t="s">
        <v>24</v>
      </c>
    </row>
    <row r="32" spans="1:14" ht="15.75">
      <c r="A32">
        <v>2017</v>
      </c>
      <c r="B32" s="54" t="s">
        <v>105</v>
      </c>
      <c r="C32" s="54"/>
      <c r="D32" s="54" t="s">
        <v>51</v>
      </c>
      <c r="E32" s="54" t="s">
        <v>19</v>
      </c>
      <c r="F32" s="54" t="s">
        <v>97</v>
      </c>
      <c r="G32" s="54" t="s">
        <v>21</v>
      </c>
      <c r="H32" s="54"/>
      <c r="I32" s="54"/>
      <c r="J32" s="54"/>
      <c r="K32" s="54"/>
      <c r="N32" s="54" t="s">
        <v>24</v>
      </c>
    </row>
    <row r="33" spans="1:14" ht="15.75">
      <c r="A33">
        <v>2017</v>
      </c>
      <c r="B33" s="54" t="s">
        <v>106</v>
      </c>
      <c r="C33" s="54"/>
      <c r="D33" s="54" t="s">
        <v>51</v>
      </c>
      <c r="E33" s="54" t="s">
        <v>27</v>
      </c>
      <c r="F33" s="54" t="s">
        <v>52</v>
      </c>
      <c r="G33" s="54" t="s">
        <v>21</v>
      </c>
      <c r="H33" s="54"/>
      <c r="I33" s="54"/>
      <c r="J33" s="54"/>
      <c r="K33" s="54"/>
      <c r="N33" s="54" t="s">
        <v>38</v>
      </c>
    </row>
    <row r="34" spans="1:14" ht="15.75">
      <c r="A34">
        <v>2017</v>
      </c>
      <c r="B34" s="54" t="s">
        <v>107</v>
      </c>
      <c r="C34" s="54"/>
      <c r="D34" s="54" t="s">
        <v>51</v>
      </c>
      <c r="E34" s="54" t="s">
        <v>19</v>
      </c>
      <c r="F34" s="54" t="s">
        <v>92</v>
      </c>
      <c r="G34" s="54" t="s">
        <v>48</v>
      </c>
      <c r="H34" s="54"/>
      <c r="I34" s="54"/>
      <c r="J34" s="54"/>
      <c r="K34" s="54"/>
      <c r="N34" s="54" t="s">
        <v>38</v>
      </c>
    </row>
    <row r="35" spans="1:14" ht="15.75">
      <c r="A35">
        <v>2017</v>
      </c>
      <c r="B35" s="54" t="s">
        <v>108</v>
      </c>
      <c r="C35" s="54"/>
      <c r="D35" s="54" t="s">
        <v>51</v>
      </c>
      <c r="E35" s="54" t="s">
        <v>19</v>
      </c>
      <c r="F35" s="54" t="s">
        <v>109</v>
      </c>
      <c r="G35" s="54" t="s">
        <v>21</v>
      </c>
      <c r="H35" s="54"/>
      <c r="I35" s="54"/>
      <c r="J35" s="54"/>
      <c r="K35" s="54"/>
      <c r="N35" s="54" t="s">
        <v>24</v>
      </c>
    </row>
    <row r="36" spans="1:14" ht="15.75">
      <c r="A36">
        <v>2017</v>
      </c>
      <c r="B36" s="54" t="s">
        <v>110</v>
      </c>
      <c r="C36" s="54"/>
      <c r="D36" s="54" t="s">
        <v>51</v>
      </c>
      <c r="E36" s="54" t="s">
        <v>19</v>
      </c>
      <c r="F36" s="54" t="s">
        <v>111</v>
      </c>
      <c r="G36" s="54" t="s">
        <v>33</v>
      </c>
      <c r="H36" s="54"/>
      <c r="I36" s="54"/>
      <c r="J36" s="54"/>
      <c r="K36" s="54"/>
      <c r="N36" s="54" t="s">
        <v>24</v>
      </c>
    </row>
    <row r="37" spans="1:14" ht="15.75">
      <c r="A37">
        <v>2017</v>
      </c>
      <c r="B37" s="54" t="s">
        <v>112</v>
      </c>
      <c r="C37" s="54"/>
      <c r="D37" s="54" t="s">
        <v>51</v>
      </c>
      <c r="E37" s="54" t="s">
        <v>19</v>
      </c>
      <c r="F37" s="54" t="s">
        <v>99</v>
      </c>
      <c r="G37" s="54" t="s">
        <v>100</v>
      </c>
      <c r="H37" s="54"/>
      <c r="I37" s="54"/>
      <c r="J37" s="54"/>
      <c r="K37" s="54"/>
      <c r="N37" s="54" t="s">
        <v>38</v>
      </c>
    </row>
    <row r="38" spans="1:14" ht="15.75">
      <c r="A38">
        <v>2017</v>
      </c>
      <c r="B38" s="54" t="s">
        <v>113</v>
      </c>
      <c r="C38" s="54"/>
      <c r="D38" s="54" t="s">
        <v>51</v>
      </c>
      <c r="E38" s="54" t="s">
        <v>19</v>
      </c>
      <c r="F38" s="54" t="s">
        <v>99</v>
      </c>
      <c r="G38" s="54" t="s">
        <v>100</v>
      </c>
      <c r="H38" s="54"/>
      <c r="I38" s="54"/>
      <c r="J38" s="54"/>
      <c r="K38" s="54"/>
      <c r="N38" s="54" t="s">
        <v>38</v>
      </c>
    </row>
    <row r="39" spans="1:14" ht="15.75">
      <c r="A39">
        <v>2017</v>
      </c>
      <c r="B39" s="54" t="s">
        <v>114</v>
      </c>
      <c r="C39" s="54"/>
      <c r="D39" s="54" t="s">
        <v>51</v>
      </c>
      <c r="E39" s="54" t="s">
        <v>27</v>
      </c>
      <c r="F39" s="54" t="s">
        <v>52</v>
      </c>
      <c r="G39" s="54" t="s">
        <v>21</v>
      </c>
      <c r="H39" s="54"/>
      <c r="I39" s="54"/>
      <c r="J39" s="54"/>
      <c r="K39" s="54"/>
      <c r="N39" s="54" t="s">
        <v>38</v>
      </c>
    </row>
    <row r="40" spans="1:14" ht="15.75">
      <c r="A40">
        <v>2017</v>
      </c>
      <c r="B40" s="54" t="s">
        <v>50</v>
      </c>
      <c r="C40" s="54"/>
      <c r="D40" s="54" t="s">
        <v>96</v>
      </c>
      <c r="E40" s="54" t="s">
        <v>19</v>
      </c>
      <c r="F40" s="54" t="s">
        <v>52</v>
      </c>
      <c r="G40" s="54" t="s">
        <v>21</v>
      </c>
      <c r="H40" s="54"/>
      <c r="I40" s="54"/>
      <c r="J40" s="54"/>
      <c r="K40" s="54"/>
      <c r="N40" s="54" t="s">
        <v>38</v>
      </c>
    </row>
    <row r="41" spans="1:14" ht="15.75">
      <c r="A41">
        <v>2017</v>
      </c>
      <c r="B41" s="54" t="s">
        <v>115</v>
      </c>
      <c r="C41" s="54"/>
      <c r="D41" s="54" t="s">
        <v>51</v>
      </c>
      <c r="E41" s="54" t="s">
        <v>19</v>
      </c>
      <c r="F41" s="54" t="s">
        <v>52</v>
      </c>
      <c r="G41" s="54" t="s">
        <v>21</v>
      </c>
      <c r="H41" s="54"/>
      <c r="I41" s="54"/>
      <c r="J41" s="54"/>
      <c r="K41" s="54"/>
      <c r="N41" s="54" t="s">
        <v>24</v>
      </c>
    </row>
    <row r="42" spans="1:14" ht="15.75">
      <c r="A42">
        <v>2017</v>
      </c>
      <c r="B42" s="54" t="s">
        <v>116</v>
      </c>
      <c r="C42" s="54"/>
      <c r="D42" s="54" t="s">
        <v>51</v>
      </c>
      <c r="E42" s="54" t="s">
        <v>19</v>
      </c>
      <c r="F42" s="54" t="s">
        <v>117</v>
      </c>
      <c r="G42" s="54" t="s">
        <v>29</v>
      </c>
      <c r="H42" s="54"/>
      <c r="I42" s="54"/>
      <c r="J42" s="54"/>
      <c r="K42" s="54"/>
      <c r="N42" s="54" t="s">
        <v>38</v>
      </c>
    </row>
    <row r="43" spans="1:14" ht="15.75">
      <c r="A43">
        <v>2017</v>
      </c>
      <c r="B43" s="54" t="s">
        <v>118</v>
      </c>
      <c r="C43" s="54"/>
      <c r="D43" s="54" t="s">
        <v>119</v>
      </c>
      <c r="E43" s="54" t="s">
        <v>19</v>
      </c>
      <c r="F43" s="54" t="s">
        <v>120</v>
      </c>
      <c r="G43" s="54" t="s">
        <v>29</v>
      </c>
      <c r="H43" s="54"/>
      <c r="I43" s="54"/>
      <c r="J43" s="54"/>
      <c r="K43" s="54"/>
      <c r="N43" s="54" t="s">
        <v>24</v>
      </c>
    </row>
    <row r="44" spans="1:14" ht="15.75">
      <c r="A44" s="53">
        <v>2018</v>
      </c>
      <c r="B44" s="54" t="s">
        <v>121</v>
      </c>
      <c r="C44" s="54"/>
      <c r="D44" s="54" t="s">
        <v>51</v>
      </c>
      <c r="E44" s="54" t="s">
        <v>19</v>
      </c>
      <c r="F44" s="54" t="s">
        <v>122</v>
      </c>
      <c r="G44" s="54" t="s">
        <v>21</v>
      </c>
      <c r="H44" s="54"/>
      <c r="I44" s="54"/>
      <c r="J44" s="54"/>
      <c r="K44" s="54"/>
      <c r="N44" s="54" t="s">
        <v>38</v>
      </c>
    </row>
    <row r="45" spans="1:14" ht="15.75">
      <c r="A45">
        <v>2018</v>
      </c>
      <c r="B45" s="54" t="s">
        <v>123</v>
      </c>
      <c r="C45" s="54"/>
      <c r="D45" s="54" t="s">
        <v>51</v>
      </c>
      <c r="E45" s="54" t="s">
        <v>19</v>
      </c>
      <c r="F45" s="54" t="s">
        <v>124</v>
      </c>
      <c r="G45" s="54" t="s">
        <v>100</v>
      </c>
      <c r="H45" s="54"/>
      <c r="I45" s="54"/>
      <c r="J45" s="54"/>
      <c r="K45" s="54"/>
      <c r="N45" s="54" t="s">
        <v>38</v>
      </c>
    </row>
    <row r="46" spans="1:14" ht="15.75">
      <c r="A46">
        <v>2018</v>
      </c>
      <c r="B46" s="54" t="s">
        <v>125</v>
      </c>
      <c r="C46" s="54"/>
      <c r="D46" s="54" t="s">
        <v>51</v>
      </c>
      <c r="E46" s="54" t="s">
        <v>19</v>
      </c>
      <c r="F46" s="54" t="s">
        <v>126</v>
      </c>
      <c r="G46" s="54" t="s">
        <v>21</v>
      </c>
      <c r="H46" s="54"/>
      <c r="I46" s="54"/>
      <c r="J46" s="54"/>
      <c r="K46" s="54"/>
      <c r="N46" s="54" t="s">
        <v>24</v>
      </c>
    </row>
    <row r="47" spans="1:14" ht="15.75">
      <c r="A47">
        <v>2018</v>
      </c>
      <c r="B47" s="54" t="s">
        <v>127</v>
      </c>
      <c r="C47" s="54"/>
      <c r="D47" s="54" t="s">
        <v>128</v>
      </c>
      <c r="E47" s="54" t="s">
        <v>19</v>
      </c>
      <c r="F47" s="54" t="s">
        <v>126</v>
      </c>
      <c r="G47" s="54" t="s">
        <v>21</v>
      </c>
      <c r="H47" s="54"/>
      <c r="I47" s="54"/>
      <c r="J47" s="54"/>
      <c r="K47" s="54"/>
      <c r="N47" s="54" t="s">
        <v>24</v>
      </c>
    </row>
    <row r="48" spans="1:14" ht="15.75">
      <c r="A48">
        <v>2018</v>
      </c>
      <c r="B48" s="54" t="s">
        <v>129</v>
      </c>
      <c r="C48" s="54"/>
      <c r="D48" s="54" t="s">
        <v>51</v>
      </c>
      <c r="E48" s="54" t="s">
        <v>19</v>
      </c>
      <c r="F48" s="54" t="s">
        <v>130</v>
      </c>
      <c r="G48" s="54" t="s">
        <v>29</v>
      </c>
      <c r="H48" s="54"/>
      <c r="I48" s="54"/>
      <c r="J48" s="54"/>
      <c r="K48" s="54"/>
      <c r="N48" s="54" t="s">
        <v>24</v>
      </c>
    </row>
    <row r="49" spans="1:14" ht="15.75">
      <c r="A49">
        <v>2018</v>
      </c>
      <c r="B49" s="54" t="s">
        <v>131</v>
      </c>
      <c r="C49" s="54"/>
      <c r="D49" s="54" t="s">
        <v>132</v>
      </c>
      <c r="E49" s="54" t="s">
        <v>19</v>
      </c>
      <c r="F49" s="54" t="s">
        <v>133</v>
      </c>
      <c r="G49" s="54" t="s">
        <v>33</v>
      </c>
      <c r="H49" s="54"/>
      <c r="I49" s="54"/>
      <c r="J49" s="54"/>
      <c r="K49" s="54"/>
      <c r="N49" s="54" t="s">
        <v>38</v>
      </c>
    </row>
    <row r="50" spans="1:14" ht="15.75">
      <c r="A50">
        <v>2018</v>
      </c>
      <c r="B50" s="54" t="s">
        <v>134</v>
      </c>
      <c r="C50" s="54"/>
      <c r="D50" s="54" t="s">
        <v>51</v>
      </c>
      <c r="E50" s="54" t="s">
        <v>19</v>
      </c>
      <c r="F50" s="54" t="s">
        <v>135</v>
      </c>
      <c r="G50" s="54" t="s">
        <v>33</v>
      </c>
      <c r="H50" s="54"/>
      <c r="I50" s="54"/>
      <c r="J50" s="54"/>
      <c r="K50" s="54"/>
      <c r="N50" s="54" t="s">
        <v>24</v>
      </c>
    </row>
    <row r="51" spans="1:14" ht="15.75">
      <c r="A51">
        <v>2018</v>
      </c>
      <c r="B51" s="54" t="s">
        <v>136</v>
      </c>
      <c r="C51" s="54"/>
      <c r="D51" s="54" t="s">
        <v>96</v>
      </c>
      <c r="E51" s="54" t="s">
        <v>19</v>
      </c>
      <c r="F51" s="54" t="s">
        <v>137</v>
      </c>
      <c r="G51" s="54" t="s">
        <v>33</v>
      </c>
      <c r="H51" s="54"/>
      <c r="I51" s="54"/>
      <c r="J51" s="54"/>
      <c r="K51" s="54"/>
      <c r="N51" s="54" t="s">
        <v>38</v>
      </c>
    </row>
    <row r="52" spans="1:14" ht="15.75">
      <c r="A52">
        <v>2018</v>
      </c>
      <c r="B52" s="54" t="s">
        <v>138</v>
      </c>
      <c r="C52" s="54"/>
      <c r="D52" s="54" t="s">
        <v>119</v>
      </c>
      <c r="E52" s="54" t="s">
        <v>19</v>
      </c>
      <c r="F52" s="54" t="s">
        <v>126</v>
      </c>
      <c r="G52" s="54" t="s">
        <v>21</v>
      </c>
      <c r="H52" s="54"/>
      <c r="I52" s="54"/>
      <c r="J52" s="54"/>
      <c r="K52" s="54"/>
      <c r="N52" s="54" t="s">
        <v>38</v>
      </c>
    </row>
    <row r="53" spans="1:14" ht="15.75">
      <c r="A53">
        <v>2018</v>
      </c>
      <c r="B53" s="54" t="s">
        <v>139</v>
      </c>
      <c r="C53" s="54"/>
      <c r="D53" s="54" t="s">
        <v>51</v>
      </c>
      <c r="E53" s="54" t="s">
        <v>19</v>
      </c>
      <c r="F53" s="54" t="s">
        <v>117</v>
      </c>
      <c r="G53" s="54" t="s">
        <v>29</v>
      </c>
      <c r="H53" s="54"/>
      <c r="I53" s="54"/>
      <c r="J53" s="54"/>
      <c r="K53" s="54"/>
      <c r="N53" s="54" t="s">
        <v>38</v>
      </c>
    </row>
    <row r="54" spans="1:14" ht="15.75">
      <c r="A54">
        <v>2018</v>
      </c>
      <c r="B54" s="54" t="s">
        <v>140</v>
      </c>
      <c r="C54" s="54"/>
      <c r="D54" s="54" t="s">
        <v>141</v>
      </c>
      <c r="E54" s="54" t="s">
        <v>36</v>
      </c>
      <c r="F54" s="54" t="s">
        <v>142</v>
      </c>
      <c r="G54" s="54" t="s">
        <v>21</v>
      </c>
      <c r="H54" s="54"/>
      <c r="I54" s="54"/>
      <c r="J54" s="54"/>
      <c r="K54" s="54"/>
      <c r="N54" s="54" t="s">
        <v>24</v>
      </c>
    </row>
    <row r="55" spans="1:14" ht="15.75">
      <c r="A55">
        <v>2018</v>
      </c>
      <c r="B55" s="54" t="s">
        <v>143</v>
      </c>
      <c r="C55" s="54"/>
      <c r="D55" s="54" t="s">
        <v>51</v>
      </c>
      <c r="E55" s="54" t="s">
        <v>27</v>
      </c>
      <c r="F55" s="54" t="s">
        <v>144</v>
      </c>
      <c r="G55" s="54" t="s">
        <v>33</v>
      </c>
      <c r="H55" s="54"/>
      <c r="I55" s="54"/>
      <c r="J55" s="54"/>
      <c r="K55" s="54"/>
      <c r="N55" s="54" t="s">
        <v>38</v>
      </c>
    </row>
    <row r="56" spans="1:14" ht="15.75">
      <c r="A56">
        <v>2018</v>
      </c>
      <c r="B56" s="54" t="s">
        <v>145</v>
      </c>
      <c r="C56" s="54"/>
      <c r="D56" s="54" t="s">
        <v>51</v>
      </c>
      <c r="E56" s="54" t="s">
        <v>27</v>
      </c>
      <c r="F56" s="54" t="s">
        <v>146</v>
      </c>
      <c r="G56" s="54" t="s">
        <v>33</v>
      </c>
      <c r="H56" s="54"/>
      <c r="I56" s="54"/>
      <c r="J56" s="54"/>
      <c r="K56" s="54"/>
      <c r="N56" s="54" t="s">
        <v>24</v>
      </c>
    </row>
    <row r="57" spans="1:14" ht="15.75">
      <c r="A57">
        <v>2018</v>
      </c>
      <c r="B57" s="54" t="s">
        <v>147</v>
      </c>
      <c r="C57" s="54"/>
      <c r="D57" s="54" t="s">
        <v>51</v>
      </c>
      <c r="E57" s="54" t="s">
        <v>27</v>
      </c>
      <c r="F57" s="54" t="s">
        <v>148</v>
      </c>
      <c r="G57" s="54" t="s">
        <v>21</v>
      </c>
      <c r="H57" s="54"/>
      <c r="I57" s="54"/>
      <c r="J57" s="54"/>
      <c r="K57" s="54"/>
      <c r="N57" s="54" t="s">
        <v>24</v>
      </c>
    </row>
    <row r="58" spans="1:14" ht="15.75">
      <c r="A58">
        <v>2018</v>
      </c>
      <c r="B58" s="54" t="s">
        <v>149</v>
      </c>
      <c r="C58" s="54"/>
      <c r="D58" s="54" t="s">
        <v>51</v>
      </c>
      <c r="E58" s="54" t="s">
        <v>36</v>
      </c>
      <c r="F58" s="54" t="s">
        <v>142</v>
      </c>
      <c r="G58" s="54" t="s">
        <v>21</v>
      </c>
      <c r="H58" s="54"/>
      <c r="I58" s="54"/>
      <c r="J58" s="54"/>
      <c r="K58" s="54"/>
      <c r="N58" s="54" t="s">
        <v>24</v>
      </c>
    </row>
    <row r="59" spans="1:14" ht="15.75">
      <c r="A59">
        <v>2018</v>
      </c>
      <c r="B59" s="54" t="s">
        <v>150</v>
      </c>
      <c r="C59" s="54"/>
      <c r="D59" s="54" t="s">
        <v>51</v>
      </c>
      <c r="E59" s="54" t="s">
        <v>36</v>
      </c>
      <c r="F59" s="54" t="s">
        <v>151</v>
      </c>
      <c r="G59" s="54" t="s">
        <v>21</v>
      </c>
      <c r="H59" s="54"/>
      <c r="I59" s="54"/>
      <c r="J59" s="54"/>
      <c r="K59" s="54"/>
      <c r="N59" s="54" t="s">
        <v>38</v>
      </c>
    </row>
    <row r="60" spans="1:14" ht="15.75">
      <c r="A60" s="56">
        <v>2019</v>
      </c>
      <c r="B60" s="57" t="s">
        <v>152</v>
      </c>
      <c r="C60" s="57"/>
      <c r="D60" s="57" t="s">
        <v>153</v>
      </c>
      <c r="E60" s="57" t="s">
        <v>19</v>
      </c>
      <c r="F60" s="57" t="s">
        <v>137</v>
      </c>
      <c r="G60" s="57" t="s">
        <v>33</v>
      </c>
      <c r="H60" s="54"/>
      <c r="I60" s="54"/>
      <c r="J60" s="54"/>
      <c r="K60" s="54"/>
      <c r="N60" s="54" t="s">
        <v>38</v>
      </c>
    </row>
    <row r="61" spans="1:14" ht="15.75">
      <c r="A61" s="56">
        <v>2019</v>
      </c>
      <c r="B61" s="57" t="s">
        <v>154</v>
      </c>
      <c r="C61" s="57"/>
      <c r="D61" s="57" t="s">
        <v>155</v>
      </c>
      <c r="E61" s="57" t="s">
        <v>19</v>
      </c>
      <c r="F61" s="57" t="s">
        <v>156</v>
      </c>
      <c r="G61" s="57" t="s">
        <v>33</v>
      </c>
      <c r="H61" s="54"/>
      <c r="I61" s="54"/>
      <c r="J61" s="54"/>
      <c r="K61" s="54"/>
      <c r="N61" s="54" t="s">
        <v>38</v>
      </c>
    </row>
    <row r="62" spans="1:14" ht="15.75">
      <c r="A62" s="56">
        <v>2019</v>
      </c>
      <c r="B62" s="57" t="s">
        <v>157</v>
      </c>
      <c r="C62" s="57"/>
      <c r="D62" s="57" t="s">
        <v>158</v>
      </c>
      <c r="E62" s="57" t="s">
        <v>19</v>
      </c>
      <c r="F62" s="57" t="s">
        <v>159</v>
      </c>
      <c r="G62" s="57" t="s">
        <v>21</v>
      </c>
      <c r="H62" s="54"/>
      <c r="I62" s="54"/>
      <c r="J62" s="54"/>
      <c r="K62" s="54"/>
      <c r="N62" s="54" t="s">
        <v>24</v>
      </c>
    </row>
    <row r="63" spans="1:14" ht="15.75">
      <c r="A63" s="56">
        <v>2019</v>
      </c>
      <c r="B63" s="57" t="s">
        <v>160</v>
      </c>
      <c r="C63" s="57"/>
      <c r="D63" s="57" t="s">
        <v>161</v>
      </c>
      <c r="E63" s="57" t="s">
        <v>19</v>
      </c>
      <c r="F63" s="57" t="s">
        <v>162</v>
      </c>
      <c r="G63" s="57" t="s">
        <v>21</v>
      </c>
      <c r="H63" s="54"/>
      <c r="I63" s="54"/>
      <c r="J63" s="54"/>
      <c r="K63" s="54"/>
      <c r="N63" s="54" t="s">
        <v>38</v>
      </c>
    </row>
    <row r="64" spans="1:14" ht="15.75">
      <c r="A64" s="56">
        <v>2019</v>
      </c>
      <c r="B64" s="57" t="s">
        <v>163</v>
      </c>
      <c r="C64" s="57"/>
      <c r="D64" s="57" t="s">
        <v>44</v>
      </c>
      <c r="E64" s="57" t="s">
        <v>19</v>
      </c>
      <c r="F64" s="57" t="s">
        <v>164</v>
      </c>
      <c r="G64" s="57" t="s">
        <v>21</v>
      </c>
      <c r="H64" s="54"/>
      <c r="I64" s="54"/>
      <c r="J64" s="54"/>
      <c r="K64" s="54"/>
      <c r="N64" s="54" t="s">
        <v>38</v>
      </c>
    </row>
    <row r="65" spans="1:14" ht="15.75">
      <c r="A65" s="56">
        <v>2019</v>
      </c>
      <c r="B65" s="57" t="s">
        <v>138</v>
      </c>
      <c r="C65" s="57"/>
      <c r="D65" s="57" t="s">
        <v>165</v>
      </c>
      <c r="E65" s="57" t="s">
        <v>19</v>
      </c>
      <c r="F65" s="57" t="s">
        <v>166</v>
      </c>
      <c r="G65" s="57" t="s">
        <v>21</v>
      </c>
      <c r="H65" s="54"/>
      <c r="I65" s="54"/>
      <c r="J65" s="54"/>
      <c r="K65" s="54"/>
      <c r="N65" s="54" t="s">
        <v>38</v>
      </c>
    </row>
    <row r="66" spans="1:14" ht="15.75">
      <c r="A66" s="56">
        <v>2019</v>
      </c>
      <c r="B66" s="57" t="s">
        <v>167</v>
      </c>
      <c r="C66" s="57"/>
      <c r="D66" s="57" t="s">
        <v>18</v>
      </c>
      <c r="E66" s="57" t="s">
        <v>19</v>
      </c>
      <c r="F66" s="57" t="s">
        <v>168</v>
      </c>
      <c r="G66" s="57" t="s">
        <v>33</v>
      </c>
      <c r="H66" s="54"/>
      <c r="I66" s="54"/>
      <c r="J66" s="54"/>
      <c r="K66" s="54"/>
      <c r="N66" s="54" t="s">
        <v>38</v>
      </c>
    </row>
    <row r="67" spans="1:14" ht="15.75">
      <c r="A67" s="56">
        <v>2019</v>
      </c>
      <c r="B67" s="57" t="s">
        <v>169</v>
      </c>
      <c r="C67" s="57"/>
      <c r="D67" s="57" t="s">
        <v>170</v>
      </c>
      <c r="E67" s="57" t="s">
        <v>27</v>
      </c>
      <c r="F67" s="57" t="s">
        <v>133</v>
      </c>
      <c r="G67" s="57" t="s">
        <v>33</v>
      </c>
      <c r="H67" s="54"/>
      <c r="I67" s="54"/>
      <c r="J67" s="54"/>
      <c r="K67" s="54"/>
      <c r="N67" s="54" t="s">
        <v>24</v>
      </c>
    </row>
    <row r="68" spans="1:14" ht="15.75">
      <c r="A68" s="56">
        <v>2019</v>
      </c>
      <c r="B68" s="57" t="s">
        <v>171</v>
      </c>
      <c r="C68" s="57"/>
      <c r="D68" s="57" t="s">
        <v>51</v>
      </c>
      <c r="E68" s="57" t="s">
        <v>27</v>
      </c>
      <c r="F68" s="57" t="s">
        <v>172</v>
      </c>
      <c r="G68" s="57" t="s">
        <v>33</v>
      </c>
      <c r="H68" s="54"/>
      <c r="I68" s="54"/>
      <c r="J68" s="54"/>
      <c r="K68" s="54"/>
      <c r="N68" s="54" t="s">
        <v>24</v>
      </c>
    </row>
    <row r="69" spans="1:14" ht="15.75">
      <c r="A69" s="56">
        <v>2019</v>
      </c>
      <c r="B69" s="57" t="s">
        <v>173</v>
      </c>
      <c r="C69" s="57"/>
      <c r="D69" s="57" t="s">
        <v>174</v>
      </c>
      <c r="E69" s="57" t="s">
        <v>27</v>
      </c>
      <c r="F69" s="57" t="s">
        <v>175</v>
      </c>
      <c r="G69" s="57" t="s">
        <v>33</v>
      </c>
      <c r="H69" s="54"/>
      <c r="I69" s="54"/>
      <c r="J69" s="54"/>
      <c r="K69" s="54"/>
      <c r="N69" s="54" t="s">
        <v>38</v>
      </c>
    </row>
    <row r="70" spans="1:14" ht="15.75">
      <c r="A70" s="56">
        <v>2019</v>
      </c>
      <c r="B70" s="57" t="s">
        <v>176</v>
      </c>
      <c r="C70" s="57"/>
      <c r="D70" s="57" t="s">
        <v>177</v>
      </c>
      <c r="E70" s="57" t="s">
        <v>36</v>
      </c>
      <c r="F70" s="57" t="s">
        <v>178</v>
      </c>
      <c r="G70" s="57" t="s">
        <v>21</v>
      </c>
      <c r="H70" s="54"/>
      <c r="I70" s="54"/>
      <c r="J70" s="54"/>
      <c r="K70" s="54"/>
      <c r="N70" s="54" t="s">
        <v>24</v>
      </c>
    </row>
    <row r="71" spans="1:14" ht="15.75">
      <c r="A71" s="56">
        <v>2019</v>
      </c>
      <c r="B71" s="57" t="s">
        <v>179</v>
      </c>
      <c r="C71" s="57"/>
      <c r="D71" s="57" t="s">
        <v>161</v>
      </c>
      <c r="E71" s="57" t="s">
        <v>36</v>
      </c>
      <c r="F71" s="57" t="s">
        <v>180</v>
      </c>
      <c r="G71" s="57" t="s">
        <v>21</v>
      </c>
      <c r="H71" s="54"/>
      <c r="I71" s="54"/>
      <c r="J71" s="54"/>
      <c r="K71" s="54"/>
      <c r="N71" s="54" t="s">
        <v>38</v>
      </c>
    </row>
    <row r="72" spans="1:14" ht="15.75">
      <c r="A72" s="56">
        <v>2023</v>
      </c>
      <c r="B72" s="58" t="s">
        <v>181</v>
      </c>
      <c r="C72" s="58" t="s">
        <v>182</v>
      </c>
      <c r="D72" s="58" t="s">
        <v>183</v>
      </c>
      <c r="E72" s="56"/>
      <c r="F72" s="58" t="s">
        <v>184</v>
      </c>
      <c r="G72" s="56"/>
    </row>
    <row r="73" spans="1:14" ht="15.75">
      <c r="A73" s="56">
        <v>2023</v>
      </c>
      <c r="B73" s="58" t="s">
        <v>185</v>
      </c>
      <c r="C73" s="58" t="s">
        <v>186</v>
      </c>
      <c r="D73" s="58" t="s">
        <v>187</v>
      </c>
      <c r="E73" s="56"/>
      <c r="F73" s="58" t="s">
        <v>188</v>
      </c>
      <c r="G73" s="56"/>
    </row>
    <row r="74" spans="1:14" ht="15.75">
      <c r="A74" s="56">
        <v>2023</v>
      </c>
      <c r="B74" s="58" t="s">
        <v>189</v>
      </c>
      <c r="C74" s="58" t="s">
        <v>190</v>
      </c>
      <c r="D74" s="58" t="s">
        <v>183</v>
      </c>
      <c r="E74" s="56"/>
      <c r="F74" s="58" t="s">
        <v>191</v>
      </c>
      <c r="G74" s="56"/>
    </row>
    <row r="75" spans="1:14" ht="15.75">
      <c r="A75" s="56">
        <v>2023</v>
      </c>
      <c r="B75" s="58" t="s">
        <v>192</v>
      </c>
      <c r="C75" s="58" t="s">
        <v>193</v>
      </c>
      <c r="D75" s="58" t="s">
        <v>194</v>
      </c>
      <c r="E75" s="56"/>
      <c r="F75" s="58" t="s">
        <v>195</v>
      </c>
      <c r="G75" s="56"/>
    </row>
    <row r="76" spans="1:14" ht="15.75">
      <c r="A76" s="56">
        <v>2023</v>
      </c>
      <c r="B76" s="58" t="s">
        <v>196</v>
      </c>
      <c r="C76" s="58" t="s">
        <v>197</v>
      </c>
      <c r="D76" s="58" t="s">
        <v>183</v>
      </c>
      <c r="E76" s="56"/>
      <c r="F76" s="58" t="s">
        <v>198</v>
      </c>
      <c r="G76" s="56"/>
    </row>
    <row r="77" spans="1:14" ht="15.75">
      <c r="A77" s="56">
        <v>2023</v>
      </c>
      <c r="B77" s="58" t="s">
        <v>199</v>
      </c>
      <c r="C77" s="58" t="s">
        <v>200</v>
      </c>
      <c r="D77" s="58" t="s">
        <v>183</v>
      </c>
      <c r="E77" s="56"/>
      <c r="F77" s="58" t="s">
        <v>198</v>
      </c>
      <c r="G77" s="56"/>
    </row>
    <row r="78" spans="1:14" ht="15.75">
      <c r="A78" s="56">
        <v>2023</v>
      </c>
      <c r="B78" s="58" t="s">
        <v>201</v>
      </c>
      <c r="C78" s="58" t="s">
        <v>202</v>
      </c>
      <c r="D78" s="58" t="s">
        <v>203</v>
      </c>
      <c r="E78" s="56"/>
      <c r="F78" s="58" t="s">
        <v>204</v>
      </c>
      <c r="G78" s="56"/>
    </row>
    <row r="79" spans="1:14" ht="15.75">
      <c r="A79" s="56">
        <v>2023</v>
      </c>
      <c r="B79" s="58" t="s">
        <v>205</v>
      </c>
      <c r="C79" s="58" t="s">
        <v>206</v>
      </c>
      <c r="D79" s="58" t="s">
        <v>183</v>
      </c>
      <c r="E79" s="56"/>
      <c r="F79" s="58" t="s">
        <v>191</v>
      </c>
      <c r="G79" s="56"/>
    </row>
    <row r="80" spans="1:14" ht="15.75">
      <c r="A80" s="56">
        <v>2023</v>
      </c>
      <c r="B80" s="58" t="s">
        <v>207</v>
      </c>
      <c r="C80" s="58" t="s">
        <v>208</v>
      </c>
      <c r="D80" s="58" t="s">
        <v>183</v>
      </c>
      <c r="E80" s="56"/>
      <c r="F80" s="58" t="s">
        <v>209</v>
      </c>
      <c r="G80" s="56"/>
    </row>
    <row r="81" spans="4:4" ht="15.75">
      <c r="D81" s="24"/>
    </row>
    <row r="82" spans="4:4" ht="15.75">
      <c r="D82" s="24"/>
    </row>
    <row r="83" spans="4:4" ht="15.75">
      <c r="D83" s="24"/>
    </row>
    <row r="84" spans="4:4" ht="15.75">
      <c r="D84" s="24"/>
    </row>
    <row r="85" spans="4:4" ht="15.75">
      <c r="D85" s="24"/>
    </row>
    <row r="86" spans="4:4" ht="15.75">
      <c r="D86" s="24"/>
    </row>
    <row r="87" spans="4:4" ht="15.75">
      <c r="D87" s="24"/>
    </row>
    <row r="88" spans="4:4" ht="15.75">
      <c r="D88" s="24"/>
    </row>
    <row r="89" spans="4:4" ht="15.75">
      <c r="D89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09007-A9C4-4786-82DB-4E932D61C84F}">
  <dimension ref="A1:F19"/>
  <sheetViews>
    <sheetView workbookViewId="0">
      <selection activeCell="A11" sqref="A11:F11"/>
    </sheetView>
  </sheetViews>
  <sheetFormatPr defaultRowHeight="15" customHeight="1"/>
  <cols>
    <col min="1" max="1" width="11.7109375" bestFit="1" customWidth="1"/>
    <col min="2" max="2" width="14" bestFit="1" customWidth="1"/>
    <col min="3" max="3" width="19.85546875" bestFit="1" customWidth="1"/>
    <col min="4" max="4" width="10" bestFit="1" customWidth="1"/>
    <col min="5" max="5" width="34.7109375" bestFit="1" customWidth="1"/>
    <col min="6" max="6" width="34.85546875" bestFit="1" customWidth="1"/>
  </cols>
  <sheetData>
    <row r="1" spans="1:6" ht="15.75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  <c r="F1" s="23" t="s">
        <v>215</v>
      </c>
    </row>
    <row r="2" spans="1:6" ht="15.75">
      <c r="A2" s="24" t="s">
        <v>181</v>
      </c>
      <c r="B2" s="24" t="s">
        <v>182</v>
      </c>
      <c r="C2" t="str">
        <f>_xlfn.CONCAT(A2," ",B2)</f>
        <v>Anjali Mehta</v>
      </c>
      <c r="D2" s="24" t="s">
        <v>216</v>
      </c>
      <c r="E2" s="24" t="s">
        <v>184</v>
      </c>
      <c r="F2" s="24" t="s">
        <v>183</v>
      </c>
    </row>
    <row r="3" spans="1:6" ht="15.75">
      <c r="A3" s="24" t="s">
        <v>185</v>
      </c>
      <c r="B3" s="24" t="s">
        <v>186</v>
      </c>
      <c r="C3" t="str">
        <f>_xlfn.CONCAT(A3," ",B3)</f>
        <v>Annie Xie</v>
      </c>
      <c r="D3" s="24" t="s">
        <v>217</v>
      </c>
      <c r="E3" s="24" t="s">
        <v>188</v>
      </c>
      <c r="F3" s="24" t="s">
        <v>187</v>
      </c>
    </row>
    <row r="4" spans="1:6" ht="15.75">
      <c r="A4" s="24" t="s">
        <v>189</v>
      </c>
      <c r="B4" s="24" t="s">
        <v>190</v>
      </c>
      <c r="C4" t="str">
        <f>_xlfn.CONCAT(A4," ",B4)</f>
        <v>Jianing Cai</v>
      </c>
      <c r="D4" s="24" t="s">
        <v>216</v>
      </c>
      <c r="E4" s="24" t="s">
        <v>191</v>
      </c>
      <c r="F4" s="24" t="s">
        <v>183</v>
      </c>
    </row>
    <row r="5" spans="1:6" ht="15.75">
      <c r="A5" s="24" t="s">
        <v>192</v>
      </c>
      <c r="B5" s="24" t="s">
        <v>193</v>
      </c>
      <c r="C5" t="str">
        <f>_xlfn.CONCAT(A5," ",B5)</f>
        <v>Marijke van der Geer</v>
      </c>
      <c r="D5" s="24" t="s">
        <v>216</v>
      </c>
      <c r="E5" s="24" t="s">
        <v>195</v>
      </c>
      <c r="F5" s="24" t="s">
        <v>194</v>
      </c>
    </row>
    <row r="6" spans="1:6" ht="15.75">
      <c r="A6" s="24" t="s">
        <v>196</v>
      </c>
      <c r="B6" s="24" t="s">
        <v>197</v>
      </c>
      <c r="C6" t="str">
        <f>_xlfn.CONCAT(A6," ",B6)</f>
        <v>Nakshatra Yalagach</v>
      </c>
      <c r="D6" s="24" t="s">
        <v>217</v>
      </c>
      <c r="E6" s="24" t="s">
        <v>198</v>
      </c>
      <c r="F6" s="24" t="s">
        <v>183</v>
      </c>
    </row>
    <row r="7" spans="1:6" ht="15.75">
      <c r="A7" s="24" t="s">
        <v>199</v>
      </c>
      <c r="B7" s="24" t="s">
        <v>200</v>
      </c>
      <c r="C7" t="str">
        <f>_xlfn.CONCAT(A7," ",B7)</f>
        <v>Prashanth Wagle</v>
      </c>
      <c r="D7" s="24" t="s">
        <v>217</v>
      </c>
      <c r="E7" s="24" t="s">
        <v>198</v>
      </c>
      <c r="F7" s="24" t="s">
        <v>183</v>
      </c>
    </row>
    <row r="8" spans="1:6" ht="15.75">
      <c r="A8" s="24" t="s">
        <v>201</v>
      </c>
      <c r="B8" s="24" t="s">
        <v>202</v>
      </c>
      <c r="C8" t="str">
        <f>_xlfn.CONCAT(A8," ",B8)</f>
        <v>Sara Shallenberger</v>
      </c>
      <c r="D8" s="24" t="s">
        <v>216</v>
      </c>
      <c r="E8" s="24" t="s">
        <v>204</v>
      </c>
      <c r="F8" s="24" t="s">
        <v>203</v>
      </c>
    </row>
    <row r="9" spans="1:6" ht="15.75">
      <c r="A9" s="24" t="s">
        <v>205</v>
      </c>
      <c r="B9" s="24" t="s">
        <v>206</v>
      </c>
      <c r="C9" t="str">
        <f>_xlfn.CONCAT(A9," ",B9)</f>
        <v>Steve Zhou</v>
      </c>
      <c r="D9" s="24" t="s">
        <v>216</v>
      </c>
      <c r="E9" s="24" t="s">
        <v>191</v>
      </c>
      <c r="F9" s="24" t="s">
        <v>183</v>
      </c>
    </row>
    <row r="10" spans="1:6" ht="15.75">
      <c r="A10" s="24" t="s">
        <v>207</v>
      </c>
      <c r="B10" s="24" t="s">
        <v>208</v>
      </c>
      <c r="C10" t="str">
        <f>_xlfn.CONCAT(A10," ",B10)</f>
        <v>Trinity Chamblin</v>
      </c>
      <c r="D10" s="24" t="s">
        <v>216</v>
      </c>
      <c r="E10" s="24" t="s">
        <v>209</v>
      </c>
      <c r="F10" s="24" t="s">
        <v>183</v>
      </c>
    </row>
    <row r="11" spans="1:6"/>
    <row r="12" spans="1:6"/>
    <row r="13" spans="1:6"/>
    <row r="14" spans="1:6"/>
    <row r="15" spans="1:6"/>
    <row r="16" spans="1:6"/>
    <row r="17"/>
    <row r="18"/>
    <row r="19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37A72-332C-43BC-B084-632DB4BA23E5}">
  <dimension ref="A1:D11"/>
  <sheetViews>
    <sheetView workbookViewId="0">
      <selection activeCell="C17" sqref="C17"/>
    </sheetView>
  </sheetViews>
  <sheetFormatPr defaultRowHeight="14.45"/>
  <cols>
    <col min="1" max="1" width="24.28515625" bestFit="1" customWidth="1"/>
    <col min="2" max="2" width="10.42578125" bestFit="1" customWidth="1"/>
    <col min="3" max="3" width="69.7109375" bestFit="1" customWidth="1"/>
    <col min="4" max="4" width="10.7109375" bestFit="1" customWidth="1"/>
  </cols>
  <sheetData>
    <row r="1" spans="1:4" ht="15.6">
      <c r="A1" s="21" t="s">
        <v>218</v>
      </c>
      <c r="B1" s="21" t="s">
        <v>219</v>
      </c>
      <c r="C1" s="21" t="s">
        <v>214</v>
      </c>
      <c r="D1" s="21" t="s">
        <v>215</v>
      </c>
    </row>
    <row r="2" spans="1:4" ht="15.6">
      <c r="A2" s="19" t="s">
        <v>220</v>
      </c>
      <c r="B2" s="19" t="s">
        <v>221</v>
      </c>
      <c r="C2" s="19" t="s">
        <v>222</v>
      </c>
      <c r="D2" s="22" t="s">
        <v>44</v>
      </c>
    </row>
    <row r="3" spans="1:4" ht="15.6">
      <c r="A3" s="19" t="s">
        <v>223</v>
      </c>
      <c r="B3" s="19" t="s">
        <v>224</v>
      </c>
      <c r="C3" s="19" t="s">
        <v>225</v>
      </c>
      <c r="D3" s="22" t="s">
        <v>44</v>
      </c>
    </row>
    <row r="4" spans="1:4" ht="15.6">
      <c r="A4" s="19" t="s">
        <v>226</v>
      </c>
      <c r="B4" s="19" t="s">
        <v>227</v>
      </c>
      <c r="C4" s="19" t="s">
        <v>228</v>
      </c>
      <c r="D4" s="22" t="s">
        <v>44</v>
      </c>
    </row>
    <row r="5" spans="1:4" ht="15.6">
      <c r="A5" s="20" t="s">
        <v>229</v>
      </c>
      <c r="B5" s="20" t="s">
        <v>230</v>
      </c>
      <c r="C5" s="20" t="s">
        <v>231</v>
      </c>
      <c r="D5" s="22" t="s">
        <v>44</v>
      </c>
    </row>
    <row r="6" spans="1:4" ht="15.6">
      <c r="A6" s="20" t="s">
        <v>199</v>
      </c>
      <c r="B6" s="20" t="s">
        <v>200</v>
      </c>
      <c r="C6" s="20" t="s">
        <v>232</v>
      </c>
      <c r="D6" s="22" t="s">
        <v>44</v>
      </c>
    </row>
    <row r="7" spans="1:4" ht="15.6">
      <c r="A7" s="19" t="s">
        <v>233</v>
      </c>
      <c r="B7" s="19" t="s">
        <v>234</v>
      </c>
      <c r="C7" s="19" t="s">
        <v>235</v>
      </c>
      <c r="D7" s="22" t="s">
        <v>44</v>
      </c>
    </row>
    <row r="8" spans="1:4" ht="15.6">
      <c r="A8" s="19" t="s">
        <v>236</v>
      </c>
      <c r="B8" s="19" t="s">
        <v>237</v>
      </c>
      <c r="C8" s="19" t="s">
        <v>238</v>
      </c>
      <c r="D8" s="22" t="s">
        <v>44</v>
      </c>
    </row>
    <row r="9" spans="1:4" ht="15.6">
      <c r="A9" s="19" t="s">
        <v>239</v>
      </c>
      <c r="B9" s="19" t="s">
        <v>206</v>
      </c>
      <c r="C9" s="19" t="s">
        <v>240</v>
      </c>
      <c r="D9" s="22" t="s">
        <v>44</v>
      </c>
    </row>
    <row r="10" spans="1:4" ht="15.6">
      <c r="A10" s="19" t="s">
        <v>241</v>
      </c>
      <c r="B10" s="19" t="s">
        <v>242</v>
      </c>
      <c r="C10" s="19" t="s">
        <v>243</v>
      </c>
      <c r="D10" s="22" t="s">
        <v>44</v>
      </c>
    </row>
    <row r="11" spans="1:4" ht="15.6">
      <c r="A11" s="20" t="s">
        <v>244</v>
      </c>
      <c r="B11" s="20" t="s">
        <v>245</v>
      </c>
      <c r="C11" s="20" t="s">
        <v>122</v>
      </c>
      <c r="D11" s="22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3EA31-C7B5-46C0-9104-F7D17A0D1BBA}">
  <dimension ref="A1:AE19"/>
  <sheetViews>
    <sheetView workbookViewId="0">
      <pane xSplit="2" topLeftCell="C17" activePane="topRight" state="frozen"/>
      <selection pane="topRight" activeCell="B17" sqref="B17"/>
    </sheetView>
  </sheetViews>
  <sheetFormatPr defaultColWidth="12" defaultRowHeight="15.6"/>
  <cols>
    <col min="1" max="1" width="10.7109375" style="9" bestFit="1" customWidth="1"/>
    <col min="2" max="2" width="24.28515625" style="9" bestFit="1" customWidth="1"/>
    <col min="3" max="3" width="28.28515625" style="9" bestFit="1" customWidth="1"/>
    <col min="4" max="4" width="19.7109375" style="9" bestFit="1" customWidth="1"/>
    <col min="5" max="5" width="20.140625" style="9" bestFit="1" customWidth="1"/>
    <col min="6" max="6" width="34.7109375" style="9" bestFit="1" customWidth="1"/>
    <col min="7" max="7" width="10.42578125" style="9" bestFit="1" customWidth="1"/>
    <col min="8" max="8" width="9.5703125" style="9" bestFit="1" customWidth="1"/>
    <col min="9" max="9" width="8.85546875" style="3" bestFit="1" customWidth="1"/>
    <col min="10" max="10" width="8" style="3" bestFit="1" customWidth="1"/>
    <col min="11" max="11" width="10.5703125" style="3" bestFit="1" customWidth="1"/>
    <col min="12" max="12" width="8.85546875" style="9" bestFit="1" customWidth="1"/>
    <col min="13" max="13" width="21.5703125" style="9" bestFit="1" customWidth="1"/>
    <col min="14" max="14" width="31.140625" style="9" bestFit="1" customWidth="1"/>
    <col min="15" max="15" width="13.42578125" style="9" bestFit="1" customWidth="1"/>
    <col min="16" max="16" width="43.7109375" style="9" bestFit="1" customWidth="1"/>
    <col min="17" max="17" width="45.85546875" style="9" bestFit="1" customWidth="1"/>
    <col min="18" max="18" width="16.7109375" style="9" bestFit="1" customWidth="1"/>
    <col min="19" max="19" width="16.85546875" style="9" bestFit="1" customWidth="1"/>
    <col min="20" max="20" width="18.28515625" style="9" bestFit="1" customWidth="1"/>
    <col min="21" max="21" width="17.42578125" style="9" bestFit="1" customWidth="1"/>
    <col min="22" max="22" width="8" style="3" bestFit="1" customWidth="1"/>
    <col min="23" max="30" width="12" style="9"/>
    <col min="31" max="31" width="12.42578125" style="9" bestFit="1" customWidth="1"/>
    <col min="32" max="16384" width="12" style="9"/>
  </cols>
  <sheetData>
    <row r="1" spans="1:31" s="3" customFormat="1">
      <c r="A1" s="1" t="s">
        <v>246</v>
      </c>
      <c r="B1" s="1" t="s">
        <v>2</v>
      </c>
      <c r="C1" s="1" t="s">
        <v>214</v>
      </c>
      <c r="D1" s="1" t="s">
        <v>247</v>
      </c>
      <c r="E1" s="1" t="s">
        <v>248</v>
      </c>
      <c r="F1" s="1" t="s">
        <v>249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256</v>
      </c>
      <c r="N1" s="1" t="s">
        <v>257</v>
      </c>
      <c r="O1" s="1" t="s">
        <v>258</v>
      </c>
      <c r="P1" s="1" t="s">
        <v>259</v>
      </c>
      <c r="Q1" s="1" t="s">
        <v>260</v>
      </c>
      <c r="R1" s="1" t="s">
        <v>261</v>
      </c>
      <c r="S1" s="1" t="s">
        <v>262</v>
      </c>
      <c r="T1" s="1" t="s">
        <v>263</v>
      </c>
      <c r="U1" s="1" t="s">
        <v>264</v>
      </c>
      <c r="V1" s="2"/>
    </row>
    <row r="2" spans="1:31" s="3" customFormat="1" ht="46.9">
      <c r="A2" s="4" t="s">
        <v>224</v>
      </c>
      <c r="B2" s="5" t="s">
        <v>265</v>
      </c>
      <c r="C2" s="5" t="s">
        <v>225</v>
      </c>
      <c r="D2" s="6" t="s">
        <v>266</v>
      </c>
      <c r="E2" s="3" t="s">
        <v>267</v>
      </c>
      <c r="F2" s="6" t="s">
        <v>268</v>
      </c>
      <c r="G2" s="7">
        <v>44712</v>
      </c>
      <c r="H2" s="7">
        <v>44778</v>
      </c>
      <c r="I2" s="8">
        <v>10000</v>
      </c>
      <c r="J2" s="3">
        <v>40</v>
      </c>
      <c r="K2" s="3" t="s">
        <v>269</v>
      </c>
      <c r="L2" s="3" t="s">
        <v>270</v>
      </c>
      <c r="M2" s="9" t="s">
        <v>271</v>
      </c>
      <c r="N2" s="9" t="s">
        <v>272</v>
      </c>
      <c r="O2" s="9" t="s">
        <v>273</v>
      </c>
      <c r="P2" s="6" t="s">
        <v>274</v>
      </c>
      <c r="Q2" s="6" t="s">
        <v>275</v>
      </c>
      <c r="R2" s="3" t="s">
        <v>276</v>
      </c>
      <c r="S2" s="3" t="s">
        <v>277</v>
      </c>
      <c r="T2" s="3" t="s">
        <v>278</v>
      </c>
      <c r="U2" s="3" t="s">
        <v>279</v>
      </c>
      <c r="V2" s="2"/>
      <c r="W2" s="10"/>
      <c r="X2" s="2"/>
      <c r="Y2" s="2"/>
      <c r="Z2" s="2"/>
      <c r="AA2" s="2"/>
      <c r="AB2" s="2"/>
      <c r="AC2" s="2"/>
      <c r="AD2" s="2"/>
      <c r="AE2" s="1"/>
    </row>
    <row r="3" spans="1:31" s="3" customFormat="1" ht="46.9">
      <c r="A3" s="11" t="s">
        <v>242</v>
      </c>
      <c r="B3" s="5" t="s">
        <v>241</v>
      </c>
      <c r="C3" s="5" t="s">
        <v>243</v>
      </c>
      <c r="D3" s="6" t="s">
        <v>266</v>
      </c>
      <c r="E3" s="3" t="s">
        <v>267</v>
      </c>
      <c r="F3" s="6" t="s">
        <v>268</v>
      </c>
      <c r="G3" s="7">
        <v>44712</v>
      </c>
      <c r="H3" s="7">
        <v>44778</v>
      </c>
      <c r="I3" s="8">
        <v>10000</v>
      </c>
      <c r="J3" s="3">
        <v>40</v>
      </c>
      <c r="K3" s="3" t="s">
        <v>269</v>
      </c>
      <c r="L3" s="3" t="s">
        <v>270</v>
      </c>
      <c r="M3" s="9" t="s">
        <v>280</v>
      </c>
      <c r="N3" s="9"/>
      <c r="O3" s="9"/>
      <c r="P3" s="6" t="s">
        <v>281</v>
      </c>
      <c r="Q3" s="6" t="s">
        <v>282</v>
      </c>
      <c r="R3" s="3" t="s">
        <v>283</v>
      </c>
      <c r="S3" s="3" t="s">
        <v>277</v>
      </c>
      <c r="T3" s="3" t="s">
        <v>278</v>
      </c>
      <c r="U3" s="3" t="s">
        <v>279</v>
      </c>
      <c r="V3" s="2"/>
      <c r="W3" s="12"/>
      <c r="X3" s="2"/>
      <c r="Y3" s="2"/>
      <c r="Z3" s="2"/>
      <c r="AA3" s="2"/>
      <c r="AB3" s="2"/>
      <c r="AC3" s="2"/>
      <c r="AD3" s="2"/>
      <c r="AE3" s="1"/>
    </row>
    <row r="4" spans="1:31" s="3" customFormat="1" ht="93.6">
      <c r="A4" s="6" t="s">
        <v>284</v>
      </c>
      <c r="B4" s="5" t="s">
        <v>285</v>
      </c>
      <c r="C4" s="5" t="s">
        <v>286</v>
      </c>
      <c r="D4" s="6" t="s">
        <v>266</v>
      </c>
      <c r="E4" s="3" t="s">
        <v>267</v>
      </c>
      <c r="F4" s="6" t="s">
        <v>268</v>
      </c>
      <c r="G4" s="7">
        <v>44712</v>
      </c>
      <c r="H4" s="7">
        <v>44778</v>
      </c>
      <c r="I4" s="8">
        <v>8000</v>
      </c>
      <c r="J4" s="3">
        <v>40</v>
      </c>
      <c r="K4" s="3" t="s">
        <v>269</v>
      </c>
      <c r="L4" s="3" t="s">
        <v>270</v>
      </c>
      <c r="M4" s="13" t="s">
        <v>287</v>
      </c>
      <c r="N4" s="9" t="s">
        <v>288</v>
      </c>
      <c r="O4" s="9" t="s">
        <v>289</v>
      </c>
      <c r="P4" s="6" t="s">
        <v>290</v>
      </c>
      <c r="Q4" s="6" t="s">
        <v>291</v>
      </c>
      <c r="R4" s="3" t="s">
        <v>292</v>
      </c>
      <c r="S4" s="3" t="s">
        <v>277</v>
      </c>
      <c r="T4" s="3" t="s">
        <v>278</v>
      </c>
      <c r="U4" s="3" t="s">
        <v>279</v>
      </c>
      <c r="V4" s="2"/>
      <c r="W4" s="14"/>
      <c r="X4" s="2"/>
      <c r="Y4" s="2"/>
      <c r="Z4" s="2"/>
      <c r="AA4" s="2"/>
      <c r="AB4" s="2"/>
      <c r="AC4" s="2"/>
      <c r="AD4" s="2"/>
      <c r="AE4" s="1"/>
    </row>
    <row r="5" spans="1:31" s="3" customFormat="1" ht="46.9">
      <c r="A5" s="11" t="s">
        <v>206</v>
      </c>
      <c r="B5" s="5" t="s">
        <v>239</v>
      </c>
      <c r="C5" s="5" t="s">
        <v>293</v>
      </c>
      <c r="D5" s="6" t="s">
        <v>266</v>
      </c>
      <c r="E5" s="3" t="s">
        <v>267</v>
      </c>
      <c r="F5" s="6" t="s">
        <v>268</v>
      </c>
      <c r="G5" s="7">
        <v>44712</v>
      </c>
      <c r="H5" s="7">
        <v>44778</v>
      </c>
      <c r="I5" s="8">
        <v>8000</v>
      </c>
      <c r="J5" s="3">
        <v>40</v>
      </c>
      <c r="K5" s="3" t="s">
        <v>269</v>
      </c>
      <c r="L5" s="3" t="s">
        <v>270</v>
      </c>
      <c r="M5" s="9" t="s">
        <v>294</v>
      </c>
      <c r="N5" s="9"/>
      <c r="O5" s="9" t="s">
        <v>295</v>
      </c>
      <c r="P5" s="6" t="s">
        <v>290</v>
      </c>
      <c r="Q5" s="6" t="s">
        <v>296</v>
      </c>
      <c r="R5" s="3" t="s">
        <v>292</v>
      </c>
      <c r="S5" s="3" t="s">
        <v>277</v>
      </c>
      <c r="T5" s="3" t="s">
        <v>278</v>
      </c>
      <c r="U5" s="3" t="s">
        <v>279</v>
      </c>
      <c r="V5" s="2"/>
      <c r="W5" s="15"/>
      <c r="X5" s="2"/>
      <c r="Y5" s="2"/>
      <c r="Z5" s="2"/>
      <c r="AA5" s="2"/>
      <c r="AB5" s="2"/>
      <c r="AC5" s="2"/>
      <c r="AD5" s="2"/>
      <c r="AE5" s="1"/>
    </row>
    <row r="6" spans="1:31" s="3" customFormat="1" ht="62.45">
      <c r="A6" s="16" t="s">
        <v>227</v>
      </c>
      <c r="B6" s="5" t="s">
        <v>226</v>
      </c>
      <c r="C6" s="5" t="s">
        <v>297</v>
      </c>
      <c r="D6" s="6" t="s">
        <v>266</v>
      </c>
      <c r="E6" s="3" t="s">
        <v>267</v>
      </c>
      <c r="F6" s="6" t="s">
        <v>268</v>
      </c>
      <c r="G6" s="7">
        <v>44712</v>
      </c>
      <c r="H6" s="7">
        <v>44778</v>
      </c>
      <c r="I6" s="8">
        <v>8000</v>
      </c>
      <c r="J6" s="3">
        <v>40</v>
      </c>
      <c r="K6" s="3" t="s">
        <v>269</v>
      </c>
      <c r="L6" s="3" t="s">
        <v>270</v>
      </c>
      <c r="M6" s="9" t="s">
        <v>298</v>
      </c>
      <c r="N6" s="9"/>
      <c r="O6" s="9" t="s">
        <v>299</v>
      </c>
      <c r="P6" s="6" t="s">
        <v>300</v>
      </c>
      <c r="Q6" s="6" t="s">
        <v>301</v>
      </c>
      <c r="R6" s="3" t="s">
        <v>302</v>
      </c>
      <c r="S6" s="3" t="s">
        <v>277</v>
      </c>
      <c r="T6" s="3" t="s">
        <v>278</v>
      </c>
      <c r="U6" s="3" t="s">
        <v>279</v>
      </c>
      <c r="V6" s="2"/>
      <c r="W6" s="15"/>
      <c r="X6" s="2"/>
      <c r="Y6" s="2"/>
      <c r="Z6" s="2"/>
      <c r="AA6" s="2"/>
      <c r="AB6" s="2"/>
      <c r="AC6" s="2"/>
      <c r="AD6" s="2"/>
      <c r="AE6" s="1"/>
    </row>
    <row r="7" spans="1:31" s="3" customFormat="1" ht="46.9">
      <c r="A7" s="16" t="s">
        <v>234</v>
      </c>
      <c r="B7" s="5" t="s">
        <v>233</v>
      </c>
      <c r="C7" s="5" t="s">
        <v>235</v>
      </c>
      <c r="D7" s="6" t="s">
        <v>266</v>
      </c>
      <c r="E7" s="3" t="s">
        <v>267</v>
      </c>
      <c r="F7" s="6" t="s">
        <v>268</v>
      </c>
      <c r="G7" s="7">
        <v>44712</v>
      </c>
      <c r="H7" s="7">
        <v>44778</v>
      </c>
      <c r="I7" s="8">
        <v>8000</v>
      </c>
      <c r="J7" s="3">
        <v>40</v>
      </c>
      <c r="K7" s="3" t="s">
        <v>269</v>
      </c>
      <c r="L7" s="3" t="s">
        <v>270</v>
      </c>
      <c r="M7" s="13" t="s">
        <v>303</v>
      </c>
      <c r="N7" s="9"/>
      <c r="O7" s="9" t="s">
        <v>304</v>
      </c>
      <c r="P7" s="6" t="s">
        <v>281</v>
      </c>
      <c r="Q7" s="6" t="s">
        <v>282</v>
      </c>
      <c r="R7" s="3" t="s">
        <v>305</v>
      </c>
      <c r="S7" s="3" t="s">
        <v>277</v>
      </c>
      <c r="T7" s="3" t="s">
        <v>278</v>
      </c>
      <c r="U7" s="3" t="s">
        <v>279</v>
      </c>
      <c r="V7" s="2"/>
      <c r="W7" s="15"/>
      <c r="X7" s="2"/>
      <c r="Y7" s="2"/>
      <c r="Z7" s="2"/>
      <c r="AA7" s="2"/>
      <c r="AB7" s="2"/>
      <c r="AC7" s="2"/>
      <c r="AD7" s="2"/>
      <c r="AE7" s="1"/>
    </row>
    <row r="8" spans="1:31" s="3" customFormat="1" ht="46.9">
      <c r="A8" s="9" t="s">
        <v>221</v>
      </c>
      <c r="B8" s="9" t="s">
        <v>220</v>
      </c>
      <c r="C8" s="9" t="s">
        <v>222</v>
      </c>
      <c r="D8" s="6" t="s">
        <v>266</v>
      </c>
      <c r="E8" s="3" t="s">
        <v>267</v>
      </c>
      <c r="F8" s="6" t="s">
        <v>268</v>
      </c>
      <c r="G8" s="7">
        <v>44712</v>
      </c>
      <c r="H8" s="7">
        <v>44778</v>
      </c>
      <c r="I8" s="8">
        <v>8000</v>
      </c>
      <c r="J8" s="3">
        <v>40</v>
      </c>
      <c r="K8" s="3" t="s">
        <v>269</v>
      </c>
      <c r="L8" s="3" t="s">
        <v>270</v>
      </c>
      <c r="M8" s="9" t="s">
        <v>306</v>
      </c>
      <c r="N8" s="9"/>
      <c r="O8" s="9" t="s">
        <v>307</v>
      </c>
      <c r="P8" s="6" t="s">
        <v>308</v>
      </c>
      <c r="Q8" s="6" t="s">
        <v>309</v>
      </c>
      <c r="R8" s="3" t="s">
        <v>277</v>
      </c>
      <c r="S8" s="3" t="s">
        <v>277</v>
      </c>
      <c r="T8" s="3" t="s">
        <v>278</v>
      </c>
      <c r="U8" s="3" t="s">
        <v>279</v>
      </c>
      <c r="V8" s="2"/>
      <c r="W8" s="15"/>
      <c r="X8" s="2"/>
      <c r="Y8" s="2"/>
      <c r="Z8" s="2"/>
      <c r="AA8" s="2"/>
      <c r="AB8" s="2"/>
      <c r="AC8" s="2"/>
      <c r="AD8" s="2"/>
      <c r="AE8" s="1"/>
    </row>
    <row r="9" spans="1:31" s="3" customFormat="1">
      <c r="A9" s="16"/>
      <c r="B9" s="9"/>
      <c r="C9" s="9"/>
      <c r="D9" s="9"/>
      <c r="E9" s="9"/>
      <c r="F9" s="9"/>
      <c r="G9" s="9"/>
      <c r="H9" s="9"/>
      <c r="L9" s="9"/>
      <c r="M9" s="9"/>
      <c r="N9" s="9"/>
      <c r="O9" s="9"/>
      <c r="P9" s="9"/>
      <c r="Q9" s="9"/>
      <c r="R9" s="9"/>
      <c r="S9" s="9"/>
      <c r="T9" s="9"/>
      <c r="U9" s="9"/>
      <c r="V9" s="2"/>
      <c r="W9" s="17"/>
      <c r="X9" s="2"/>
      <c r="Y9" s="2"/>
      <c r="Z9" s="2"/>
      <c r="AA9" s="2"/>
      <c r="AB9" s="2"/>
      <c r="AC9" s="2"/>
      <c r="AD9" s="2"/>
      <c r="AE9" s="1"/>
    </row>
    <row r="10" spans="1:31" s="3" customFormat="1" ht="16.149999999999999">
      <c r="A10" s="9"/>
      <c r="B10" s="5"/>
      <c r="C10" s="5"/>
      <c r="D10" s="9"/>
      <c r="E10" s="9"/>
      <c r="F10" s="9"/>
      <c r="G10" s="9"/>
      <c r="H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2"/>
      <c r="W10" s="14"/>
      <c r="X10" s="2"/>
      <c r="Y10" s="2"/>
      <c r="Z10" s="2"/>
      <c r="AA10" s="2"/>
      <c r="AB10" s="2"/>
      <c r="AC10" s="2"/>
      <c r="AD10" s="2"/>
      <c r="AE10" s="1"/>
    </row>
    <row r="11" spans="1:31" s="3" customFormat="1" ht="19.149999999999999">
      <c r="A11" s="9"/>
      <c r="B11" s="5"/>
      <c r="C11" s="5"/>
      <c r="D11" s="9"/>
      <c r="E11" s="9"/>
      <c r="F11" s="9"/>
      <c r="G11" s="9"/>
      <c r="H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2"/>
      <c r="W11" s="15"/>
      <c r="X11" s="2"/>
      <c r="Y11" s="2"/>
      <c r="Z11" s="2"/>
      <c r="AA11" s="2"/>
      <c r="AB11" s="2"/>
      <c r="AC11" s="2"/>
      <c r="AD11" s="2"/>
      <c r="AE11" s="1"/>
    </row>
    <row r="12" spans="1:31" s="3" customFormat="1" ht="19.149999999999999">
      <c r="A12" s="9"/>
      <c r="B12" s="5"/>
      <c r="C12" s="5"/>
      <c r="D12" s="9"/>
      <c r="E12" s="9"/>
      <c r="F12" s="9"/>
      <c r="G12" s="9"/>
      <c r="H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2"/>
      <c r="W12" s="15"/>
      <c r="X12" s="2"/>
      <c r="Y12" s="2"/>
      <c r="Z12" s="2"/>
      <c r="AA12" s="2"/>
      <c r="AB12" s="2"/>
      <c r="AC12" s="2"/>
      <c r="AD12" s="2"/>
      <c r="AE12" s="1"/>
    </row>
    <row r="13" spans="1:31" ht="19.149999999999999">
      <c r="B13" s="5"/>
      <c r="C13" s="5"/>
      <c r="W13" s="15"/>
    </row>
    <row r="14" spans="1:31" ht="19.149999999999999">
      <c r="B14" s="5"/>
      <c r="C14" s="5"/>
      <c r="W14" s="15"/>
    </row>
    <row r="15" spans="1:31" ht="16.149999999999999">
      <c r="B15" s="5"/>
      <c r="C15" s="5"/>
      <c r="W15" s="14"/>
    </row>
    <row r="16" spans="1:31" ht="19.149999999999999">
      <c r="B16" s="5"/>
      <c r="C16" s="5"/>
      <c r="W16" s="15"/>
    </row>
    <row r="17" spans="2:23" ht="19.149999999999999">
      <c r="B17" s="5"/>
      <c r="C17" s="5"/>
      <c r="W17" s="15"/>
    </row>
    <row r="18" spans="2:23" ht="19.149999999999999">
      <c r="B18" s="5"/>
      <c r="C18" s="5"/>
      <c r="W18" s="15"/>
    </row>
    <row r="19" spans="2:23">
      <c r="B19" s="5"/>
      <c r="C19" s="5"/>
      <c r="W19" s="18"/>
    </row>
  </sheetData>
  <hyperlinks>
    <hyperlink ref="M4" r:id="rId1" xr:uid="{C8F47F77-5CE1-4FC5-9C40-DED8F5470D09}"/>
    <hyperlink ref="M6" r:id="rId2" xr:uid="{4411BCB5-DC37-46D6-9BEB-EB0F405CCC17}"/>
    <hyperlink ref="M7" r:id="rId3" xr:uid="{81062155-4DAC-452E-B19F-B70174FDD6C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009E9-27FA-45D4-9DC2-778B1699088E}">
  <dimension ref="A1:W15"/>
  <sheetViews>
    <sheetView zoomScaleNormal="100" workbookViewId="0">
      <selection activeCell="J27" sqref="J27"/>
    </sheetView>
  </sheetViews>
  <sheetFormatPr defaultColWidth="9.140625" defaultRowHeight="15.75" customHeight="1"/>
  <cols>
    <col min="1" max="1" width="26.28515625" style="29" customWidth="1"/>
    <col min="2" max="2" width="26.42578125" style="29" customWidth="1"/>
    <col min="3" max="3" width="28.42578125" style="29" customWidth="1"/>
    <col min="4" max="4" width="28.85546875" style="32" customWidth="1"/>
    <col min="5" max="5" width="15.85546875" style="29" customWidth="1"/>
    <col min="6" max="6" width="18.85546875" style="29" customWidth="1"/>
    <col min="7" max="7" width="12.140625" style="29" customWidth="1"/>
    <col min="8" max="8" width="19.85546875" style="29" customWidth="1"/>
    <col min="9" max="9" width="18.42578125" style="29" customWidth="1"/>
    <col min="10" max="10" width="17.85546875" style="29" customWidth="1"/>
    <col min="11" max="11" width="16.28515625" style="29" customWidth="1"/>
    <col min="12" max="12" width="14.42578125" style="29" customWidth="1"/>
    <col min="13" max="13" width="13.85546875" style="29" customWidth="1"/>
    <col min="14" max="19" width="14.42578125" style="29" customWidth="1"/>
    <col min="20" max="20" width="19" style="29" customWidth="1"/>
    <col min="21" max="21" width="9.140625" style="29"/>
    <col min="22" max="22" width="14.7109375" style="29" customWidth="1"/>
    <col min="23" max="16384" width="9.140625" style="29"/>
  </cols>
  <sheetData>
    <row r="1" spans="1:23" s="27" customFormat="1" ht="15.75" customHeight="1">
      <c r="A1" s="33" t="s">
        <v>310</v>
      </c>
      <c r="B1" s="33" t="s">
        <v>3</v>
      </c>
      <c r="C1" s="33" t="s">
        <v>311</v>
      </c>
      <c r="D1" s="33" t="s">
        <v>312</v>
      </c>
      <c r="E1" s="33" t="s">
        <v>257</v>
      </c>
      <c r="F1" s="33" t="s">
        <v>313</v>
      </c>
      <c r="G1" s="33" t="s">
        <v>314</v>
      </c>
      <c r="H1" s="33" t="s">
        <v>315</v>
      </c>
      <c r="I1" s="33" t="s">
        <v>316</v>
      </c>
      <c r="J1" s="33" t="s">
        <v>317</v>
      </c>
      <c r="K1" s="33" t="s">
        <v>318</v>
      </c>
      <c r="L1" s="33" t="s">
        <v>319</v>
      </c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23" ht="15.75" customHeight="1">
      <c r="A2" s="28" t="s">
        <v>320</v>
      </c>
      <c r="B2" s="28" t="s">
        <v>321</v>
      </c>
      <c r="C2" s="28" t="s">
        <v>322</v>
      </c>
      <c r="D2" s="30" t="s">
        <v>323</v>
      </c>
      <c r="E2" s="28" t="s">
        <v>324</v>
      </c>
      <c r="F2" s="28" t="s">
        <v>325</v>
      </c>
      <c r="G2" s="28" t="s">
        <v>326</v>
      </c>
      <c r="H2" s="28" t="s">
        <v>327</v>
      </c>
      <c r="I2" s="25" t="s">
        <v>328</v>
      </c>
      <c r="J2" s="25" t="s">
        <v>329</v>
      </c>
      <c r="K2" s="34" t="s">
        <v>330</v>
      </c>
      <c r="L2" s="28">
        <v>9092675532</v>
      </c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</row>
    <row r="3" spans="1:23" ht="15.75" customHeight="1">
      <c r="A3" s="28" t="s">
        <v>331</v>
      </c>
      <c r="B3" s="28" t="s">
        <v>332</v>
      </c>
      <c r="C3" s="28" t="s">
        <v>333</v>
      </c>
      <c r="D3" s="30" t="s">
        <v>178</v>
      </c>
      <c r="E3" s="28" t="s">
        <v>334</v>
      </c>
      <c r="F3" s="28" t="s">
        <v>335</v>
      </c>
      <c r="G3" s="28" t="s">
        <v>336</v>
      </c>
      <c r="H3" s="28" t="s">
        <v>337</v>
      </c>
      <c r="I3" s="25" t="s">
        <v>338</v>
      </c>
      <c r="J3" s="25" t="s">
        <v>339</v>
      </c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</row>
    <row r="4" spans="1:23" ht="15.75" customHeight="1">
      <c r="A4" s="28" t="s">
        <v>340</v>
      </c>
      <c r="B4" s="28" t="s">
        <v>341</v>
      </c>
      <c r="C4" s="28" t="s">
        <v>342</v>
      </c>
      <c r="D4" s="30" t="s">
        <v>343</v>
      </c>
      <c r="E4" s="28" t="s">
        <v>344</v>
      </c>
      <c r="F4" s="28" t="s">
        <v>345</v>
      </c>
      <c r="G4" s="28" t="s">
        <v>325</v>
      </c>
      <c r="H4" s="28" t="s">
        <v>302</v>
      </c>
      <c r="I4" s="25" t="s">
        <v>346</v>
      </c>
      <c r="J4" s="25" t="s">
        <v>347</v>
      </c>
      <c r="K4" s="34" t="s">
        <v>348</v>
      </c>
      <c r="L4" s="28">
        <v>2024133693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</row>
    <row r="5" spans="1:23" ht="15.75" customHeight="1">
      <c r="A5" s="28" t="s">
        <v>349</v>
      </c>
      <c r="B5" s="28" t="s">
        <v>350</v>
      </c>
      <c r="C5" s="28" t="s">
        <v>351</v>
      </c>
      <c r="D5" s="30" t="s">
        <v>352</v>
      </c>
      <c r="E5" s="34" t="s">
        <v>353</v>
      </c>
      <c r="F5" s="28" t="s">
        <v>354</v>
      </c>
      <c r="G5" s="28" t="s">
        <v>355</v>
      </c>
      <c r="H5" s="28" t="s">
        <v>356</v>
      </c>
      <c r="I5" s="25" t="s">
        <v>357</v>
      </c>
      <c r="J5" s="25" t="s">
        <v>358</v>
      </c>
      <c r="K5" s="34" t="s">
        <v>359</v>
      </c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</row>
    <row r="6" spans="1:23" ht="15.75" customHeight="1">
      <c r="A6" s="28"/>
      <c r="B6" s="28"/>
      <c r="C6" s="28"/>
      <c r="D6" s="30"/>
      <c r="E6" s="28"/>
      <c r="F6" s="28"/>
      <c r="G6" s="28"/>
      <c r="H6" s="31"/>
      <c r="I6" s="28"/>
      <c r="J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</row>
    <row r="7" spans="1:23" ht="15.75" customHeight="1">
      <c r="A7" s="33" t="s">
        <v>360</v>
      </c>
      <c r="B7" s="33" t="s">
        <v>3</v>
      </c>
      <c r="C7" s="33" t="s">
        <v>361</v>
      </c>
      <c r="D7" s="33" t="s">
        <v>312</v>
      </c>
      <c r="E7" s="33" t="s">
        <v>257</v>
      </c>
      <c r="F7" s="33" t="s">
        <v>313</v>
      </c>
      <c r="G7" s="33" t="s">
        <v>314</v>
      </c>
      <c r="H7" s="33" t="s">
        <v>315</v>
      </c>
      <c r="I7" s="33" t="s">
        <v>316</v>
      </c>
      <c r="J7" s="33" t="s">
        <v>317</v>
      </c>
      <c r="K7" s="33" t="s">
        <v>318</v>
      </c>
      <c r="L7" s="33" t="s">
        <v>319</v>
      </c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</row>
    <row r="8" spans="1:23" ht="15.75" customHeight="1">
      <c r="A8" s="28" t="s">
        <v>362</v>
      </c>
      <c r="B8" s="28" t="s">
        <v>183</v>
      </c>
      <c r="C8" s="28" t="s">
        <v>363</v>
      </c>
      <c r="D8" s="30" t="s">
        <v>364</v>
      </c>
      <c r="E8" s="28" t="s">
        <v>365</v>
      </c>
      <c r="F8" s="28" t="s">
        <v>345</v>
      </c>
      <c r="G8" s="28" t="s">
        <v>355</v>
      </c>
      <c r="H8" s="28" t="s">
        <v>277</v>
      </c>
      <c r="I8" s="25" t="s">
        <v>278</v>
      </c>
      <c r="J8" s="25" t="s">
        <v>366</v>
      </c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</row>
    <row r="9" spans="1:23" ht="15.75" customHeight="1">
      <c r="A9" s="28" t="s">
        <v>367</v>
      </c>
      <c r="B9" s="28" t="s">
        <v>183</v>
      </c>
      <c r="C9" s="28" t="s">
        <v>363</v>
      </c>
      <c r="D9" s="30" t="s">
        <v>79</v>
      </c>
      <c r="E9" s="28" t="s">
        <v>368</v>
      </c>
      <c r="F9" s="28" t="s">
        <v>345</v>
      </c>
      <c r="G9" s="28" t="s">
        <v>355</v>
      </c>
      <c r="H9" s="28" t="s">
        <v>369</v>
      </c>
      <c r="I9" s="25" t="s">
        <v>370</v>
      </c>
      <c r="J9" s="25" t="s">
        <v>371</v>
      </c>
      <c r="K9" s="34" t="s">
        <v>368</v>
      </c>
      <c r="L9" s="28">
        <v>7169398660</v>
      </c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</row>
    <row r="10" spans="1:23" ht="15.75" customHeight="1">
      <c r="A10" s="28" t="s">
        <v>372</v>
      </c>
      <c r="B10" s="28" t="s">
        <v>373</v>
      </c>
      <c r="C10" s="28" t="s">
        <v>133</v>
      </c>
      <c r="D10" s="30" t="s">
        <v>374</v>
      </c>
      <c r="E10" s="28" t="s">
        <v>375</v>
      </c>
      <c r="F10" s="28" t="s">
        <v>325</v>
      </c>
      <c r="G10" s="28" t="s">
        <v>326</v>
      </c>
      <c r="H10" s="28" t="s">
        <v>376</v>
      </c>
      <c r="I10" s="25" t="s">
        <v>377</v>
      </c>
      <c r="J10" s="25" t="s">
        <v>378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</row>
    <row r="11" spans="1:23" ht="15.75" customHeight="1">
      <c r="A11" s="28" t="s">
        <v>379</v>
      </c>
      <c r="B11" s="28" t="s">
        <v>380</v>
      </c>
      <c r="C11" s="28" t="s">
        <v>381</v>
      </c>
      <c r="D11" s="30" t="s">
        <v>382</v>
      </c>
      <c r="E11" s="28" t="s">
        <v>383</v>
      </c>
      <c r="F11" s="28" t="s">
        <v>335</v>
      </c>
      <c r="G11" s="28" t="s">
        <v>336</v>
      </c>
      <c r="H11" s="28" t="s">
        <v>276</v>
      </c>
      <c r="I11" s="25" t="s">
        <v>384</v>
      </c>
      <c r="J11" s="25" t="s">
        <v>385</v>
      </c>
      <c r="K11" s="34" t="s">
        <v>386</v>
      </c>
      <c r="L11" s="28">
        <v>8643044298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</row>
    <row r="12" spans="1:23" ht="15.75" customHeight="1">
      <c r="A12" s="28" t="s">
        <v>387</v>
      </c>
      <c r="B12" s="28" t="s">
        <v>388</v>
      </c>
      <c r="C12" s="28" t="s">
        <v>389</v>
      </c>
      <c r="D12" s="30" t="s">
        <v>390</v>
      </c>
      <c r="E12" s="34" t="s">
        <v>391</v>
      </c>
      <c r="F12" s="28" t="s">
        <v>354</v>
      </c>
      <c r="G12" s="28" t="s">
        <v>336</v>
      </c>
      <c r="H12" s="28" t="s">
        <v>392</v>
      </c>
      <c r="I12" s="25" t="s">
        <v>393</v>
      </c>
      <c r="J12" s="25" t="s">
        <v>394</v>
      </c>
      <c r="K12" s="34" t="s">
        <v>395</v>
      </c>
      <c r="L12" s="28">
        <v>4349078398</v>
      </c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</row>
    <row r="13" spans="1:23" ht="15.75" customHeight="1">
      <c r="A13" s="28" t="s">
        <v>396</v>
      </c>
      <c r="B13" s="28" t="s">
        <v>397</v>
      </c>
      <c r="C13" s="28" t="s">
        <v>398</v>
      </c>
      <c r="D13" s="30" t="s">
        <v>399</v>
      </c>
      <c r="E13" s="28" t="s">
        <v>400</v>
      </c>
      <c r="F13" s="28" t="s">
        <v>325</v>
      </c>
      <c r="G13" s="28" t="s">
        <v>354</v>
      </c>
      <c r="H13" s="28" t="s">
        <v>401</v>
      </c>
      <c r="I13" s="25" t="s">
        <v>402</v>
      </c>
      <c r="J13" s="25" t="s">
        <v>403</v>
      </c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</row>
    <row r="14" spans="1:23" ht="15.75" customHeight="1">
      <c r="A14" s="28" t="s">
        <v>404</v>
      </c>
      <c r="B14" s="28" t="s">
        <v>183</v>
      </c>
      <c r="C14" s="28" t="s">
        <v>405</v>
      </c>
      <c r="D14" s="30" t="s">
        <v>238</v>
      </c>
      <c r="E14" s="28" t="s">
        <v>406</v>
      </c>
      <c r="F14" s="28" t="s">
        <v>326</v>
      </c>
      <c r="G14" s="28" t="s">
        <v>335</v>
      </c>
      <c r="H14" s="28" t="s">
        <v>407</v>
      </c>
      <c r="I14" s="25" t="s">
        <v>408</v>
      </c>
      <c r="J14" s="25" t="s">
        <v>409</v>
      </c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</row>
    <row r="15" spans="1:23" ht="15.75" customHeight="1">
      <c r="A15" s="28"/>
      <c r="B15" s="28"/>
      <c r="C15" s="28"/>
      <c r="D15" s="30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</row>
  </sheetData>
  <hyperlinks>
    <hyperlink ref="E12" r:id="rId1" xr:uid="{732C881B-3972-4482-A458-273976A8E63B}"/>
    <hyperlink ref="E13" r:id="rId2" xr:uid="{F5BC7AA8-7969-4174-94A3-004D4B23FCAA}"/>
    <hyperlink ref="I12" r:id="rId3" xr:uid="{22E37849-24B6-4774-8FEA-96D4254C3A87}"/>
    <hyperlink ref="J12" r:id="rId4" xr:uid="{76C8E08C-8FDE-4D64-8F56-C5556784E34D}"/>
    <hyperlink ref="J13" r:id="rId5" xr:uid="{426E535B-BBA4-4984-88E5-92C2AE1D4376}"/>
    <hyperlink ref="J4" r:id="rId6" xr:uid="{8C22AD92-946C-412A-9282-85539A261E59}"/>
    <hyperlink ref="I4" r:id="rId7" xr:uid="{D9036507-A152-495B-9081-6599036E45C6}"/>
    <hyperlink ref="I5" r:id="rId8" xr:uid="{7E979F86-F318-4DB8-B0F5-4FEE40AFD857}"/>
    <hyperlink ref="J5" r:id="rId9" xr:uid="{EBF9EF5D-6643-47EE-A569-CE17B378B2A0}"/>
    <hyperlink ref="I3" r:id="rId10" xr:uid="{C5D16EA9-74B6-45D0-8046-EFBA4A247121}"/>
    <hyperlink ref="J3" r:id="rId11" xr:uid="{DF2D5526-3F8C-42F9-A22D-9E21ABFF6F68}"/>
    <hyperlink ref="I8" r:id="rId12" xr:uid="{EDDCC440-F335-416E-BBE2-447BD696B564}"/>
    <hyperlink ref="J8" r:id="rId13" xr:uid="{1DCF42CA-7BA4-45F5-9C09-9CF65593EE3A}"/>
    <hyperlink ref="I10" r:id="rId14" xr:uid="{20D5A56D-5D7A-4BA0-84FC-91804B7A6787}"/>
    <hyperlink ref="J10" r:id="rId15" xr:uid="{DA6E69CE-7EA5-4781-A4C2-816ED106FBCE}"/>
    <hyperlink ref="I2" r:id="rId16" xr:uid="{5CEDD84C-BB40-4D15-8130-92AF1A267DC4}"/>
    <hyperlink ref="J2" r:id="rId17" xr:uid="{AD1A03DB-4D31-41D2-B55C-80B992C3FD4B}"/>
    <hyperlink ref="J14" r:id="rId18" xr:uid="{841B7A67-F35F-418F-A2BC-7A2039A139EB}"/>
    <hyperlink ref="I14" r:id="rId19" xr:uid="{58BE5C6E-4AFA-46E4-B2E2-5CD1041E79EA}"/>
    <hyperlink ref="J11" r:id="rId20" xr:uid="{BD884831-0326-4BB7-84BD-147A17F47B6E}"/>
    <hyperlink ref="I11" r:id="rId21" xr:uid="{C303A16E-AEC5-4359-8FB3-A4FB5F427287}"/>
    <hyperlink ref="J9" r:id="rId22" xr:uid="{734DF88C-7C0B-426B-BC6A-3C92474A90A3}"/>
    <hyperlink ref="E10" r:id="rId23" xr:uid="{E4440D3A-ED9A-4B82-B7C8-B87DFE00405D}"/>
    <hyperlink ref="E3" r:id="rId24" xr:uid="{C3C59F88-B3F6-49BB-B8CB-990F1625B4E2}"/>
    <hyperlink ref="E5" r:id="rId25" xr:uid="{9AE307A0-E417-463C-A4A1-3B6613878747}"/>
    <hyperlink ref="K5" r:id="rId26" xr:uid="{B23FDD3A-E7A1-46D9-9B45-D23A42D3BE01}"/>
    <hyperlink ref="K2" r:id="rId27" xr:uid="{C10F9D0A-5538-4001-8796-9BD8D6446FF1}"/>
    <hyperlink ref="K4" r:id="rId28" xr:uid="{11AA46A4-A0A0-4770-951D-61379312F670}"/>
    <hyperlink ref="K9" r:id="rId29" xr:uid="{287BBADC-7034-478F-B734-EB4AB67F7657}"/>
    <hyperlink ref="K11" r:id="rId30" xr:uid="{206223E5-AC49-472E-8925-843E4B15347A}"/>
    <hyperlink ref="K12" r:id="rId31" xr:uid="{966D6C43-9AC1-44A4-9DF4-57649EF5BC0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5"/>
  <sheetViews>
    <sheetView zoomScale="85" zoomScaleNormal="85" workbookViewId="0">
      <selection activeCell="E27" sqref="E27:F33"/>
    </sheetView>
  </sheetViews>
  <sheetFormatPr defaultColWidth="8.85546875" defaultRowHeight="15.6"/>
  <cols>
    <col min="1" max="1" width="22.85546875" style="36" bestFit="1" customWidth="1"/>
    <col min="2" max="3" width="8.85546875" style="36"/>
    <col min="4" max="4" width="26.140625" style="36" customWidth="1"/>
    <col min="5" max="5" width="12.7109375" style="36" customWidth="1"/>
    <col min="6" max="6" width="18.85546875" style="36" customWidth="1"/>
    <col min="7" max="16384" width="8.85546875" style="36"/>
  </cols>
  <sheetData>
    <row r="1" spans="1:13">
      <c r="A1" s="35" t="s">
        <v>410</v>
      </c>
      <c r="B1" s="35" t="s">
        <v>411</v>
      </c>
      <c r="C1" s="35" t="s">
        <v>412</v>
      </c>
      <c r="D1" s="35" t="s">
        <v>413</v>
      </c>
      <c r="E1" s="35" t="s">
        <v>414</v>
      </c>
      <c r="F1" s="35" t="s">
        <v>415</v>
      </c>
    </row>
    <row r="2" spans="1:13">
      <c r="A2" s="37" t="s">
        <v>416</v>
      </c>
      <c r="B2" s="37" t="s">
        <v>310</v>
      </c>
      <c r="C2" s="37" t="s">
        <v>417</v>
      </c>
      <c r="D2" s="37" t="s">
        <v>418</v>
      </c>
      <c r="E2" s="37" t="s">
        <v>419</v>
      </c>
      <c r="F2" s="37" t="s">
        <v>420</v>
      </c>
    </row>
    <row r="3" spans="1:13">
      <c r="A3" s="37" t="s">
        <v>416</v>
      </c>
      <c r="B3" s="37" t="s">
        <v>310</v>
      </c>
      <c r="C3" s="37" t="s">
        <v>421</v>
      </c>
      <c r="D3" s="38" t="s">
        <v>422</v>
      </c>
      <c r="E3" s="37" t="s">
        <v>423</v>
      </c>
      <c r="F3" s="37" t="s">
        <v>424</v>
      </c>
    </row>
    <row r="4" spans="1:13">
      <c r="A4" s="39" t="s">
        <v>416</v>
      </c>
      <c r="B4" s="39" t="s">
        <v>360</v>
      </c>
      <c r="C4" s="39"/>
      <c r="D4" s="40" t="s">
        <v>425</v>
      </c>
      <c r="E4" s="39" t="s">
        <v>426</v>
      </c>
      <c r="F4" s="39" t="s">
        <v>427</v>
      </c>
    </row>
    <row r="5" spans="1:13">
      <c r="A5" s="39" t="s">
        <v>416</v>
      </c>
      <c r="B5" s="39" t="s">
        <v>360</v>
      </c>
      <c r="C5" s="39" t="s">
        <v>428</v>
      </c>
      <c r="D5" s="39" t="s">
        <v>429</v>
      </c>
      <c r="E5" s="39" t="s">
        <v>430</v>
      </c>
      <c r="F5" s="39" t="s">
        <v>431</v>
      </c>
    </row>
    <row r="6" spans="1:13">
      <c r="A6" s="39" t="s">
        <v>416</v>
      </c>
      <c r="B6" s="39" t="s">
        <v>360</v>
      </c>
      <c r="C6" s="39" t="s">
        <v>432</v>
      </c>
      <c r="D6" s="39" t="s">
        <v>433</v>
      </c>
      <c r="E6" s="39" t="s">
        <v>434</v>
      </c>
      <c r="F6" s="39" t="s">
        <v>435</v>
      </c>
    </row>
    <row r="7" spans="1:13">
      <c r="A7" s="39" t="s">
        <v>416</v>
      </c>
      <c r="B7" s="39" t="s">
        <v>360</v>
      </c>
      <c r="C7" s="39" t="s">
        <v>436</v>
      </c>
      <c r="D7" s="39" t="s">
        <v>437</v>
      </c>
      <c r="E7" s="39" t="s">
        <v>438</v>
      </c>
      <c r="F7" s="39" t="s">
        <v>439</v>
      </c>
      <c r="J7" s="41"/>
      <c r="K7" s="41" t="s">
        <v>440</v>
      </c>
      <c r="L7" s="41" t="s">
        <v>441</v>
      </c>
    </row>
    <row r="8" spans="1:13">
      <c r="A8" s="42" t="s">
        <v>442</v>
      </c>
      <c r="B8" s="42" t="s">
        <v>310</v>
      </c>
      <c r="C8" s="42"/>
      <c r="D8" s="43" t="s">
        <v>443</v>
      </c>
      <c r="E8" s="42" t="s">
        <v>444</v>
      </c>
      <c r="F8" s="42" t="s">
        <v>445</v>
      </c>
      <c r="J8" s="41" t="s">
        <v>44</v>
      </c>
      <c r="K8" s="41">
        <v>7</v>
      </c>
      <c r="L8" s="41">
        <v>17</v>
      </c>
    </row>
    <row r="9" spans="1:13">
      <c r="A9" s="42" t="s">
        <v>442</v>
      </c>
      <c r="B9" s="42" t="s">
        <v>310</v>
      </c>
      <c r="C9" s="42" t="s">
        <v>446</v>
      </c>
      <c r="D9" s="43" t="s">
        <v>447</v>
      </c>
      <c r="E9" s="42" t="s">
        <v>448</v>
      </c>
      <c r="F9" s="42" t="s">
        <v>449</v>
      </c>
      <c r="J9" s="41" t="s">
        <v>84</v>
      </c>
      <c r="K9" s="41">
        <v>3</v>
      </c>
      <c r="L9" s="41">
        <v>9</v>
      </c>
    </row>
    <row r="10" spans="1:13">
      <c r="A10" s="42" t="s">
        <v>442</v>
      </c>
      <c r="B10" s="42" t="s">
        <v>310</v>
      </c>
      <c r="C10" s="42" t="s">
        <v>450</v>
      </c>
      <c r="D10" s="43" t="s">
        <v>451</v>
      </c>
      <c r="E10" s="42" t="s">
        <v>452</v>
      </c>
      <c r="F10" s="42" t="s">
        <v>453</v>
      </c>
      <c r="J10" s="41" t="s">
        <v>51</v>
      </c>
      <c r="K10" s="41">
        <v>2</v>
      </c>
      <c r="L10" s="41">
        <v>5</v>
      </c>
    </row>
    <row r="11" spans="1:13">
      <c r="A11" s="44" t="s">
        <v>442</v>
      </c>
      <c r="B11" s="44" t="s">
        <v>360</v>
      </c>
      <c r="C11" s="44" t="s">
        <v>454</v>
      </c>
      <c r="D11" s="44" t="s">
        <v>455</v>
      </c>
      <c r="E11" s="44" t="s">
        <v>456</v>
      </c>
      <c r="F11" s="44" t="s">
        <v>457</v>
      </c>
      <c r="J11" s="41" t="s">
        <v>458</v>
      </c>
      <c r="K11" s="41">
        <v>2</v>
      </c>
      <c r="L11" s="41">
        <v>4</v>
      </c>
    </row>
    <row r="12" spans="1:13">
      <c r="A12" s="44" t="s">
        <v>442</v>
      </c>
      <c r="B12" s="44" t="s">
        <v>360</v>
      </c>
      <c r="C12" s="44" t="s">
        <v>459</v>
      </c>
      <c r="D12" s="44" t="s">
        <v>460</v>
      </c>
      <c r="E12" s="44" t="s">
        <v>461</v>
      </c>
      <c r="F12" s="44" t="s">
        <v>462</v>
      </c>
      <c r="J12" s="41" t="s">
        <v>463</v>
      </c>
      <c r="K12" s="41">
        <v>5</v>
      </c>
      <c r="L12" s="41">
        <v>10</v>
      </c>
    </row>
    <row r="13" spans="1:13">
      <c r="A13" s="44" t="s">
        <v>442</v>
      </c>
      <c r="B13" s="44" t="s">
        <v>360</v>
      </c>
      <c r="C13" s="44" t="s">
        <v>464</v>
      </c>
      <c r="D13" s="44" t="s">
        <v>465</v>
      </c>
      <c r="E13" s="44" t="s">
        <v>466</v>
      </c>
      <c r="F13" s="44" t="s">
        <v>467</v>
      </c>
      <c r="K13" s="36">
        <f>SUM(K8:K12)</f>
        <v>19</v>
      </c>
      <c r="L13" s="36">
        <f>SUM(L8:L12)</f>
        <v>45</v>
      </c>
      <c r="M13" s="36">
        <f>SUM(K13:L13)</f>
        <v>64</v>
      </c>
    </row>
    <row r="14" spans="1:13">
      <c r="A14" s="44" t="s">
        <v>442</v>
      </c>
      <c r="B14" s="44" t="s">
        <v>360</v>
      </c>
      <c r="C14" s="44" t="s">
        <v>468</v>
      </c>
      <c r="D14" s="44" t="s">
        <v>469</v>
      </c>
      <c r="E14" s="44" t="s">
        <v>470</v>
      </c>
      <c r="F14" s="44" t="s">
        <v>471</v>
      </c>
    </row>
    <row r="15" spans="1:13">
      <c r="A15" s="44" t="s">
        <v>442</v>
      </c>
      <c r="B15" s="44" t="s">
        <v>360</v>
      </c>
      <c r="C15" s="44"/>
      <c r="D15" s="44" t="s">
        <v>472</v>
      </c>
      <c r="E15" s="44" t="s">
        <v>473</v>
      </c>
      <c r="F15" s="44" t="s">
        <v>474</v>
      </c>
    </row>
    <row r="16" spans="1:13">
      <c r="A16" s="44" t="s">
        <v>442</v>
      </c>
      <c r="B16" s="44" t="s">
        <v>360</v>
      </c>
      <c r="C16" s="44" t="s">
        <v>468</v>
      </c>
      <c r="D16" s="44" t="s">
        <v>475</v>
      </c>
      <c r="E16" s="44" t="s">
        <v>476</v>
      </c>
      <c r="F16" s="44" t="s">
        <v>477</v>
      </c>
    </row>
    <row r="17" spans="1:6">
      <c r="A17" s="44" t="s">
        <v>442</v>
      </c>
      <c r="B17" s="44" t="s">
        <v>360</v>
      </c>
      <c r="C17" s="44" t="s">
        <v>468</v>
      </c>
      <c r="D17" s="44" t="s">
        <v>478</v>
      </c>
      <c r="E17" s="44" t="s">
        <v>479</v>
      </c>
      <c r="F17" s="44" t="s">
        <v>480</v>
      </c>
    </row>
    <row r="18" spans="1:6">
      <c r="A18" s="44" t="s">
        <v>442</v>
      </c>
      <c r="B18" s="44" t="s">
        <v>360</v>
      </c>
      <c r="C18" s="44" t="s">
        <v>481</v>
      </c>
      <c r="D18" s="44" t="s">
        <v>482</v>
      </c>
      <c r="E18" s="44" t="s">
        <v>483</v>
      </c>
      <c r="F18" s="44" t="s">
        <v>484</v>
      </c>
    </row>
    <row r="19" spans="1:6">
      <c r="A19" s="44" t="s">
        <v>442</v>
      </c>
      <c r="B19" s="44" t="s">
        <v>360</v>
      </c>
      <c r="C19" s="44"/>
      <c r="D19" s="44" t="s">
        <v>485</v>
      </c>
      <c r="E19" s="44" t="s">
        <v>486</v>
      </c>
      <c r="F19" s="44" t="s">
        <v>487</v>
      </c>
    </row>
    <row r="20" spans="1:6">
      <c r="A20" s="45" t="s">
        <v>32</v>
      </c>
      <c r="B20" s="45" t="s">
        <v>310</v>
      </c>
      <c r="C20" s="45" t="s">
        <v>488</v>
      </c>
      <c r="D20" s="45" t="s">
        <v>489</v>
      </c>
      <c r="E20" s="45" t="s">
        <v>490</v>
      </c>
      <c r="F20" s="45" t="s">
        <v>491</v>
      </c>
    </row>
    <row r="21" spans="1:6">
      <c r="A21" s="45" t="s">
        <v>32</v>
      </c>
      <c r="B21" s="45" t="s">
        <v>310</v>
      </c>
      <c r="C21" s="45"/>
      <c r="D21" s="45" t="s">
        <v>492</v>
      </c>
      <c r="E21" s="45" t="s">
        <v>493</v>
      </c>
      <c r="F21" s="45" t="s">
        <v>237</v>
      </c>
    </row>
    <row r="22" spans="1:6">
      <c r="A22" s="46" t="s">
        <v>32</v>
      </c>
      <c r="B22" s="46" t="s">
        <v>360</v>
      </c>
      <c r="C22" s="46" t="s">
        <v>494</v>
      </c>
      <c r="D22" s="46" t="s">
        <v>495</v>
      </c>
      <c r="E22" s="46" t="s">
        <v>496</v>
      </c>
      <c r="F22" s="46" t="s">
        <v>466</v>
      </c>
    </row>
    <row r="23" spans="1:6">
      <c r="A23" s="46" t="s">
        <v>32</v>
      </c>
      <c r="B23" s="46" t="s">
        <v>360</v>
      </c>
      <c r="C23" s="46" t="s">
        <v>497</v>
      </c>
      <c r="D23" s="46" t="s">
        <v>498</v>
      </c>
      <c r="E23" s="46" t="s">
        <v>499</v>
      </c>
      <c r="F23" s="46" t="s">
        <v>500</v>
      </c>
    </row>
    <row r="24" spans="1:6">
      <c r="A24" s="46" t="s">
        <v>32</v>
      </c>
      <c r="B24" s="46" t="s">
        <v>360</v>
      </c>
      <c r="C24" s="46" t="s">
        <v>501</v>
      </c>
      <c r="D24" s="46" t="s">
        <v>502</v>
      </c>
      <c r="E24" s="46" t="s">
        <v>503</v>
      </c>
      <c r="F24" s="46" t="s">
        <v>504</v>
      </c>
    </row>
    <row r="25" spans="1:6">
      <c r="A25" s="46" t="s">
        <v>32</v>
      </c>
      <c r="B25" s="46" t="s">
        <v>360</v>
      </c>
      <c r="C25" s="46"/>
      <c r="D25" s="46" t="s">
        <v>505</v>
      </c>
      <c r="E25" s="46" t="s">
        <v>506</v>
      </c>
      <c r="F25" s="46" t="s">
        <v>507</v>
      </c>
    </row>
    <row r="26" spans="1:6">
      <c r="A26" s="46" t="s">
        <v>32</v>
      </c>
      <c r="B26" s="46" t="s">
        <v>360</v>
      </c>
      <c r="C26" s="46"/>
      <c r="D26" s="46" t="s">
        <v>508</v>
      </c>
      <c r="E26" s="46" t="s">
        <v>509</v>
      </c>
      <c r="F26" s="46" t="s">
        <v>510</v>
      </c>
    </row>
    <row r="27" spans="1:6" s="47" customFormat="1">
      <c r="A27" s="47" t="s">
        <v>183</v>
      </c>
      <c r="B27" s="47" t="s">
        <v>310</v>
      </c>
      <c r="D27" s="47" t="s">
        <v>511</v>
      </c>
      <c r="E27" s="47" t="s">
        <v>512</v>
      </c>
      <c r="F27" s="47" t="s">
        <v>513</v>
      </c>
    </row>
    <row r="28" spans="1:6" s="47" customFormat="1">
      <c r="A28" s="47" t="s">
        <v>183</v>
      </c>
      <c r="B28" s="47" t="s">
        <v>310</v>
      </c>
      <c r="D28" s="47" t="s">
        <v>514</v>
      </c>
      <c r="E28" s="47" t="s">
        <v>515</v>
      </c>
      <c r="F28" s="47" t="s">
        <v>516</v>
      </c>
    </row>
    <row r="29" spans="1:6" s="47" customFormat="1">
      <c r="A29" s="47" t="s">
        <v>183</v>
      </c>
      <c r="B29" s="47" t="s">
        <v>310</v>
      </c>
      <c r="D29" s="47" t="s">
        <v>517</v>
      </c>
      <c r="E29" s="47" t="s">
        <v>518</v>
      </c>
      <c r="F29" s="47" t="s">
        <v>519</v>
      </c>
    </row>
    <row r="30" spans="1:6" s="47" customFormat="1">
      <c r="A30" s="47" t="s">
        <v>183</v>
      </c>
      <c r="B30" s="47" t="s">
        <v>310</v>
      </c>
      <c r="D30" s="47" t="s">
        <v>520</v>
      </c>
      <c r="E30" s="47" t="s">
        <v>521</v>
      </c>
      <c r="F30" s="47" t="s">
        <v>522</v>
      </c>
    </row>
    <row r="31" spans="1:6" s="47" customFormat="1">
      <c r="A31" s="47" t="s">
        <v>183</v>
      </c>
      <c r="B31" s="47" t="s">
        <v>310</v>
      </c>
      <c r="D31" s="47" t="s">
        <v>523</v>
      </c>
      <c r="E31" s="47" t="s">
        <v>524</v>
      </c>
      <c r="F31" s="47" t="s">
        <v>525</v>
      </c>
    </row>
    <row r="32" spans="1:6" s="47" customFormat="1">
      <c r="A32" s="47" t="s">
        <v>183</v>
      </c>
      <c r="B32" s="47" t="s">
        <v>310</v>
      </c>
      <c r="D32" s="47" t="s">
        <v>526</v>
      </c>
      <c r="E32" s="47" t="s">
        <v>527</v>
      </c>
      <c r="F32" s="47" t="s">
        <v>528</v>
      </c>
    </row>
    <row r="33" spans="1:6" s="47" customFormat="1">
      <c r="A33" s="47" t="s">
        <v>183</v>
      </c>
      <c r="B33" s="47" t="s">
        <v>310</v>
      </c>
      <c r="D33" s="47" t="s">
        <v>324</v>
      </c>
      <c r="E33" s="47" t="s">
        <v>529</v>
      </c>
      <c r="F33" s="47" t="s">
        <v>530</v>
      </c>
    </row>
    <row r="34" spans="1:6" s="48" customFormat="1">
      <c r="A34" s="48" t="s">
        <v>183</v>
      </c>
      <c r="B34" s="48" t="s">
        <v>531</v>
      </c>
      <c r="D34" s="48" t="s">
        <v>532</v>
      </c>
      <c r="E34" s="48" t="s">
        <v>497</v>
      </c>
      <c r="F34" s="48" t="s">
        <v>533</v>
      </c>
    </row>
    <row r="35" spans="1:6" s="48" customFormat="1">
      <c r="A35" s="48" t="s">
        <v>183</v>
      </c>
      <c r="B35" s="48" t="s">
        <v>531</v>
      </c>
      <c r="D35" s="48" t="s">
        <v>534</v>
      </c>
      <c r="E35" s="48" t="s">
        <v>535</v>
      </c>
      <c r="F35" s="48" t="s">
        <v>536</v>
      </c>
    </row>
    <row r="36" spans="1:6" s="48" customFormat="1">
      <c r="A36" s="48" t="s">
        <v>183</v>
      </c>
      <c r="B36" s="48" t="s">
        <v>360</v>
      </c>
      <c r="D36" s="48" t="s">
        <v>537</v>
      </c>
      <c r="E36" s="48" t="s">
        <v>538</v>
      </c>
      <c r="F36" s="48" t="s">
        <v>539</v>
      </c>
    </row>
    <row r="37" spans="1:6" s="48" customFormat="1">
      <c r="A37" s="48" t="s">
        <v>183</v>
      </c>
      <c r="B37" s="48" t="s">
        <v>360</v>
      </c>
      <c r="D37" s="48" t="s">
        <v>540</v>
      </c>
      <c r="E37" s="48" t="s">
        <v>541</v>
      </c>
      <c r="F37" s="48" t="s">
        <v>542</v>
      </c>
    </row>
    <row r="38" spans="1:6" s="48" customFormat="1">
      <c r="A38" s="48" t="s">
        <v>183</v>
      </c>
      <c r="B38" s="48" t="s">
        <v>360</v>
      </c>
      <c r="D38" s="48" t="s">
        <v>543</v>
      </c>
      <c r="E38" s="48" t="s">
        <v>544</v>
      </c>
      <c r="F38" s="48" t="s">
        <v>545</v>
      </c>
    </row>
    <row r="39" spans="1:6" s="48" customFormat="1">
      <c r="A39" s="48" t="s">
        <v>183</v>
      </c>
      <c r="B39" s="48" t="s">
        <v>360</v>
      </c>
      <c r="D39" s="48" t="s">
        <v>546</v>
      </c>
      <c r="E39" s="48" t="s">
        <v>547</v>
      </c>
      <c r="F39" s="48" t="s">
        <v>548</v>
      </c>
    </row>
    <row r="40" spans="1:6" s="48" customFormat="1">
      <c r="A40" s="48" t="s">
        <v>183</v>
      </c>
      <c r="B40" s="48" t="s">
        <v>360</v>
      </c>
      <c r="D40" s="48" t="s">
        <v>549</v>
      </c>
      <c r="E40" s="48" t="s">
        <v>550</v>
      </c>
      <c r="F40" s="48" t="s">
        <v>551</v>
      </c>
    </row>
    <row r="41" spans="1:6" s="48" customFormat="1">
      <c r="A41" s="48" t="s">
        <v>183</v>
      </c>
      <c r="B41" s="48" t="s">
        <v>360</v>
      </c>
      <c r="D41" s="48" t="s">
        <v>552</v>
      </c>
      <c r="E41" s="48" t="s">
        <v>553</v>
      </c>
      <c r="F41" s="48" t="s">
        <v>554</v>
      </c>
    </row>
    <row r="42" spans="1:6" s="48" customFormat="1">
      <c r="A42" s="48" t="s">
        <v>183</v>
      </c>
      <c r="B42" s="48" t="s">
        <v>360</v>
      </c>
      <c r="D42" s="49" t="s">
        <v>555</v>
      </c>
      <c r="E42" s="48" t="s">
        <v>556</v>
      </c>
      <c r="F42" s="48" t="s">
        <v>557</v>
      </c>
    </row>
    <row r="43" spans="1:6" s="48" customFormat="1">
      <c r="A43" s="48" t="s">
        <v>183</v>
      </c>
      <c r="B43" s="48" t="s">
        <v>360</v>
      </c>
      <c r="D43" s="48" t="s">
        <v>558</v>
      </c>
      <c r="E43" s="48" t="s">
        <v>559</v>
      </c>
      <c r="F43" s="48" t="s">
        <v>560</v>
      </c>
    </row>
    <row r="44" spans="1:6" s="48" customFormat="1">
      <c r="A44" s="48" t="s">
        <v>183</v>
      </c>
      <c r="B44" s="48" t="s">
        <v>360</v>
      </c>
      <c r="D44" s="48" t="s">
        <v>561</v>
      </c>
      <c r="E44" s="48" t="s">
        <v>562</v>
      </c>
      <c r="F44" s="48" t="s">
        <v>563</v>
      </c>
    </row>
    <row r="45" spans="1:6" s="48" customFormat="1">
      <c r="A45" s="48" t="s">
        <v>183</v>
      </c>
      <c r="B45" s="48" t="s">
        <v>360</v>
      </c>
      <c r="D45" s="48" t="s">
        <v>564</v>
      </c>
      <c r="E45" s="48" t="s">
        <v>529</v>
      </c>
      <c r="F45" s="48" t="s">
        <v>565</v>
      </c>
    </row>
    <row r="46" spans="1:6" s="48" customFormat="1">
      <c r="A46" s="48" t="s">
        <v>183</v>
      </c>
      <c r="B46" s="48" t="s">
        <v>360</v>
      </c>
      <c r="D46" s="48" t="s">
        <v>566</v>
      </c>
      <c r="E46" s="48" t="s">
        <v>567</v>
      </c>
      <c r="F46" s="48" t="s">
        <v>568</v>
      </c>
    </row>
    <row r="47" spans="1:6" s="48" customFormat="1">
      <c r="A47" s="48" t="s">
        <v>183</v>
      </c>
      <c r="B47" s="48" t="s">
        <v>360</v>
      </c>
      <c r="D47" s="48" t="s">
        <v>569</v>
      </c>
      <c r="E47" s="48" t="s">
        <v>570</v>
      </c>
      <c r="F47" s="48" t="s">
        <v>571</v>
      </c>
    </row>
    <row r="48" spans="1:6" s="48" customFormat="1">
      <c r="A48" s="48" t="s">
        <v>183</v>
      </c>
      <c r="B48" s="48" t="s">
        <v>360</v>
      </c>
      <c r="D48" s="48" t="s">
        <v>572</v>
      </c>
      <c r="E48" s="48" t="s">
        <v>573</v>
      </c>
      <c r="F48" s="48" t="s">
        <v>574</v>
      </c>
    </row>
    <row r="49" spans="1:6" s="48" customFormat="1">
      <c r="A49" s="48" t="s">
        <v>183</v>
      </c>
      <c r="B49" s="48" t="s">
        <v>360</v>
      </c>
      <c r="D49" s="48" t="s">
        <v>575</v>
      </c>
      <c r="E49" s="48" t="s">
        <v>576</v>
      </c>
      <c r="F49" s="48" t="s">
        <v>577</v>
      </c>
    </row>
    <row r="50" spans="1:6" s="48" customFormat="1">
      <c r="A50" s="48" t="s">
        <v>183</v>
      </c>
      <c r="B50" s="48" t="s">
        <v>360</v>
      </c>
      <c r="D50" s="48" t="s">
        <v>334</v>
      </c>
      <c r="E50" s="48" t="s">
        <v>578</v>
      </c>
      <c r="F50" s="48" t="s">
        <v>579</v>
      </c>
    </row>
    <row r="51" spans="1:6">
      <c r="A51" s="36" t="s">
        <v>580</v>
      </c>
      <c r="B51" s="36" t="s">
        <v>310</v>
      </c>
      <c r="D51" s="36" t="s">
        <v>581</v>
      </c>
    </row>
    <row r="52" spans="1:6">
      <c r="A52" s="36" t="s">
        <v>580</v>
      </c>
      <c r="B52" s="36" t="s">
        <v>310</v>
      </c>
      <c r="D52" s="36" t="s">
        <v>582</v>
      </c>
    </row>
    <row r="53" spans="1:6">
      <c r="A53" s="36" t="s">
        <v>580</v>
      </c>
      <c r="B53" s="36" t="s">
        <v>310</v>
      </c>
      <c r="D53" s="36" t="s">
        <v>583</v>
      </c>
    </row>
    <row r="54" spans="1:6">
      <c r="A54" s="36" t="s">
        <v>580</v>
      </c>
      <c r="B54" s="36" t="s">
        <v>310</v>
      </c>
      <c r="D54" s="36" t="s">
        <v>584</v>
      </c>
    </row>
    <row r="55" spans="1:6">
      <c r="A55" s="36" t="s">
        <v>580</v>
      </c>
      <c r="B55" s="36" t="s">
        <v>310</v>
      </c>
      <c r="D55" s="36" t="s">
        <v>585</v>
      </c>
    </row>
  </sheetData>
  <hyperlinks>
    <hyperlink ref="D3" r:id="rId1" xr:uid="{00000000-0004-0000-0200-000000000000}"/>
    <hyperlink ref="D4" r:id="rId2" xr:uid="{00000000-0004-0000-0200-000001000000}"/>
    <hyperlink ref="D8" r:id="rId3" xr:uid="{00000000-0004-0000-0200-000002000000}"/>
    <hyperlink ref="D9" r:id="rId4" xr:uid="{00000000-0004-0000-0200-000003000000}"/>
    <hyperlink ref="D10" r:id="rId5" xr:uid="{00000000-0004-0000-0200-000004000000}"/>
    <hyperlink ref="D42" r:id="rId6" xr:uid="{B93FDA5E-9BD7-4B65-8CF3-D49B2F27B1B4}"/>
  </hyperlinks>
  <pageMargins left="0.7" right="0.7" top="0.75" bottom="0.75" header="0.3" footer="0.3"/>
  <pageSetup orientation="portrait"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657B7-E9D6-4E52-BC9B-18E7D4064EB4}">
  <dimension ref="A1:D15"/>
  <sheetViews>
    <sheetView workbookViewId="0">
      <selection activeCell="E15" sqref="E15"/>
    </sheetView>
  </sheetViews>
  <sheetFormatPr defaultRowHeight="14.45"/>
  <cols>
    <col min="1" max="1" width="18.28515625" bestFit="1" customWidth="1"/>
    <col min="2" max="2" width="48.140625" bestFit="1" customWidth="1"/>
    <col min="3" max="3" width="53.42578125" bestFit="1" customWidth="1"/>
    <col min="4" max="4" width="21" bestFit="1" customWidth="1"/>
  </cols>
  <sheetData>
    <row r="1" spans="1:4" ht="15.6">
      <c r="A1" s="51" t="s">
        <v>310</v>
      </c>
      <c r="B1" s="51" t="s">
        <v>3</v>
      </c>
      <c r="C1" s="51" t="s">
        <v>361</v>
      </c>
      <c r="D1" s="51" t="s">
        <v>586</v>
      </c>
    </row>
    <row r="2" spans="1:4" ht="15.6">
      <c r="A2" s="29" t="s">
        <v>169</v>
      </c>
      <c r="B2" s="29" t="s">
        <v>153</v>
      </c>
      <c r="C2" s="52" t="s">
        <v>133</v>
      </c>
      <c r="D2" s="34" t="s">
        <v>587</v>
      </c>
    </row>
    <row r="3" spans="1:4" ht="15.6">
      <c r="A3" s="29" t="s">
        <v>171</v>
      </c>
      <c r="B3" s="29" t="s">
        <v>588</v>
      </c>
      <c r="C3" s="52" t="s">
        <v>172</v>
      </c>
      <c r="D3" s="34" t="s">
        <v>589</v>
      </c>
    </row>
    <row r="4" spans="1:4" ht="15.6">
      <c r="A4" s="29" t="s">
        <v>173</v>
      </c>
      <c r="B4" s="29" t="s">
        <v>590</v>
      </c>
      <c r="C4" s="52" t="s">
        <v>175</v>
      </c>
      <c r="D4" s="34" t="s">
        <v>591</v>
      </c>
    </row>
    <row r="5" spans="1:4" ht="15.6">
      <c r="A5" s="29" t="s">
        <v>592</v>
      </c>
      <c r="B5" s="29" t="s">
        <v>593</v>
      </c>
      <c r="C5" s="52" t="s">
        <v>178</v>
      </c>
      <c r="D5" s="34" t="s">
        <v>594</v>
      </c>
    </row>
    <row r="6" spans="1:4" ht="15.6">
      <c r="A6" s="29" t="s">
        <v>179</v>
      </c>
      <c r="B6" s="29" t="s">
        <v>341</v>
      </c>
      <c r="C6" s="52" t="s">
        <v>180</v>
      </c>
      <c r="D6" s="34" t="s">
        <v>595</v>
      </c>
    </row>
    <row r="7" spans="1:4" ht="15.6">
      <c r="A7" s="28"/>
      <c r="B7" s="28"/>
      <c r="C7" s="52"/>
      <c r="D7" s="52"/>
    </row>
    <row r="8" spans="1:4" ht="15.6">
      <c r="A8" s="51" t="s">
        <v>360</v>
      </c>
      <c r="B8" s="51" t="s">
        <v>3</v>
      </c>
      <c r="C8" s="51" t="s">
        <v>361</v>
      </c>
      <c r="D8" s="51" t="s">
        <v>586</v>
      </c>
    </row>
    <row r="9" spans="1:4" ht="15.6">
      <c r="A9" s="29" t="s">
        <v>152</v>
      </c>
      <c r="B9" s="29" t="s">
        <v>590</v>
      </c>
      <c r="C9" s="52" t="s">
        <v>137</v>
      </c>
      <c r="D9" s="50" t="s">
        <v>596</v>
      </c>
    </row>
    <row r="10" spans="1:4" ht="15.6">
      <c r="A10" s="29" t="s">
        <v>597</v>
      </c>
      <c r="B10" s="29" t="s">
        <v>598</v>
      </c>
      <c r="C10" s="52" t="s">
        <v>156</v>
      </c>
      <c r="D10" s="34" t="s">
        <v>599</v>
      </c>
    </row>
    <row r="11" spans="1:4" ht="15.6">
      <c r="A11" s="29" t="s">
        <v>600</v>
      </c>
      <c r="B11" s="29" t="s">
        <v>601</v>
      </c>
      <c r="C11" s="52" t="s">
        <v>159</v>
      </c>
      <c r="D11" s="34" t="s">
        <v>602</v>
      </c>
    </row>
    <row r="12" spans="1:4" ht="15.6">
      <c r="A12" s="29" t="s">
        <v>160</v>
      </c>
      <c r="B12" s="29" t="s">
        <v>603</v>
      </c>
      <c r="C12" s="52" t="s">
        <v>162</v>
      </c>
      <c r="D12" s="50" t="s">
        <v>534</v>
      </c>
    </row>
    <row r="13" spans="1:4" ht="15.6">
      <c r="A13" s="29" t="s">
        <v>163</v>
      </c>
      <c r="B13" s="29" t="s">
        <v>604</v>
      </c>
      <c r="C13" s="52" t="s">
        <v>164</v>
      </c>
      <c r="D13" s="34" t="s">
        <v>532</v>
      </c>
    </row>
    <row r="14" spans="1:4" ht="15.6">
      <c r="A14" s="29" t="s">
        <v>605</v>
      </c>
      <c r="B14" s="29" t="s">
        <v>606</v>
      </c>
      <c r="C14" s="52" t="s">
        <v>166</v>
      </c>
      <c r="D14" s="50" t="s">
        <v>607</v>
      </c>
    </row>
    <row r="15" spans="1:4" ht="15.6">
      <c r="A15" s="29" t="s">
        <v>167</v>
      </c>
      <c r="B15" s="29" t="s">
        <v>183</v>
      </c>
      <c r="C15" s="52" t="s">
        <v>168</v>
      </c>
      <c r="D15" s="34" t="s">
        <v>608</v>
      </c>
    </row>
  </sheetData>
  <hyperlinks>
    <hyperlink ref="D3" r:id="rId1" xr:uid="{91EDADD5-1795-49F4-932D-AF87197501B3}"/>
    <hyperlink ref="D2" r:id="rId2" xr:uid="{C28D923A-F3EE-4404-92B9-1B054ABF4F2B}"/>
    <hyperlink ref="D4" r:id="rId3" xr:uid="{D81DAA0E-3610-4AFF-961A-3AB7BD30DA1F}"/>
    <hyperlink ref="D6" r:id="rId4" xr:uid="{79FB26DF-A631-4A92-8F88-42F289C406B3}"/>
    <hyperlink ref="D5" r:id="rId5" xr:uid="{A7A26248-D4D9-4EFC-8D5D-D71BE8AD8B4C}"/>
    <hyperlink ref="D9" r:id="rId6" xr:uid="{84B386A6-06D9-458F-903C-E7AC2C31B317}"/>
    <hyperlink ref="D10" r:id="rId7" xr:uid="{BCD303D6-A5C7-4016-A7A0-BD0CC8A88BE9}"/>
    <hyperlink ref="D11" r:id="rId8" xr:uid="{9B84A172-86E5-48E8-9854-0CCF8870FB26}"/>
    <hyperlink ref="D12" r:id="rId9" xr:uid="{D750A574-A73D-477F-B528-35C4D5EE5C5A}"/>
    <hyperlink ref="D13" r:id="rId10" xr:uid="{2733F1AE-D61F-40A1-AD70-4E626D3F77B9}"/>
    <hyperlink ref="D14" r:id="rId11" xr:uid="{3E9BD951-6F9E-43D6-B0BE-B11E0152E622}"/>
    <hyperlink ref="D15" r:id="rId12" xr:uid="{98703D2A-D34F-4F61-B752-3C8B57A3285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  <SharedWithUsers xmlns="5ba80a41-9917-4a22-8f13-cb051ddce64c">
      <UserInfo>
        <DisplayName>Montalvo, Cesar P (cpm9w)</DisplayName>
        <AccountId>75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AB00B3-A672-4240-A87E-CDD67AD34939}"/>
</file>

<file path=customXml/itemProps2.xml><?xml version="1.0" encoding="utf-8"?>
<ds:datastoreItem xmlns:ds="http://schemas.openxmlformats.org/officeDocument/2006/customXml" ds:itemID="{04B58210-69BB-4CC1-9D3C-B6B3431F54EB}"/>
</file>

<file path=customXml/itemProps3.xml><?xml version="1.0" encoding="utf-8"?>
<ds:datastoreItem xmlns:ds="http://schemas.openxmlformats.org/officeDocument/2006/customXml" ds:itemID="{CB75E977-533D-4D20-8768-18747C6A23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Thurston, Joel (jt9sz)</dc:creator>
  <cp:keywords/>
  <dc:description/>
  <cp:lastModifiedBy>Shipp, Stephanie S (sss5sc)</cp:lastModifiedBy>
  <cp:revision/>
  <dcterms:created xsi:type="dcterms:W3CDTF">2020-05-22T13:49:04Z</dcterms:created>
  <dcterms:modified xsi:type="dcterms:W3CDTF">2024-10-29T20:19:05Z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  <property fmtid="{D5CDD505-2E9C-101B-9397-08002B2CF9AE}" pid="3" name="MediaServiceImageTags">
    <vt:lpwstr/>
  </property>
</Properties>
</file>