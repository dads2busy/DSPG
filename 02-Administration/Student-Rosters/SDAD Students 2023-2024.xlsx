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.sharepoint.com/sites/sdad/Shared Documents/DSPG/"/>
    </mc:Choice>
  </mc:AlternateContent>
  <xr:revisionPtr revIDLastSave="370" documentId="8_{AB8EFD4A-E0B0-4E87-B74C-8499F33140B2}" xr6:coauthVersionLast="47" xr6:coauthVersionMax="47" xr10:uidLastSave="{D37418CE-C337-415C-9025-DFAAB4D6EA37}"/>
  <bookViews>
    <workbookView xWindow="-108" yWindow="-108" windowWidth="23256" windowHeight="14016" xr2:uid="{C7DBE897-2C5C-4F37-B428-DD0278D06E17}"/>
  </bookViews>
  <sheets>
    <sheet name="SDAD students + temps Fall 2023" sheetId="1" r:id="rId1"/>
    <sheet name="SDAD students + temps Spr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13" i="1"/>
  <c r="V14" i="1"/>
  <c r="V15" i="1"/>
  <c r="V3" i="1"/>
  <c r="N2" i="2"/>
  <c r="O2" i="2" s="1"/>
  <c r="P2" i="2" s="1"/>
  <c r="Q2" i="2" s="1"/>
  <c r="R2" i="2" s="1"/>
  <c r="S2" i="2" s="1"/>
  <c r="T2" i="2" s="1"/>
  <c r="U2" i="2" s="1"/>
  <c r="N1" i="2"/>
  <c r="O1" i="2" s="1"/>
  <c r="P1" i="2" s="1"/>
  <c r="Q1" i="2" s="1"/>
  <c r="R1" i="2" s="1"/>
  <c r="S1" i="2" s="1"/>
  <c r="T1" i="2" s="1"/>
  <c r="U1" i="2" s="1"/>
  <c r="N2" i="1"/>
  <c r="O2" i="1" s="1"/>
  <c r="P2" i="1" s="1"/>
  <c r="Q2" i="1" s="1"/>
  <c r="R2" i="1" s="1"/>
  <c r="S2" i="1" s="1"/>
  <c r="T2" i="1" s="1"/>
  <c r="U2" i="1" s="1"/>
  <c r="N1" i="1"/>
  <c r="O1" i="1" s="1"/>
  <c r="P1" i="1" s="1"/>
  <c r="Q1" i="1" s="1"/>
  <c r="R1" i="1" s="1"/>
  <c r="S1" i="1" s="1"/>
  <c r="T1" i="1" s="1"/>
  <c r="U1" i="1" s="1"/>
</calcChain>
</file>

<file path=xl/sharedStrings.xml><?xml version="1.0" encoding="utf-8"?>
<sst xmlns="http://schemas.openxmlformats.org/spreadsheetml/2006/main" count="200" uniqueCount="105">
  <si>
    <t>Project</t>
  </si>
  <si>
    <t>First</t>
  </si>
  <si>
    <t>Last</t>
  </si>
  <si>
    <t># hours</t>
  </si>
  <si>
    <t>Degree</t>
  </si>
  <si>
    <t>University</t>
  </si>
  <si>
    <t>Job Profile</t>
  </si>
  <si>
    <t>Start Date</t>
  </si>
  <si>
    <t>End Date</t>
  </si>
  <si>
    <t>Location</t>
  </si>
  <si>
    <t>Email UVA</t>
  </si>
  <si>
    <t>Email other</t>
  </si>
  <si>
    <t>dist list</t>
  </si>
  <si>
    <t>Lead(s)</t>
  </si>
  <si>
    <t>Anjali</t>
  </si>
  <si>
    <t>Mehta</t>
  </si>
  <si>
    <t>BS (Computer Science Engineering)</t>
  </si>
  <si>
    <t>University of Virginia</t>
  </si>
  <si>
    <t>UVA student</t>
  </si>
  <si>
    <t>ongoing</t>
  </si>
  <si>
    <t>remote</t>
  </si>
  <si>
    <t>wfn7ad@virginia.edu</t>
  </si>
  <si>
    <t>Y</t>
  </si>
  <si>
    <t>Leo (BizDiv)</t>
  </si>
  <si>
    <t>Joanna (DC VDH)</t>
  </si>
  <si>
    <t>Annie</t>
  </si>
  <si>
    <t>Xie</t>
  </si>
  <si>
    <t>MA (Public Administration)</t>
  </si>
  <si>
    <t>CMU/Shanghai Jiao Tong University</t>
  </si>
  <si>
    <t>volunteer</t>
  </si>
  <si>
    <t>n/a</t>
  </si>
  <si>
    <t>xaz4jq@virginia.edu</t>
  </si>
  <si>
    <t>fumanx@andrew.cmu.edu</t>
  </si>
  <si>
    <t>Henry</t>
  </si>
  <si>
    <t>Berman</t>
  </si>
  <si>
    <t>BS (Media Studies), BA (Psychology)</t>
  </si>
  <si>
    <t>fbm5fw@virginia.edu</t>
  </si>
  <si>
    <t>Joel (Comms)</t>
  </si>
  <si>
    <t>Jianing</t>
  </si>
  <si>
    <t>Cai</t>
  </si>
  <si>
    <t>BA (Math &amp; Computer Science)</t>
  </si>
  <si>
    <t>jc2ry@virginia.edu</t>
  </si>
  <si>
    <t>Vicki (Census)</t>
  </si>
  <si>
    <t>Treena</t>
  </si>
  <si>
    <t>Kate</t>
  </si>
  <si>
    <t>Lanman</t>
  </si>
  <si>
    <t>BS (Data Science and Mathematics)</t>
  </si>
  <si>
    <t>Northeastern University</t>
  </si>
  <si>
    <t>Temp</t>
  </si>
  <si>
    <t>onsite</t>
  </si>
  <si>
    <t>mee5vc@virginia.edu</t>
  </si>
  <si>
    <t>ktlanman@gmail.com</t>
  </si>
  <si>
    <t>N/A</t>
  </si>
  <si>
    <t>Alan (Dashboard)</t>
  </si>
  <si>
    <t>Kathryn (FFX)</t>
  </si>
  <si>
    <t>Kishore</t>
  </si>
  <si>
    <t>Sundaram</t>
  </si>
  <si>
    <t>MA (Computer Engineering)</t>
  </si>
  <si>
    <t>University of Virginia (graduate)</t>
  </si>
  <si>
    <t>wuc9jr@virginia.edu</t>
  </si>
  <si>
    <t>N</t>
  </si>
  <si>
    <t>Aaron (DC VDH)</t>
  </si>
  <si>
    <t>Cesar (DC Health)</t>
  </si>
  <si>
    <t>Kristian</t>
  </si>
  <si>
    <t>Olsson</t>
  </si>
  <si>
    <t>MA</t>
  </si>
  <si>
    <t>kno5cac@virginia.edu</t>
  </si>
  <si>
    <t>Kathryn (Misc)</t>
  </si>
  <si>
    <t>Marijke</t>
  </si>
  <si>
    <t>van der Geer</t>
  </si>
  <si>
    <t>BA (Stats &amp; International Relations)</t>
  </si>
  <si>
    <t>San Diego State University</t>
  </si>
  <si>
    <t>vxb7ej@virginia.edu</t>
  </si>
  <si>
    <t>mvandergeer0853@sdsu.edu</t>
  </si>
  <si>
    <t>Michael</t>
  </si>
  <si>
    <t>Vaden</t>
  </si>
  <si>
    <t>Masters</t>
  </si>
  <si>
    <t>mtv2eva@virginia.edu</t>
  </si>
  <si>
    <t>AS/JT (DC VDH)</t>
  </si>
  <si>
    <t>Nakshatra</t>
  </si>
  <si>
    <t>Yalagach</t>
  </si>
  <si>
    <t>MS (Computer Science)</t>
  </si>
  <si>
    <t>jhj5dh@virginia.edu</t>
  </si>
  <si>
    <t>Kathryn (DC VDH)</t>
  </si>
  <si>
    <t>Olivia</t>
  </si>
  <si>
    <t>Davis</t>
  </si>
  <si>
    <t>Undecided</t>
  </si>
  <si>
    <t>pub3ha@virginia.edu</t>
  </si>
  <si>
    <t>Stephanie (Census)</t>
  </si>
  <si>
    <t>Prashanth</t>
  </si>
  <si>
    <t>Wagle</t>
  </si>
  <si>
    <t>frk5pa@virginia.edu</t>
  </si>
  <si>
    <t>Trinity</t>
  </si>
  <si>
    <t>Chamblin</t>
  </si>
  <si>
    <t>BS (Stats &amp; Computer Science)</t>
  </si>
  <si>
    <t>huz2ph@virginia.edu</t>
  </si>
  <si>
    <t>Steve (Wenyao)</t>
  </si>
  <si>
    <t>Zhou</t>
  </si>
  <si>
    <t>wz8ry@virginia.edu</t>
  </si>
  <si>
    <t>Adrienne</t>
  </si>
  <si>
    <t>Malcolm</t>
  </si>
  <si>
    <t>BA (Cognitive Science)</t>
  </si>
  <si>
    <t>aam7gbu@virginia.edu</t>
  </si>
  <si>
    <t>Comms</t>
  </si>
  <si>
    <t>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</si>
</sst>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trike/>
      <sz val="12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16" fontId="0" fillId="0" borderId="0" xfId="0" applyNumberFormat="1" applyAlignment="1">
      <alignment horizontal="center"/>
    </xf>
    <xf numFmtId="0" fontId="5" fillId="0" borderId="0" xfId="1" applyFont="1" applyAlignment="1">
      <alignment horizontal="center"/>
    </xf>
    <xf numFmtId="16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7" fillId="0" borderId="0" xfId="2"/>
    <xf numFmtId="2" fontId="0" fillId="0" borderId="0" xfId="0" applyNumberFormat="1" applyAlignment="1">
      <alignment horizont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</cellXfs>
  <cellStyles count="3">
    <cellStyle name="Hyperlink" xfId="2" builtinId="8"/>
    <cellStyle name="Normal" xfId="0" builtinId="0"/>
    <cellStyle name="Normal 2" xfId="1" xr:uid="{F421576F-1676-4D2C-9EE8-F32EAB96B5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bm5fw@virginia.edu" TargetMode="External"/><Relationship Id="rId3" Type="http://schemas.openxmlformats.org/officeDocument/2006/relationships/hyperlink" Target="mailto:jc2ry@virginia.edu" TargetMode="External"/><Relationship Id="rId7" Type="http://schemas.openxmlformats.org/officeDocument/2006/relationships/hyperlink" Target="mailto:mvandergeer0853@sdsu.edu" TargetMode="External"/><Relationship Id="rId2" Type="http://schemas.openxmlformats.org/officeDocument/2006/relationships/hyperlink" Target="mailto:frk5pa@virginia.edu" TargetMode="External"/><Relationship Id="rId1" Type="http://schemas.openxmlformats.org/officeDocument/2006/relationships/hyperlink" Target="mailto:wz8ry@virginia.edu" TargetMode="External"/><Relationship Id="rId6" Type="http://schemas.openxmlformats.org/officeDocument/2006/relationships/hyperlink" Target="mailto:mee5vc@virginia.edu" TargetMode="External"/><Relationship Id="rId5" Type="http://schemas.openxmlformats.org/officeDocument/2006/relationships/hyperlink" Target="mailto:jhj5dh@virginia.edu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wfn7ad@virginia.edu" TargetMode="External"/><Relationship Id="rId9" Type="http://schemas.openxmlformats.org/officeDocument/2006/relationships/hyperlink" Target="mailto:kno5cac@virginia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9713-93A5-400E-A8C1-5F0B75B5354A}">
  <dimension ref="A1:Y31"/>
  <sheetViews>
    <sheetView tabSelected="1" workbookViewId="0">
      <pane xSplit="2" ySplit="2" topLeftCell="J3" activePane="bottomRight" state="frozen"/>
      <selection pane="bottomRight" activeCell="U12" sqref="U12"/>
      <selection pane="bottomLeft" activeCell="A3" sqref="A3"/>
      <selection pane="topRight" activeCell="C1" sqref="C1"/>
    </sheetView>
  </sheetViews>
  <sheetFormatPr defaultRowHeight="15.75" customHeight="1"/>
  <cols>
    <col min="1" max="1" width="10.375" customWidth="1"/>
    <col min="2" max="2" width="13.625" customWidth="1"/>
    <col min="3" max="3" width="3.5" style="2" customWidth="1"/>
    <col min="4" max="6" width="3.5" customWidth="1"/>
    <col min="7" max="8" width="3.5" style="2" customWidth="1"/>
    <col min="9" max="11" width="17.75" customWidth="1"/>
    <col min="12" max="12" width="3.125" customWidth="1"/>
    <col min="23" max="23" width="17.125" bestFit="1" customWidth="1"/>
    <col min="24" max="24" width="15.625" bestFit="1" customWidth="1"/>
    <col min="25" max="25" width="15.5" bestFit="1" customWidth="1"/>
  </cols>
  <sheetData>
    <row r="1" spans="1:25" ht="15.6">
      <c r="A1" s="1"/>
      <c r="M1" s="12">
        <v>45166</v>
      </c>
      <c r="N1" s="12">
        <f t="shared" ref="N1:U2" si="0">M1+14</f>
        <v>45180</v>
      </c>
      <c r="O1" s="12">
        <f t="shared" si="0"/>
        <v>45194</v>
      </c>
      <c r="P1" s="12">
        <f t="shared" si="0"/>
        <v>45208</v>
      </c>
      <c r="Q1" s="12">
        <f t="shared" si="0"/>
        <v>45222</v>
      </c>
      <c r="R1" s="12">
        <f t="shared" si="0"/>
        <v>45236</v>
      </c>
      <c r="S1" s="12">
        <f t="shared" si="0"/>
        <v>45250</v>
      </c>
      <c r="T1" s="12">
        <f t="shared" si="0"/>
        <v>45264</v>
      </c>
      <c r="U1" s="12">
        <f t="shared" si="0"/>
        <v>45278</v>
      </c>
      <c r="V1" s="12"/>
      <c r="W1" s="12" t="s">
        <v>0</v>
      </c>
      <c r="X1" s="12" t="s">
        <v>0</v>
      </c>
      <c r="Y1" s="12"/>
    </row>
    <row r="2" spans="1:25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2">
        <v>45179</v>
      </c>
      <c r="N2" s="12">
        <f t="shared" si="0"/>
        <v>45193</v>
      </c>
      <c r="O2" s="12">
        <f t="shared" si="0"/>
        <v>45207</v>
      </c>
      <c r="P2" s="12">
        <f t="shared" si="0"/>
        <v>45221</v>
      </c>
      <c r="Q2" s="12">
        <f t="shared" si="0"/>
        <v>45235</v>
      </c>
      <c r="R2" s="12">
        <f t="shared" si="0"/>
        <v>45249</v>
      </c>
      <c r="S2" s="12">
        <f t="shared" si="0"/>
        <v>45263</v>
      </c>
      <c r="T2" s="12">
        <f t="shared" si="0"/>
        <v>45277</v>
      </c>
      <c r="U2" s="12">
        <f t="shared" si="0"/>
        <v>45291</v>
      </c>
      <c r="V2" s="12"/>
      <c r="W2" s="12" t="s">
        <v>13</v>
      </c>
      <c r="X2" s="12" t="s">
        <v>13</v>
      </c>
    </row>
    <row r="3" spans="1:25" s="9" customFormat="1" ht="15.6">
      <c r="A3" s="7" t="s">
        <v>14</v>
      </c>
      <c r="B3" s="7" t="s">
        <v>15</v>
      </c>
      <c r="C3" s="8">
        <v>15</v>
      </c>
      <c r="D3" s="7" t="s">
        <v>16</v>
      </c>
      <c r="E3" s="7" t="s">
        <v>17</v>
      </c>
      <c r="F3" s="5" t="s">
        <v>18</v>
      </c>
      <c r="G3" s="5">
        <v>45174</v>
      </c>
      <c r="H3" s="5" t="s">
        <v>19</v>
      </c>
      <c r="I3" t="s">
        <v>20</v>
      </c>
      <c r="J3" t="s">
        <v>21</v>
      </c>
      <c r="K3"/>
      <c r="L3" s="2" t="s">
        <v>22</v>
      </c>
      <c r="M3" s="13">
        <v>0</v>
      </c>
      <c r="N3" s="15">
        <v>1.5</v>
      </c>
      <c r="O3" s="13">
        <v>7.5</v>
      </c>
      <c r="P3" s="15">
        <v>12.75</v>
      </c>
      <c r="Q3" s="18">
        <v>11.75</v>
      </c>
      <c r="R3" s="15">
        <v>13</v>
      </c>
      <c r="S3" s="13">
        <v>6</v>
      </c>
      <c r="T3" s="15">
        <v>0</v>
      </c>
      <c r="U3" s="13">
        <v>0</v>
      </c>
      <c r="V3" s="13">
        <f>AVERAGE(M3:U3)</f>
        <v>5.833333333333333</v>
      </c>
      <c r="W3" s="8" t="s">
        <v>23</v>
      </c>
      <c r="X3" s="6" t="s">
        <v>24</v>
      </c>
    </row>
    <row r="4" spans="1:25" s="11" customFormat="1" ht="15.6">
      <c r="A4" s="7" t="s">
        <v>25</v>
      </c>
      <c r="B4" s="7" t="s">
        <v>26</v>
      </c>
      <c r="C4" s="8">
        <v>10</v>
      </c>
      <c r="D4" s="7" t="s">
        <v>27</v>
      </c>
      <c r="E4" s="7" t="s">
        <v>28</v>
      </c>
      <c r="F4" s="5" t="s">
        <v>29</v>
      </c>
      <c r="G4" s="2" t="s">
        <v>30</v>
      </c>
      <c r="H4" s="5" t="s">
        <v>19</v>
      </c>
      <c r="I4" s="9" t="s">
        <v>20</v>
      </c>
      <c r="J4" s="27" t="s">
        <v>31</v>
      </c>
      <c r="K4" t="s">
        <v>32</v>
      </c>
      <c r="L4" s="2" t="s">
        <v>22</v>
      </c>
      <c r="M4" s="14">
        <v>0</v>
      </c>
      <c r="N4" s="15">
        <v>0</v>
      </c>
      <c r="O4" s="13">
        <v>0</v>
      </c>
      <c r="P4" s="15">
        <v>0</v>
      </c>
      <c r="Q4" s="13">
        <v>0</v>
      </c>
      <c r="R4" s="15">
        <v>0</v>
      </c>
      <c r="S4" s="13">
        <v>0</v>
      </c>
      <c r="T4" s="15">
        <v>0</v>
      </c>
      <c r="U4" s="13">
        <v>0</v>
      </c>
      <c r="V4" s="13">
        <f t="shared" ref="V4:V15" si="1">AVERAGE(M4:U4)</f>
        <v>0</v>
      </c>
      <c r="W4" s="6" t="s">
        <v>24</v>
      </c>
      <c r="X4" s="6"/>
      <c r="Y4" s="6"/>
    </row>
    <row r="5" spans="1:25" s="9" customFormat="1" ht="15.6">
      <c r="A5" s="7" t="s">
        <v>33</v>
      </c>
      <c r="B5" s="7" t="s">
        <v>34</v>
      </c>
      <c r="C5" s="2">
        <v>10</v>
      </c>
      <c r="D5" s="7" t="s">
        <v>35</v>
      </c>
      <c r="E5" s="7" t="s">
        <v>17</v>
      </c>
      <c r="F5" s="5" t="s">
        <v>18</v>
      </c>
      <c r="G5" s="5">
        <v>45180</v>
      </c>
      <c r="H5" s="10" t="s">
        <v>19</v>
      </c>
      <c r="I5" t="s">
        <v>20</v>
      </c>
      <c r="J5" t="s">
        <v>36</v>
      </c>
      <c r="K5"/>
      <c r="L5" s="2" t="s">
        <v>22</v>
      </c>
      <c r="M5" s="13">
        <v>0</v>
      </c>
      <c r="N5" s="15">
        <v>14</v>
      </c>
      <c r="O5" s="13">
        <v>30</v>
      </c>
      <c r="P5" s="15">
        <v>30</v>
      </c>
      <c r="Q5" s="13">
        <v>26</v>
      </c>
      <c r="R5" s="15">
        <v>20</v>
      </c>
      <c r="S5" s="13">
        <v>6</v>
      </c>
      <c r="T5" s="15">
        <v>9</v>
      </c>
      <c r="U5" s="13">
        <v>0</v>
      </c>
      <c r="V5" s="13">
        <f t="shared" si="1"/>
        <v>15</v>
      </c>
      <c r="W5" s="6" t="s">
        <v>37</v>
      </c>
      <c r="X5" s="6"/>
      <c r="Y5" s="6"/>
    </row>
    <row r="6" spans="1:25" ht="15.6">
      <c r="A6" s="7" t="s">
        <v>38</v>
      </c>
      <c r="B6" s="7" t="s">
        <v>39</v>
      </c>
      <c r="C6" s="8">
        <v>5</v>
      </c>
      <c r="D6" s="7" t="s">
        <v>40</v>
      </c>
      <c r="E6" s="7" t="s">
        <v>17</v>
      </c>
      <c r="F6" s="5" t="s">
        <v>18</v>
      </c>
      <c r="G6" s="5">
        <v>45174</v>
      </c>
      <c r="H6" s="5" t="s">
        <v>19</v>
      </c>
      <c r="I6" t="s">
        <v>20</v>
      </c>
      <c r="J6" t="s">
        <v>41</v>
      </c>
      <c r="L6" s="2" t="s">
        <v>22</v>
      </c>
      <c r="M6" s="13">
        <v>0</v>
      </c>
      <c r="N6" s="15">
        <v>7.5</v>
      </c>
      <c r="O6" s="13">
        <v>7</v>
      </c>
      <c r="P6" s="15">
        <v>4.5</v>
      </c>
      <c r="Q6" s="13">
        <v>10</v>
      </c>
      <c r="R6" s="15">
        <v>7</v>
      </c>
      <c r="S6" s="13">
        <v>6</v>
      </c>
      <c r="T6" s="15">
        <v>0</v>
      </c>
      <c r="U6" s="13">
        <v>0</v>
      </c>
      <c r="V6" s="13">
        <f t="shared" si="1"/>
        <v>4.666666666666667</v>
      </c>
      <c r="W6" s="6" t="s">
        <v>42</v>
      </c>
      <c r="X6" s="6" t="s">
        <v>43</v>
      </c>
      <c r="Y6" s="6"/>
    </row>
    <row r="7" spans="1:25" s="9" customFormat="1" ht="15.6">
      <c r="A7" s="7" t="s">
        <v>44</v>
      </c>
      <c r="B7" s="7" t="s">
        <v>45</v>
      </c>
      <c r="C7" s="2">
        <v>40</v>
      </c>
      <c r="D7" s="7" t="s">
        <v>46</v>
      </c>
      <c r="E7" s="7" t="s">
        <v>47</v>
      </c>
      <c r="F7" s="5" t="s">
        <v>48</v>
      </c>
      <c r="G7" s="5">
        <v>45092</v>
      </c>
      <c r="H7" s="10">
        <v>45280</v>
      </c>
      <c r="I7" t="s">
        <v>49</v>
      </c>
      <c r="J7" t="s">
        <v>50</v>
      </c>
      <c r="K7" t="s">
        <v>51</v>
      </c>
      <c r="L7" s="2" t="s">
        <v>22</v>
      </c>
      <c r="M7" s="16" t="s">
        <v>52</v>
      </c>
      <c r="N7" s="15">
        <v>80</v>
      </c>
      <c r="O7" s="13">
        <v>80</v>
      </c>
      <c r="P7" s="15">
        <v>80</v>
      </c>
      <c r="Q7" s="13">
        <v>80</v>
      </c>
      <c r="R7" s="15">
        <v>72</v>
      </c>
      <c r="S7" s="13">
        <v>64</v>
      </c>
      <c r="T7" s="15">
        <v>76</v>
      </c>
      <c r="U7" s="13">
        <v>0</v>
      </c>
      <c r="V7" s="13">
        <f t="shared" si="1"/>
        <v>66.5</v>
      </c>
      <c r="W7" s="6" t="s">
        <v>53</v>
      </c>
      <c r="X7" s="6" t="s">
        <v>54</v>
      </c>
    </row>
    <row r="8" spans="1:25" ht="15.6">
      <c r="A8" s="3" t="s">
        <v>55</v>
      </c>
      <c r="B8" s="4" t="s">
        <v>56</v>
      </c>
      <c r="C8" s="6">
        <v>30</v>
      </c>
      <c r="D8" s="3" t="s">
        <v>57</v>
      </c>
      <c r="E8" s="7" t="s">
        <v>58</v>
      </c>
      <c r="F8" s="5" t="s">
        <v>18</v>
      </c>
      <c r="G8" s="5">
        <v>44795</v>
      </c>
      <c r="H8" s="5" t="s">
        <v>19</v>
      </c>
      <c r="I8" t="s">
        <v>20</v>
      </c>
      <c r="J8" t="s">
        <v>59</v>
      </c>
      <c r="L8" s="2" t="s">
        <v>60</v>
      </c>
      <c r="M8" s="13">
        <v>72</v>
      </c>
      <c r="N8" s="15">
        <v>80</v>
      </c>
      <c r="O8" s="13">
        <v>69</v>
      </c>
      <c r="P8" s="15">
        <v>58</v>
      </c>
      <c r="Q8" s="13">
        <v>58</v>
      </c>
      <c r="R8" s="15">
        <v>58</v>
      </c>
      <c r="S8" s="13">
        <v>50</v>
      </c>
      <c r="T8" s="15">
        <v>56</v>
      </c>
      <c r="U8" s="13">
        <v>48</v>
      </c>
      <c r="V8" s="13">
        <f t="shared" si="1"/>
        <v>61</v>
      </c>
      <c r="W8" s="6" t="s">
        <v>61</v>
      </c>
      <c r="X8" s="6" t="s">
        <v>62</v>
      </c>
    </row>
    <row r="9" spans="1:25" s="9" customFormat="1" ht="15.6">
      <c r="A9" s="7" t="s">
        <v>63</v>
      </c>
      <c r="B9" t="s">
        <v>64</v>
      </c>
      <c r="C9" s="2">
        <v>10</v>
      </c>
      <c r="D9" t="s">
        <v>65</v>
      </c>
      <c r="E9" s="7" t="s">
        <v>17</v>
      </c>
      <c r="F9" s="5" t="s">
        <v>18</v>
      </c>
      <c r="G9" s="10">
        <v>45200</v>
      </c>
      <c r="H9" s="5" t="s">
        <v>19</v>
      </c>
      <c r="I9" t="s">
        <v>20</v>
      </c>
      <c r="J9" s="17" t="s">
        <v>66</v>
      </c>
      <c r="K9"/>
      <c r="L9" s="2" t="s">
        <v>22</v>
      </c>
      <c r="M9" s="16" t="s">
        <v>52</v>
      </c>
      <c r="N9" s="16" t="s">
        <v>52</v>
      </c>
      <c r="O9" s="16" t="s">
        <v>52</v>
      </c>
      <c r="P9" s="15">
        <v>0</v>
      </c>
      <c r="Q9" s="13">
        <v>5</v>
      </c>
      <c r="R9" s="15">
        <v>0</v>
      </c>
      <c r="S9" s="13">
        <v>1.5</v>
      </c>
      <c r="T9" s="15">
        <v>0</v>
      </c>
      <c r="U9" s="13">
        <v>0</v>
      </c>
      <c r="V9" s="13">
        <f t="shared" si="1"/>
        <v>1.0833333333333333</v>
      </c>
      <c r="W9" s="6" t="s">
        <v>67</v>
      </c>
      <c r="X9"/>
      <c r="Y9"/>
    </row>
    <row r="10" spans="1:25" s="9" customFormat="1" ht="15.6">
      <c r="A10" s="7" t="s">
        <v>68</v>
      </c>
      <c r="B10" s="7" t="s">
        <v>69</v>
      </c>
      <c r="C10" s="8">
        <v>15</v>
      </c>
      <c r="D10" s="7" t="s">
        <v>70</v>
      </c>
      <c r="E10" s="7" t="s">
        <v>71</v>
      </c>
      <c r="F10" s="5" t="s">
        <v>48</v>
      </c>
      <c r="G10" s="5">
        <v>45180</v>
      </c>
      <c r="H10" s="5" t="s">
        <v>19</v>
      </c>
      <c r="I10" t="s">
        <v>20</v>
      </c>
      <c r="J10" t="s">
        <v>72</v>
      </c>
      <c r="K10" t="s">
        <v>73</v>
      </c>
      <c r="L10" s="2" t="s">
        <v>22</v>
      </c>
      <c r="M10" s="16" t="s">
        <v>52</v>
      </c>
      <c r="N10" s="15">
        <v>20</v>
      </c>
      <c r="O10" s="13">
        <v>20</v>
      </c>
      <c r="P10" s="15">
        <v>20</v>
      </c>
      <c r="Q10" s="13">
        <v>20</v>
      </c>
      <c r="R10" s="15">
        <v>20</v>
      </c>
      <c r="S10" s="13">
        <v>35</v>
      </c>
      <c r="T10" s="15">
        <v>0</v>
      </c>
      <c r="U10" s="13">
        <v>40</v>
      </c>
      <c r="V10" s="13">
        <f t="shared" si="1"/>
        <v>21.875</v>
      </c>
      <c r="W10" s="6" t="s">
        <v>42</v>
      </c>
      <c r="X10" s="6" t="s">
        <v>43</v>
      </c>
      <c r="Y10" s="6"/>
    </row>
    <row r="11" spans="1:25" s="9" customFormat="1" ht="15.6">
      <c r="A11" t="s">
        <v>74</v>
      </c>
      <c r="B11" t="s">
        <v>75</v>
      </c>
      <c r="C11" s="8">
        <v>15</v>
      </c>
      <c r="D11" t="s">
        <v>76</v>
      </c>
      <c r="E11" s="7" t="s">
        <v>17</v>
      </c>
      <c r="F11" s="5" t="s">
        <v>18</v>
      </c>
      <c r="G11" s="5">
        <v>45184</v>
      </c>
      <c r="H11" s="5" t="s">
        <v>19</v>
      </c>
      <c r="I11" t="s">
        <v>20</v>
      </c>
      <c r="J11" t="s">
        <v>77</v>
      </c>
      <c r="K11"/>
      <c r="L11" s="2" t="s">
        <v>22</v>
      </c>
      <c r="M11" s="16" t="s">
        <v>52</v>
      </c>
      <c r="N11" s="15">
        <v>7.5</v>
      </c>
      <c r="O11" s="13">
        <v>7.5</v>
      </c>
      <c r="P11" s="15">
        <v>11.5</v>
      </c>
      <c r="Q11" s="18">
        <v>11.75</v>
      </c>
      <c r="R11" s="15">
        <v>5</v>
      </c>
      <c r="S11" s="13">
        <v>4</v>
      </c>
      <c r="T11" s="15">
        <v>10.5</v>
      </c>
      <c r="U11" s="13">
        <v>4</v>
      </c>
      <c r="V11" s="13">
        <f t="shared" si="1"/>
        <v>7.71875</v>
      </c>
      <c r="W11" s="6" t="s">
        <v>78</v>
      </c>
      <c r="X11" s="6"/>
      <c r="Y11" s="6"/>
    </row>
    <row r="12" spans="1:25" s="9" customFormat="1" ht="15.6">
      <c r="A12" s="7" t="s">
        <v>79</v>
      </c>
      <c r="B12" s="7" t="s">
        <v>80</v>
      </c>
      <c r="C12" s="8">
        <v>15</v>
      </c>
      <c r="D12" s="7" t="s">
        <v>81</v>
      </c>
      <c r="E12" s="7" t="s">
        <v>17</v>
      </c>
      <c r="F12" s="5" t="s">
        <v>18</v>
      </c>
      <c r="G12" s="5">
        <v>45174</v>
      </c>
      <c r="H12" s="5" t="s">
        <v>19</v>
      </c>
      <c r="I12" t="s">
        <v>20</v>
      </c>
      <c r="J12" t="s">
        <v>82</v>
      </c>
      <c r="K12"/>
      <c r="L12" s="2" t="s">
        <v>22</v>
      </c>
      <c r="M12" s="13">
        <v>0</v>
      </c>
      <c r="N12" s="15">
        <v>0</v>
      </c>
      <c r="O12" s="13">
        <v>0</v>
      </c>
      <c r="P12" s="15">
        <v>10</v>
      </c>
      <c r="Q12" s="13">
        <v>20</v>
      </c>
      <c r="R12" s="15">
        <v>20</v>
      </c>
      <c r="S12" s="13">
        <v>0</v>
      </c>
      <c r="T12" s="15">
        <v>10</v>
      </c>
      <c r="U12" s="13">
        <v>0</v>
      </c>
      <c r="V12" s="13">
        <f t="shared" si="1"/>
        <v>6.666666666666667</v>
      </c>
      <c r="W12" s="6" t="s">
        <v>83</v>
      </c>
      <c r="X12" s="8" t="s">
        <v>23</v>
      </c>
      <c r="Y12" s="6" t="s">
        <v>53</v>
      </c>
    </row>
    <row r="13" spans="1:25" ht="15.6">
      <c r="A13" t="s">
        <v>84</v>
      </c>
      <c r="B13" t="s">
        <v>85</v>
      </c>
      <c r="C13" s="8">
        <v>15</v>
      </c>
      <c r="D13" t="s">
        <v>86</v>
      </c>
      <c r="E13" s="7" t="s">
        <v>17</v>
      </c>
      <c r="F13" s="5" t="s">
        <v>18</v>
      </c>
      <c r="G13" s="5">
        <v>45174</v>
      </c>
      <c r="H13" s="5" t="s">
        <v>19</v>
      </c>
      <c r="I13" t="s">
        <v>20</v>
      </c>
      <c r="J13" t="s">
        <v>87</v>
      </c>
      <c r="L13" s="2" t="s">
        <v>22</v>
      </c>
      <c r="M13" s="13">
        <v>9</v>
      </c>
      <c r="N13" s="15">
        <v>8.75</v>
      </c>
      <c r="O13" s="13">
        <v>6.25</v>
      </c>
      <c r="P13" s="15">
        <v>7.75</v>
      </c>
      <c r="Q13" s="18">
        <v>5.75</v>
      </c>
      <c r="R13" s="15">
        <v>5.75</v>
      </c>
      <c r="S13" s="13">
        <v>3.5</v>
      </c>
      <c r="T13" s="15">
        <v>0</v>
      </c>
      <c r="U13" s="13">
        <v>0</v>
      </c>
      <c r="V13" s="13">
        <f t="shared" si="1"/>
        <v>5.1944444444444446</v>
      </c>
      <c r="W13" s="6" t="s">
        <v>88</v>
      </c>
      <c r="X13" s="6"/>
      <c r="Y13" s="6"/>
    </row>
    <row r="14" spans="1:25" s="9" customFormat="1" ht="16.5" customHeight="1">
      <c r="A14" s="7" t="s">
        <v>89</v>
      </c>
      <c r="B14" s="7" t="s">
        <v>90</v>
      </c>
      <c r="C14" s="8">
        <v>15</v>
      </c>
      <c r="D14" s="7" t="s">
        <v>81</v>
      </c>
      <c r="E14" s="7" t="s">
        <v>17</v>
      </c>
      <c r="F14" s="5" t="s">
        <v>18</v>
      </c>
      <c r="G14" s="5">
        <v>45145</v>
      </c>
      <c r="H14" s="5" t="s">
        <v>19</v>
      </c>
      <c r="I14" t="s">
        <v>20</v>
      </c>
      <c r="J14" t="s">
        <v>91</v>
      </c>
      <c r="K14"/>
      <c r="L14" s="2" t="s">
        <v>22</v>
      </c>
      <c r="M14" s="13">
        <v>28.5</v>
      </c>
      <c r="N14" s="15">
        <v>36</v>
      </c>
      <c r="O14" s="13">
        <v>3</v>
      </c>
      <c r="P14" s="15">
        <v>17.5</v>
      </c>
      <c r="Q14" s="13">
        <v>15.5</v>
      </c>
      <c r="R14" s="15">
        <v>20</v>
      </c>
      <c r="S14" s="13">
        <v>20</v>
      </c>
      <c r="T14" s="15">
        <v>40</v>
      </c>
      <c r="U14" s="13">
        <v>0</v>
      </c>
      <c r="V14" s="13">
        <f t="shared" si="1"/>
        <v>20.055555555555557</v>
      </c>
      <c r="W14" s="8" t="s">
        <v>23</v>
      </c>
      <c r="X14" s="6"/>
      <c r="Y14" s="6"/>
    </row>
    <row r="15" spans="1:25" ht="15.6">
      <c r="A15" s="7" t="s">
        <v>92</v>
      </c>
      <c r="B15" s="7" t="s">
        <v>93</v>
      </c>
      <c r="C15" s="8">
        <v>15</v>
      </c>
      <c r="D15" s="7" t="s">
        <v>94</v>
      </c>
      <c r="E15" s="7" t="s">
        <v>17</v>
      </c>
      <c r="F15" s="5" t="s">
        <v>18</v>
      </c>
      <c r="G15" s="5">
        <v>45174</v>
      </c>
      <c r="H15" s="5" t="s">
        <v>19</v>
      </c>
      <c r="I15" t="s">
        <v>20</v>
      </c>
      <c r="J15" t="s">
        <v>95</v>
      </c>
      <c r="L15" s="2" t="s">
        <v>22</v>
      </c>
      <c r="M15" s="13">
        <v>0</v>
      </c>
      <c r="N15" s="15">
        <v>2.5</v>
      </c>
      <c r="O15" s="13">
        <v>5.5</v>
      </c>
      <c r="P15" s="15">
        <v>11</v>
      </c>
      <c r="Q15" s="13">
        <v>0</v>
      </c>
      <c r="R15" s="15">
        <v>17.2</v>
      </c>
      <c r="S15" s="13">
        <v>0</v>
      </c>
      <c r="T15" s="15">
        <v>0</v>
      </c>
      <c r="U15" s="13">
        <v>0</v>
      </c>
      <c r="V15" s="13">
        <f t="shared" si="1"/>
        <v>4.0222222222222221</v>
      </c>
      <c r="W15" s="8" t="s">
        <v>23</v>
      </c>
      <c r="X15" s="6" t="s">
        <v>24</v>
      </c>
      <c r="Y15" s="6" t="s">
        <v>53</v>
      </c>
    </row>
    <row r="17" spans="1:25" s="22" customFormat="1" ht="15.6">
      <c r="A17" s="19" t="s">
        <v>96</v>
      </c>
      <c r="B17" s="19" t="s">
        <v>97</v>
      </c>
      <c r="C17" s="20">
        <v>15</v>
      </c>
      <c r="D17" s="19" t="s">
        <v>40</v>
      </c>
      <c r="E17" s="19" t="s">
        <v>17</v>
      </c>
      <c r="F17" s="21" t="s">
        <v>18</v>
      </c>
      <c r="G17" s="21">
        <v>45174</v>
      </c>
      <c r="H17" s="21" t="s">
        <v>19</v>
      </c>
      <c r="I17" s="22" t="s">
        <v>20</v>
      </c>
      <c r="J17" s="22" t="s">
        <v>98</v>
      </c>
      <c r="L17" s="23" t="s">
        <v>22</v>
      </c>
      <c r="M17" s="24">
        <v>0</v>
      </c>
      <c r="N17" s="25">
        <v>0</v>
      </c>
      <c r="O17" s="24">
        <v>0</v>
      </c>
      <c r="P17" s="25">
        <v>0</v>
      </c>
      <c r="Q17" s="24">
        <v>0</v>
      </c>
      <c r="R17" s="25">
        <v>0</v>
      </c>
      <c r="S17" s="24">
        <v>0</v>
      </c>
      <c r="T17" s="25">
        <v>0</v>
      </c>
      <c r="U17" s="24">
        <v>0</v>
      </c>
      <c r="V17" s="24"/>
      <c r="W17" s="26" t="s">
        <v>24</v>
      </c>
      <c r="X17" s="20" t="s">
        <v>23</v>
      </c>
      <c r="Y17" s="26"/>
    </row>
    <row r="30" spans="1:25" ht="15.6"/>
    <row r="31" spans="1:25" ht="15.6"/>
  </sheetData>
  <sortState xmlns:xlrd2="http://schemas.microsoft.com/office/spreadsheetml/2017/richdata2" ref="A3:XFD15">
    <sortCondition ref="A3:A15"/>
  </sortState>
  <hyperlinks>
    <hyperlink ref="J17" r:id="rId1" xr:uid="{C35D6F34-9512-43DE-9E2D-66BEC44EAE99}"/>
    <hyperlink ref="J14" r:id="rId2" xr:uid="{CD9A0475-392E-4D8A-AA01-92CFC3B8DFC3}"/>
    <hyperlink ref="J6" r:id="rId3" xr:uid="{0CB9D7E8-25D5-4AE0-8871-91DEDD6F7C51}"/>
    <hyperlink ref="J3" r:id="rId4" xr:uid="{33F6FB77-0200-4F20-B741-DE988640C88B}"/>
    <hyperlink ref="J12" r:id="rId5" xr:uid="{D71EF527-73B9-4583-A5EA-EE1F780ED8E0}"/>
    <hyperlink ref="J7" r:id="rId6" xr:uid="{BD4F8BD6-6644-4140-B3F6-F7FAAAAD612D}"/>
    <hyperlink ref="K10" r:id="rId7" xr:uid="{D2DB9F7D-4A28-4FAB-8993-6072190B2EBD}"/>
    <hyperlink ref="J5" r:id="rId8" xr:uid="{21D69B20-B5BC-4EF9-952E-FE179C6298AC}"/>
    <hyperlink ref="J9" r:id="rId9" xr:uid="{965642D9-2723-4A35-9062-08257B7D5E02}"/>
  </hyperlinks>
  <pageMargins left="0.7" right="0.7" top="0.75" bottom="0.75" header="0.3" footer="0.3"/>
  <pageSetup orientation="portrait" horizontalDpi="1200" verticalDpi="120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FCF4-32E0-4313-A05D-7E41FE54A649}">
  <dimension ref="A1:X19"/>
  <sheetViews>
    <sheetView workbookViewId="0">
      <pane xSplit="2" ySplit="2" topLeftCell="J3" activePane="bottomRight" state="frozen"/>
      <selection pane="bottomRight" activeCell="A4" sqref="A4:XFD13"/>
      <selection pane="bottomLeft" activeCell="A3" sqref="A3"/>
      <selection pane="topRight" activeCell="C1" sqref="C1"/>
    </sheetView>
  </sheetViews>
  <sheetFormatPr defaultRowHeight="15.75" customHeight="1"/>
  <cols>
    <col min="1" max="1" width="10.375" customWidth="1"/>
    <col min="2" max="2" width="13.625" customWidth="1"/>
    <col min="3" max="3" width="31.25" bestFit="1" customWidth="1"/>
    <col min="4" max="4" width="31.125" bestFit="1" customWidth="1"/>
    <col min="5" max="5" width="18.125" bestFit="1" customWidth="1"/>
    <col min="6" max="6" width="17.625" style="2" bestFit="1" customWidth="1"/>
    <col min="7" max="7" width="10.5" style="2" bestFit="1" customWidth="1"/>
    <col min="8" max="8" width="9.25" style="2" customWidth="1"/>
    <col min="9" max="9" width="8" bestFit="1" customWidth="1"/>
    <col min="10" max="10" width="19.125" bestFit="1" customWidth="1"/>
    <col min="11" max="11" width="12.75" customWidth="1"/>
    <col min="12" max="12" width="7" bestFit="1" customWidth="1"/>
    <col min="23" max="23" width="8.25" customWidth="1"/>
  </cols>
  <sheetData>
    <row r="1" spans="1:24" ht="15.6">
      <c r="A1" s="1"/>
      <c r="M1" s="12">
        <v>45166</v>
      </c>
      <c r="N1" s="12">
        <f t="shared" ref="N1:U2" si="0">M1+14</f>
        <v>45180</v>
      </c>
      <c r="O1" s="12">
        <f t="shared" si="0"/>
        <v>45194</v>
      </c>
      <c r="P1" s="12">
        <f t="shared" si="0"/>
        <v>45208</v>
      </c>
      <c r="Q1" s="12">
        <f t="shared" si="0"/>
        <v>45222</v>
      </c>
      <c r="R1" s="12">
        <f t="shared" si="0"/>
        <v>45236</v>
      </c>
      <c r="S1" s="12">
        <f t="shared" si="0"/>
        <v>45250</v>
      </c>
      <c r="T1" s="12">
        <f t="shared" si="0"/>
        <v>45264</v>
      </c>
      <c r="U1" s="12">
        <f t="shared" si="0"/>
        <v>45278</v>
      </c>
      <c r="V1" s="12" t="s">
        <v>0</v>
      </c>
      <c r="W1" s="12" t="s">
        <v>13</v>
      </c>
      <c r="X1" s="12" t="s">
        <v>13</v>
      </c>
    </row>
    <row r="2" spans="1:24" ht="15.6">
      <c r="A2" s="1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3</v>
      </c>
      <c r="I2" s="1" t="s">
        <v>9</v>
      </c>
      <c r="J2" s="1" t="s">
        <v>10</v>
      </c>
      <c r="K2" s="1" t="s">
        <v>11</v>
      </c>
      <c r="L2" s="1" t="s">
        <v>12</v>
      </c>
      <c r="M2" s="12">
        <v>45179</v>
      </c>
      <c r="N2" s="12">
        <f t="shared" si="0"/>
        <v>45193</v>
      </c>
      <c r="O2" s="12">
        <f t="shared" si="0"/>
        <v>45207</v>
      </c>
      <c r="P2" s="12">
        <f t="shared" si="0"/>
        <v>45221</v>
      </c>
      <c r="Q2" s="12">
        <f t="shared" si="0"/>
        <v>45235</v>
      </c>
      <c r="R2" s="12">
        <f t="shared" si="0"/>
        <v>45249</v>
      </c>
      <c r="S2" s="12">
        <f t="shared" si="0"/>
        <v>45263</v>
      </c>
      <c r="T2" s="12">
        <f t="shared" si="0"/>
        <v>45277</v>
      </c>
      <c r="U2" s="12">
        <f t="shared" si="0"/>
        <v>45291</v>
      </c>
      <c r="V2" s="12"/>
    </row>
    <row r="3" spans="1:24" s="11" customFormat="1" ht="15.6">
      <c r="A3" s="7" t="s">
        <v>99</v>
      </c>
      <c r="B3" s="7" t="s">
        <v>100</v>
      </c>
      <c r="C3" s="7" t="s">
        <v>101</v>
      </c>
      <c r="D3" s="7" t="s">
        <v>17</v>
      </c>
      <c r="E3" s="5" t="s">
        <v>18</v>
      </c>
      <c r="F3" s="5">
        <v>45191</v>
      </c>
      <c r="G3" s="10">
        <v>45291</v>
      </c>
      <c r="H3" s="2">
        <v>10</v>
      </c>
      <c r="I3" t="s">
        <v>20</v>
      </c>
      <c r="J3" t="s">
        <v>102</v>
      </c>
      <c r="K3"/>
      <c r="L3" s="2" t="s">
        <v>22</v>
      </c>
      <c r="M3" s="13">
        <v>0</v>
      </c>
      <c r="N3" s="15">
        <v>0</v>
      </c>
      <c r="O3" s="13">
        <v>0</v>
      </c>
      <c r="P3" s="15">
        <v>0</v>
      </c>
      <c r="Q3" s="13">
        <v>0</v>
      </c>
      <c r="R3" s="15">
        <v>0</v>
      </c>
      <c r="S3" s="13">
        <v>0</v>
      </c>
      <c r="T3" s="15">
        <v>0</v>
      </c>
      <c r="U3" s="13">
        <v>0</v>
      </c>
      <c r="V3" s="6" t="s">
        <v>103</v>
      </c>
      <c r="W3" s="6" t="s">
        <v>104</v>
      </c>
      <c r="X3" s="6"/>
    </row>
    <row r="4" spans="1:24" ht="15.6"/>
    <row r="18" ht="15.6"/>
    <row r="19" ht="15.6"/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7a2657dd-b8a5-4c99-8d51-b0b9d254c989" xsi:nil="true"/>
    <SharedWithUsers xmlns="5ba80a41-9917-4a22-8f13-cb051ddce64c">
      <UserInfo>
        <DisplayName/>
        <AccountId xsi:nil="true"/>
        <AccountType/>
      </UserInfo>
    </SharedWithUsers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8CB8B5-F31B-424B-9B80-BFAEC7FD0796}"/>
</file>

<file path=customXml/itemProps2.xml><?xml version="1.0" encoding="utf-8"?>
<ds:datastoreItem xmlns:ds="http://schemas.openxmlformats.org/officeDocument/2006/customXml" ds:itemID="{DAA00C1A-374A-4546-8197-819B96A1E2D8}"/>
</file>

<file path=customXml/itemProps3.xml><?xml version="1.0" encoding="utf-8"?>
<ds:datastoreItem xmlns:ds="http://schemas.openxmlformats.org/officeDocument/2006/customXml" ds:itemID="{73D1054F-E52D-42B6-A543-092C3C119D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Thurston, Joel (jt9sz)</dc:creator>
  <cp:keywords/>
  <dc:description/>
  <cp:lastModifiedBy>Thurston, Joel (jt9sz)</cp:lastModifiedBy>
  <cp:revision/>
  <dcterms:created xsi:type="dcterms:W3CDTF">2023-09-06T15:09:03Z</dcterms:created>
  <dcterms:modified xsi:type="dcterms:W3CDTF">2024-01-01T17:18:26Z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0x010100D45AE3D1135F4E41AB498540A40487BD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{"FileActivityType":"9","FileActivityTimeStamp":"2023-09-08T03:32:33.557Z","FileActivityUsersOnPage":[{"DisplayName":"Thurston, Joel (jt9sz)","Id":"jt9sz@virginia.edu"}],"FileActivityNavigationId":null}</vt:lpwstr>
  </property>
  <property fmtid="{D5CDD505-2E9C-101B-9397-08002B2CF9AE}" pid="7" name="TriggerFlowInfo">
    <vt:lpwstr/>
  </property>
</Properties>
</file>