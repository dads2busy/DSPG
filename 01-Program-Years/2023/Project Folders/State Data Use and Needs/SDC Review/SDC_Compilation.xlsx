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18"/>
  <workbookPr defaultThemeVersion="166925"/>
  <mc:AlternateContent xmlns:mc="http://schemas.openxmlformats.org/markup-compatibility/2006">
    <mc:Choice Requires="x15">
      <x15ac:absPath xmlns:x15ac="http://schemas.microsoft.com/office/spreadsheetml/2010/11/ac" url="https://myuva.sharepoint.com/sites/sdad/Shared Documents/DSPG/DSPG 2023/Project Folders/State Data Use and Needs/SDC Review/"/>
    </mc:Choice>
  </mc:AlternateContent>
  <xr:revisionPtr revIDLastSave="15496" documentId="11_113FC380177279C80420B0F34A79E378A2C61050" xr6:coauthVersionLast="47" xr6:coauthVersionMax="47" xr10:uidLastSave="{4FB3582E-D04B-4ACD-9FCB-B08AD5719AFC}"/>
  <bookViews>
    <workbookView xWindow="5780" yWindow="500" windowWidth="24100" windowHeight="16400" firstSheet="7" activeTab="9" xr2:uid="{00000000-000D-0000-FFFF-FFFF00000000}"/>
  </bookViews>
  <sheets>
    <sheet name="Instructions" sheetId="1" r:id="rId1"/>
    <sheet name="Sample Sheet" sheetId="6" r:id="rId2"/>
    <sheet name="Demographics" sheetId="2" r:id="rId3"/>
    <sheet name="Health &amp; Education" sheetId="8" r:id="rId4"/>
    <sheet name="Housing" sheetId="3" r:id="rId5"/>
    <sheet name="Economy" sheetId="4" r:id="rId6"/>
    <sheet name="Diversity" sheetId="9" r:id="rId7"/>
    <sheet name="Diversity2" sheetId="11" r:id="rId8"/>
    <sheet name="Text Mining" sheetId="7" r:id="rId9"/>
    <sheet name="Sheet1" sheetId="10" r:id="rId10"/>
    <sheet name="Web Searches" sheetId="12"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7" i="10" l="1"/>
  <c r="N86" i="10"/>
  <c r="N85" i="10"/>
  <c r="N84" i="10"/>
</calcChain>
</file>

<file path=xl/sharedStrings.xml><?xml version="1.0" encoding="utf-8"?>
<sst xmlns="http://schemas.openxmlformats.org/spreadsheetml/2006/main" count="13575" uniqueCount="2486">
  <si>
    <t>Instructions to reading the column names (denoted in yellow) in the sheet titled 'Sample Sheet'. Categories are colored green.</t>
  </si>
  <si>
    <t>Number of states within the category</t>
  </si>
  <si>
    <t>Should be a single count for each sub category</t>
  </si>
  <si>
    <t>State/Country</t>
  </si>
  <si>
    <t>You can hyperlink the cell to indicate the web location</t>
  </si>
  <si>
    <t>Categories</t>
  </si>
  <si>
    <t>Sub-categories examples: There can be other sub-categories.</t>
  </si>
  <si>
    <t>Demographics</t>
  </si>
  <si>
    <t>Estimates, Projections</t>
  </si>
  <si>
    <t>Treena</t>
  </si>
  <si>
    <t>Housing</t>
  </si>
  <si>
    <t>Units, Vacancies, etc</t>
  </si>
  <si>
    <t>Marijke</t>
  </si>
  <si>
    <t>Economic</t>
  </si>
  <si>
    <t>Employment, Wages, Economy</t>
  </si>
  <si>
    <t>Jianing</t>
  </si>
  <si>
    <t>Diversity</t>
  </si>
  <si>
    <t>Migration, Race, Ethnicity</t>
  </si>
  <si>
    <t>Vicki</t>
  </si>
  <si>
    <t>Tool</t>
  </si>
  <si>
    <t>Ex:Data downloads, online tables, research reports, visualization, etc. If the visualization tool/online tables/research report (available online), you can hyperlink the cell to indicate the web location. There can be multiple rows to indicate different tools for each sub-category.</t>
  </si>
  <si>
    <t>Name of tool</t>
  </si>
  <si>
    <t xml:space="preserve">Ex: For tables in the data downloads or online tables, write the name of the table. </t>
  </si>
  <si>
    <t>Variables Used (list all that apply)</t>
  </si>
  <si>
    <t>List out all the variables used in the tool</t>
  </si>
  <si>
    <t>Geographic Levels</t>
  </si>
  <si>
    <t>Ex: State, Region, Substate Region, County, etc. List all</t>
  </si>
  <si>
    <t>Data Sources-Census</t>
  </si>
  <si>
    <t>If the source of the data is Census Bureau, ex: Decennial Census, ACS. List all Census sources.</t>
  </si>
  <si>
    <t>Data Sources-Non Census</t>
  </si>
  <si>
    <t>Using state data sources or other federal sources. Ex: Bureau of Labor Statistics, Current Population Survey, etc. List all such sources. If only using Census data or linking to Census website, note as N/A.</t>
  </si>
  <si>
    <t>Direct links to Census</t>
  </si>
  <si>
    <t>Does the SDC just directly links to the statistics for the state in the Census website? Y/N</t>
  </si>
  <si>
    <t>Census link</t>
  </si>
  <si>
    <t>If 'Direct links to Census' == Y, provide the weblink</t>
  </si>
  <si>
    <t>Frequency</t>
  </si>
  <si>
    <t>How frequently the data tool is updated, the data are updated, or the project is conducted. Ex: As released, every 5 years, every 1 years, etc.</t>
  </si>
  <si>
    <t>Age of data</t>
  </si>
  <si>
    <t>Latest Vintage Used.</t>
  </si>
  <si>
    <t>Historical</t>
  </si>
  <si>
    <t>Do we have historical data available? Y/N</t>
  </si>
  <si>
    <t>Data Linkage</t>
  </si>
  <si>
    <t xml:space="preserve">Y/N. This is meant to capture if the SDC performed any data linkage (bringing information from different sources together). For example linking census tract data to data about the permits to create a data tool about development --- this would be linking at the geographic level. </t>
  </si>
  <si>
    <t>From Emily's template</t>
  </si>
  <si>
    <t>Citation</t>
  </si>
  <si>
    <t xml:space="preserve">Y/N/NA. This is for the project/work/data itself. (Sometimes, the SDC might post an academic paper or working paper on their work. Or they might provide a recommendation citation for their work. </t>
  </si>
  <si>
    <t>Notes</t>
  </si>
  <si>
    <t>If something specific that needs to be mentioned</t>
  </si>
  <si>
    <t>State/ Country</t>
  </si>
  <si>
    <t>Sub-categories</t>
  </si>
  <si>
    <t>Historical data</t>
  </si>
  <si>
    <t>Web link of the tool</t>
  </si>
  <si>
    <t>Geographic Levels2</t>
  </si>
  <si>
    <t>number of geographic levels</t>
  </si>
  <si>
    <t>Data Sources-Census2</t>
  </si>
  <si>
    <t>Age of data2</t>
  </si>
  <si>
    <t>Age of data_range</t>
  </si>
  <si>
    <t>Alaska</t>
  </si>
  <si>
    <t>Estimates</t>
  </si>
  <si>
    <t>Table Download</t>
  </si>
  <si>
    <t>Annual Components of Population Change for Alaska, 1945 to 2022</t>
  </si>
  <si>
    <t>End of period population, Population change, growth rate (percent), Births, Deaths, Natural Increase, In Migration, Out Migration, Net Migration</t>
  </si>
  <si>
    <t>State</t>
  </si>
  <si>
    <t>Source: Alaska Department of Labor and Workforce Development, Research and Analysis Section</t>
  </si>
  <si>
    <t>N</t>
  </si>
  <si>
    <t>As released</t>
  </si>
  <si>
    <t>1945, 2022</t>
  </si>
  <si>
    <t>Y</t>
  </si>
  <si>
    <t>N/A</t>
  </si>
  <si>
    <t>Table  Download</t>
  </si>
  <si>
    <t>Alaska Population by Age and Sex, 2010, 2020 to 2022</t>
  </si>
  <si>
    <t>By Age: April 2010 Census-Total, Male, Female; April 2020 Estimate-Total, Male, Female; July 2021 Estimate-Total, Male, Female; July 2022 Estimate-Total, Male, Female</t>
  </si>
  <si>
    <t>U.S. Census Bureau</t>
  </si>
  <si>
    <t>Census Bureau</t>
  </si>
  <si>
    <t>Sources: Alaska Department of Labor and Workforce Development, Research and Analysis Section</t>
  </si>
  <si>
    <t>2010, 2022</t>
  </si>
  <si>
    <t>Population of Alaska by Economic Region, Borough and Census Area, 2010, 2020 to 2022</t>
  </si>
  <si>
    <t xml:space="preserve">Census April 2010, Census April 2020, Estimate July 2021, Estimate July 2022, Natural Increase (Births-Deaths) 2010-2020, Natural Increase (Births-Deaths) 2020-2022, Net Migration (in-out migrants) 2010-2020,  Net Migration (in-out migrants) 2020-2022, Population change 2010-2020, Population change 2020-2022, Average annual growth rate (percent) 2010-2020,  Average annual growth rate (percent) 2020-2022   </t>
  </si>
  <si>
    <t>Region, Borough and Census Area</t>
  </si>
  <si>
    <t>Region, Borough, Census Area</t>
  </si>
  <si>
    <t>Decennial Census?</t>
  </si>
  <si>
    <t>Alaska Department of Labor and Workforce Development, Research and Analysis Section</t>
  </si>
  <si>
    <t>Vintage 2022. All numbers are based on 2020 geography.</t>
  </si>
  <si>
    <t>Components of Population Change for Alaska Regions, Boroughs and Census Areas, 2020 to 2022</t>
  </si>
  <si>
    <t>End of period population, Population change, growth rate (percent), Births, Deaths, Natural Increase, Net Migration</t>
  </si>
  <si>
    <t>Regions, Boroughs and Census Areas</t>
  </si>
  <si>
    <t>2020, 2022</t>
  </si>
  <si>
    <t>Alaska Population by Age, Sex and Borough/Census Area, 2010, 2020 to 2022</t>
  </si>
  <si>
    <t>Alaska Population Estimates by Borough, Census Area, City, and Census Designated Place (CDP), 2010, 2020 to 2022</t>
  </si>
  <si>
    <t>Census Total April 2010, Census Total April 2020, Estimate Total July 2021, Estimate Total July 2022, Census Group Quarters April 2010, Census Group Quarters April 2020, Estimate  Group Quarters July 2021, Estimate Group Quarters July 2022</t>
  </si>
  <si>
    <t>Borough, Census Area, City, and Census Designated Place (CDP)</t>
  </si>
  <si>
    <t>Borough, Census Area, City/Town, Census Designated Place</t>
  </si>
  <si>
    <t>Vintage 2022. Unless noted otherwise, all numbers are based on 2020 geography.</t>
  </si>
  <si>
    <t>Population by Age and Sex for Alaska Cities and Census Designated Places (CDPs) with a Population of 1,000 or More, 2010, 2020 to 2022</t>
  </si>
  <si>
    <t>Cities and Census Designated Places (CDPs) with a Population of 1,000 or More</t>
  </si>
  <si>
    <t>City/Town, Census Designated Place</t>
  </si>
  <si>
    <t>Alaska Population Estimates by Borough, Census Area, and Census Tract, 2010, 2020 to 2022</t>
  </si>
  <si>
    <t>Borough, Census Area, and Census Tract</t>
  </si>
  <si>
    <t>Borough, Census Area, Census Tract</t>
  </si>
  <si>
    <t>Alaska Population Estimates by Alaska Native Village Statistical Area (ANVSA), 2020 to 2022</t>
  </si>
  <si>
    <t>Census Total April 2020, Estimate July 2021, Estimate July 2022</t>
  </si>
  <si>
    <t>Native Village Statistical Area (ANVSA)</t>
  </si>
  <si>
    <t xml:space="preserve">Native Village Statistical Area </t>
  </si>
  <si>
    <t>Alaska Population Estimates by Alaska Native Regional Corporation (ANRC), 2020 to 2022</t>
  </si>
  <si>
    <t>Native Regional Corporation (ANRC)</t>
  </si>
  <si>
    <t xml:space="preserve">Native Regional Corporation </t>
  </si>
  <si>
    <t>Alaska Population Estimates by Census Subarea, 2020 to 2022</t>
  </si>
  <si>
    <t>Census Subarea</t>
  </si>
  <si>
    <t>Alaska Population Estimates by School District, 2020 to 2022</t>
  </si>
  <si>
    <t>School District</t>
  </si>
  <si>
    <t>2020 Census Data-Population of Alaska by Economic Region, Borough and Census Area, 2010 and 2020</t>
  </si>
  <si>
    <t xml:space="preserve">Census April 2010, Census April 2020 </t>
  </si>
  <si>
    <t>2010, 2020</t>
  </si>
  <si>
    <t>2020 Census Data- Alaska Population Estimates by Borough, Census Area, City, and Census Designated Place (CDP), 2010 and 2020</t>
  </si>
  <si>
    <t>Census Total April 2010, Census Total April 2020, Census Group Quarters April 2010, Census Group Quarters April 2020</t>
  </si>
  <si>
    <t xml:space="preserve">Borough, Census Area, City/Town, Census Designated Place </t>
  </si>
  <si>
    <t>2020 Census Data- Alaska Population Estimates by Borough, Census Area, and Census Tract, 2010 and 2020</t>
  </si>
  <si>
    <t>2020 Census Data-Population by race and Alaska Native Regional Corporation, 2010 and 2020</t>
  </si>
  <si>
    <t>Total Population, Alone or in combination Native American</t>
  </si>
  <si>
    <t>Alaska Native Regional Corporation</t>
  </si>
  <si>
    <t>Native Regional Corporation</t>
  </si>
  <si>
    <t>US Census Bureau</t>
  </si>
  <si>
    <t>Alaska Department of Labor and Workforce Development</t>
  </si>
  <si>
    <t>2020 Census Data-Alaska Population Estimates by Alaska Native Village Statistical Area (ANVSA), 2010 and 2020</t>
  </si>
  <si>
    <t>Census Total April 2010, Census Total April 2020</t>
  </si>
  <si>
    <t>Alaska Native Village Statistical Area (ANVSA)</t>
  </si>
  <si>
    <t>2020 Census Data- Alaska Population Estimates by School District, 2010 and 2020</t>
  </si>
  <si>
    <t>Projections</t>
  </si>
  <si>
    <t>Report</t>
  </si>
  <si>
    <t>Alaska Population Projections: 2021 to 2050</t>
  </si>
  <si>
    <t>https://live.laborstats.alaska.gov/pop/projections/pub/popproj.pdf</t>
  </si>
  <si>
    <t>Annual Components of Population Change for Alaska, 2021 to 2050</t>
  </si>
  <si>
    <t>End of Period Population- Low, Middle, High; Population Change-Low, Middle, High; Growth Rate (Percent)-Low, Middle, High; Births-Low, Middle, High; Deaths-Low, Middle, High; Natural Increase-Low, Middle, High; Net Migration-Low, Middle, High</t>
  </si>
  <si>
    <t>2021?</t>
  </si>
  <si>
    <t>Alaska Population by Age and Sex, and Components of Change: 2021 to 2050, Middle Scenario</t>
  </si>
  <si>
    <t>By Age, 5-year projections -Total, Male, Female</t>
  </si>
  <si>
    <t>Alaska Population by Age and Sex, and Components of Change: 2021 to 2050, Low Scenario</t>
  </si>
  <si>
    <t>Alaska Population by Age and Sex, and Components of Change: 2021 to 2050, High Scenario</t>
  </si>
  <si>
    <t>Alaska Native (Alone or in Combination) Population by Age and Sex, and Components of Change: 2020 to 2050</t>
  </si>
  <si>
    <t>Alaska Native</t>
  </si>
  <si>
    <t>Alaska Population by Area: 2021 to 2050</t>
  </si>
  <si>
    <t>Borough/Census Area</t>
  </si>
  <si>
    <t>Borough, Census Area</t>
  </si>
  <si>
    <t>Alabama</t>
  </si>
  <si>
    <t>Table Viewer/Download</t>
  </si>
  <si>
    <t>Annual Estimates of the Population in Alabama Cities and Towns by County: April 1, 2020 to July 1, 2022</t>
  </si>
  <si>
    <t>Population estimates-2020, 2021, 2022; Population change number and percent 2020-2022</t>
  </si>
  <si>
    <t>County, City, Town</t>
  </si>
  <si>
    <t>County, City/Town</t>
  </si>
  <si>
    <t xml:space="preserve">U.S. Census Bureau, Population Division </t>
  </si>
  <si>
    <t>Center for Business and Economic Research, The University of Alabama</t>
  </si>
  <si>
    <t>Annual Estimates of the Resident Population for Incorporated Places in Alabama: April 1, 2020 to July 1, 2022</t>
  </si>
  <si>
    <t>Incorporated places</t>
  </si>
  <si>
    <t>Incorporated Place</t>
  </si>
  <si>
    <t>Annual Estimates of the Resident Population for Metropolitan and Micropolitan Statistical Areas in the Alabama: April 1, 2020 to July 1, 2022</t>
  </si>
  <si>
    <t>Metropolitan and Micropolitan Statistical Areas</t>
  </si>
  <si>
    <t>Metropolitan Area, Micropolitan Area</t>
  </si>
  <si>
    <t>Annual and Cumulative Estimates of the Components of Resident Population Change for Counties in Alabama: April 1, 2020 to July 1, 2022</t>
  </si>
  <si>
    <t>2021-2022: Total Population Change, Natural change, Births, Deaths, Total Migration, International, Domestic; 2020-022: Total Population Change, Natural change, Births, Deaths, Total Migration, International, Domestic</t>
  </si>
  <si>
    <t xml:space="preserve">County </t>
  </si>
  <si>
    <t>Annual Estimates of the Resident Population for Counties in Alabama: April 1, 2020 to July 1, 2022</t>
  </si>
  <si>
    <t>Group Quarters Population, Ages 16+</t>
  </si>
  <si>
    <t>Total population, In Group quarters, Not in Group Quarters</t>
  </si>
  <si>
    <t>County</t>
  </si>
  <si>
    <t>U.S. Census Bureau American Community Survey, 2021 5-Year Estimates.</t>
  </si>
  <si>
    <t>Census Bureau, ACS</t>
  </si>
  <si>
    <t>Alabama Population Projections_2020-2040.xlsx</t>
  </si>
  <si>
    <t>Census 2000, Census 2010, Census 2020, Projections- 2025, 2030, 2035, 2040, Change 2020-2040 Number and percent</t>
  </si>
  <si>
    <t>Alabama County Population Aged 65 and Over 2000-2010 and Projections 2020-2040.xls</t>
  </si>
  <si>
    <t>Census 2000, Census 2010, Projections- 2020, 2025, 2030, 2035, 2040, Change 2010-2040 Number and percent</t>
  </si>
  <si>
    <t>Arizona</t>
  </si>
  <si>
    <t>Population estimates</t>
  </si>
  <si>
    <t>Estimate</t>
  </si>
  <si>
    <t>State, County, Incorporated Places</t>
  </si>
  <si>
    <t>State, County, Incorporated Place</t>
  </si>
  <si>
    <t>Arizona Office of Economic Opportunity (OEO)</t>
  </si>
  <si>
    <t>Arizona State and County Population Projections 2022-2060 : Medium, Low, High Series</t>
  </si>
  <si>
    <t>Projected total population</t>
  </si>
  <si>
    <t>State, County, Metro Areas</t>
  </si>
  <si>
    <t>State, County, Metro Area</t>
  </si>
  <si>
    <t xml:space="preserve">N </t>
  </si>
  <si>
    <t>Arizona State and County Population Detailed Projections 2022-2060 : Medium, Low, High Series</t>
  </si>
  <si>
    <t>Projected total population, components of population change, population by sex and age group, population by sex and single year of age for age group 19 and younger, population by race and Hispanic origin</t>
  </si>
  <si>
    <t xml:space="preserve">State , County </t>
  </si>
  <si>
    <t xml:space="preserve">State, County </t>
  </si>
  <si>
    <t>Arkansas</t>
  </si>
  <si>
    <t>Annual Estimates of the Resident Population for Counties: April 1, 2020 to July 1, 2022</t>
  </si>
  <si>
    <t>Population estimate: 2020, 2021, 2022</t>
  </si>
  <si>
    <t xml:space="preserve"> Annual and Cumulative Estimates of the Components of Resident Population Change for Counties: April 1, 2020 to July 1, 2022</t>
  </si>
  <si>
    <t>Total Population change, Natural change, Births, Deaths, Total migration, International Migration, Domestic Migration</t>
  </si>
  <si>
    <t xml:space="preserve"> Annual and Cumulative Estimates of Resident Population Change for Counties and County Rankings: April 1, 2020 to July 1, 2022</t>
  </si>
  <si>
    <t>Yearly population estimates (2020, 2021, 2022), State ranking of counties, Annual change 2021 to 2022, Cumulative change 2020 to 2022</t>
  </si>
  <si>
    <t>Annual County Resident Population Estimates by Selected Age Groups and Sex: April 1, 2020 to July 1, 2022</t>
  </si>
  <si>
    <t>Yearly population estimates by selected age groups and sex, median age</t>
  </si>
  <si>
    <t>Annual County Resident Population Estimates by Age, Sex, Race, and Hispanic Origin: April 1, 2020 to July 1, 2022</t>
  </si>
  <si>
    <t>Yearly population estimates by age groups, race and sex</t>
  </si>
  <si>
    <t>Annual Estimates of Resident Population for Selected Age Groups by Sex for Arkansas: April 1, 2020 to July 1, 2022</t>
  </si>
  <si>
    <t>2020,2021,2022 Population estimates by sex and selected age groups</t>
  </si>
  <si>
    <t>Annual Estimates of the Resident Population by Single Year of Age and Sex for Arkansas: April 1, 2020 to July 1, 2022</t>
  </si>
  <si>
    <t xml:space="preserve">2020,2021,2022 Population estimates by Single Year of Age and Sex </t>
  </si>
  <si>
    <t>Annual Estimates of the Resident Population by Sex, Race, and Hispanic Origin for Arkansas: April 1, 2020 to July 1, 2022</t>
  </si>
  <si>
    <t xml:space="preserve">2020,2021,2022 Population estimates by Sex, Race, and Hispanic Origin </t>
  </si>
  <si>
    <t xml:space="preserve">Annual Estimates of the Resident Population for All Incorporated Places in Arkansas: April 1, 2020 to July 1, 2022
</t>
  </si>
  <si>
    <t>2020,2021,2022 Resident Population estimates</t>
  </si>
  <si>
    <t>Incorporated Places</t>
  </si>
  <si>
    <t xml:space="preserve">Table Viewer </t>
  </si>
  <si>
    <t>Total Population for Arkansas Places: Vintage 2022</t>
  </si>
  <si>
    <t>https://arstatedatacenter.youraedi.com/scripts/subcountyestimates.php</t>
  </si>
  <si>
    <t>2022 Population estimate</t>
  </si>
  <si>
    <t>County, Incorporated Places</t>
  </si>
  <si>
    <t>County, Incorporated Place</t>
  </si>
  <si>
    <t>Arkansas Population by Race &amp; Ethnicity 1980-2020</t>
  </si>
  <si>
    <t>https://www.arcgis.com/apps/dashboards/9b894992329f4972acd650048189558c</t>
  </si>
  <si>
    <t>Total population by race and ethnicity</t>
  </si>
  <si>
    <t>1980, 2020</t>
  </si>
  <si>
    <t>Arkansas Demographics</t>
  </si>
  <si>
    <t>https://arkanstats.com/page_two.html?id=2018_1_85</t>
  </si>
  <si>
    <t>Population, Annual net migration, Race</t>
  </si>
  <si>
    <t>State, County, MSA</t>
  </si>
  <si>
    <t>State, County, Metropolitan Area</t>
  </si>
  <si>
    <t>U.S. Census Bureau, Population Division</t>
  </si>
  <si>
    <t>2020 Census Demographic Profile</t>
  </si>
  <si>
    <t>https://arstatedatacenter.youraedi.com/scripts/2020dp.php</t>
  </si>
  <si>
    <t>General population and housing characteristics</t>
  </si>
  <si>
    <t>State, county, county subdivision, place, ZIPcode, msa, census tract, block, block group</t>
  </si>
  <si>
    <t>State, County, County Subdivision, Place, ZIP code, Metropolitan Area, Census Tract, Block, Block Group</t>
  </si>
  <si>
    <t>https://data.census.gov/table?g=040XX00US05&amp;d=DEC+Demographic+Profile</t>
  </si>
  <si>
    <t>American Community Survey (ACS) Demographic and Housing Estimates</t>
  </si>
  <si>
    <t>https://arstatedatacenter.youraedi.com/scripts/ACS5yrprofilelinker.php?vintage=2020&amp;type=DP05&amp;level=040&amp;geo=0400000US05</t>
  </si>
  <si>
    <t>Data Profiles for Arkansas geographies</t>
  </si>
  <si>
    <t>State, county, county subdivision, place, ZIP code, msa, census tract, block, block group</t>
  </si>
  <si>
    <t>https://data.census.gov/table?g=040XX00US05&amp;tid=ACSDP5Y2021.DP05</t>
  </si>
  <si>
    <t>State of Arkansas Population Projections</t>
  </si>
  <si>
    <t>https://arstatedatacenter.youraedi.com/demores/demoscripts/projections_state_2010_base.php</t>
  </si>
  <si>
    <t>Yearly Population projections by Age group, Race/ethnicity, Gender</t>
  </si>
  <si>
    <t>Regional Economic Models, Inc.</t>
  </si>
  <si>
    <t>State Level Projections to 2060 - Vintage 2010 (based on Census 2010)</t>
  </si>
  <si>
    <t>Population estimates and projections by race</t>
  </si>
  <si>
    <t>Estimates and Projections</t>
  </si>
  <si>
    <t>County Projections 1980-2065</t>
  </si>
  <si>
    <t>Population estimates and projections</t>
  </si>
  <si>
    <t>Total Population by County and Development District 2010-2020</t>
  </si>
  <si>
    <t>County and Development District</t>
  </si>
  <si>
    <t>County, Development District</t>
  </si>
  <si>
    <t>California</t>
  </si>
  <si>
    <t>Population Age and Sex Characteristics-2020,2010,2000</t>
  </si>
  <si>
    <t>Population-Total, Male, Female; Median age-all, male, female; Average household size; Average family size; Person segments-under 5 years, under 18 years, age 21+, age 55+, age 60+, age 65+ ; Percent population female; Percent population less than 18; Geoid</t>
  </si>
  <si>
    <t>California, Counties, Incorporated Cities/Towns, and Census Designated Places (CDP)</t>
  </si>
  <si>
    <t>State, County,  City/Town, Census Designated Place</t>
  </si>
  <si>
    <t>U.S. Census Bureau,  Census 2020 Demographic Profile and Demographic and Housing Characteristics File (DHC), Census 2010 Demographic Profile Summary File, Census 2000 Demographic Profile Summary File,</t>
  </si>
  <si>
    <t>Census Bureau, Decennial Census Demographic Profile Summary File</t>
  </si>
  <si>
    <t>2000, 2020</t>
  </si>
  <si>
    <t>Land Area, Population and Population Density-2020,2010,2000</t>
  </si>
  <si>
    <t>Total population, Land area in square miles, Population Per Square mile (land area), Geoid</t>
  </si>
  <si>
    <t>Persons by Relationship- 2020, 2010, 2000</t>
  </si>
  <si>
    <t>Total population; In households: total population in household, householder, opposite-sex spouse, same-sex spouse, opposite-sex unmarried partner, same-sex unmarried partner, children, children under 18 years, grandchildren, grandchildren under 18 years, other relatives, other relatives under 18 years, nonrelatives; In Group Quarters: Total GQ population, Institionalized population, Geoid</t>
  </si>
  <si>
    <t>Population Age and Sex Characteristics-2020</t>
  </si>
  <si>
    <t>ZIP Codes Tabulation Areas (ZCTA) in California</t>
  </si>
  <si>
    <t>ZCTA</t>
  </si>
  <si>
    <t>Land Area, Population and Population Density-2020</t>
  </si>
  <si>
    <t>Persons by Relationship- 2020</t>
  </si>
  <si>
    <t>Population Age and Sex Characteristics-2020,2010</t>
  </si>
  <si>
    <t>School districts</t>
  </si>
  <si>
    <t>School district</t>
  </si>
  <si>
    <t>Land Area, Population and Population Density-2020, 2010</t>
  </si>
  <si>
    <t>Persons by Relationship- 2020, 2010</t>
  </si>
  <si>
    <t>Rankings of Total Population 2010 and 2020</t>
  </si>
  <si>
    <t>Total population: April 1, 2010 and April 1, 2020; Change 2010-2020: Number and percent</t>
  </si>
  <si>
    <t>County, Incorporated Cities/Towns</t>
  </si>
  <si>
    <t>2020 Census State Redistricting Data (P.L. 94-171) Summary File, U.S. Census Bureau; 2010 Census State Redistricting Data (P.L. 94-171) Summary File, U.S. Census Bureau; 2010 Count Question Resolution Program Results, U.S. Census Bureau</t>
  </si>
  <si>
    <t>Census Redistricting</t>
  </si>
  <si>
    <t>Total Population and Population Change:  2010 and 2020</t>
  </si>
  <si>
    <t>Total population: April 1, 2010 and April 1, 2020; Change 2010-2020: Number and percent; Geographic Identifiers: Summary level, state, county, place</t>
  </si>
  <si>
    <t xml:space="preserve">Summary level, state, county, place, city or town </t>
  </si>
  <si>
    <t xml:space="preserve">Summary level, State, County, Place, City/Town </t>
  </si>
  <si>
    <t>Map</t>
  </si>
  <si>
    <t>Population: Percent Change by County from 2010 to 2020</t>
  </si>
  <si>
    <t>County, percent change</t>
  </si>
  <si>
    <t>U.S. Census Bureau, PL94-171</t>
  </si>
  <si>
    <t>Population Numeric Change 2010 to 2020</t>
  </si>
  <si>
    <t>County, number change</t>
  </si>
  <si>
    <t>Summary Population and Housing Data:  2020</t>
  </si>
  <si>
    <t>Total population, Population 18 years and older, Household population, Group quarters population, persons per square mile, total housing units, occupied housing units, Vacant housing units, vacancy rate</t>
  </si>
  <si>
    <t>2020 Census State Redistricting Data (P.L. 94-171) Summary File, U.S. Census Bureau</t>
  </si>
  <si>
    <t>Population in Group Quarters by Major Type</t>
  </si>
  <si>
    <t>Total group quarters, total institutional group quarters, correctional facilities for adults, juvenile facilities, nursing facilities/skilled nursing facilities,other instituitional facilities, total non institutional group quarters, college/university student housing, military quarters, other non institutional facilities</t>
  </si>
  <si>
    <t>Summary Population and Housing Data:  2020 Census</t>
  </si>
  <si>
    <t>California, Counties, and Census Tracts</t>
  </si>
  <si>
    <t>State, County, Census Tract</t>
  </si>
  <si>
    <t>2020 Census Redistricting Profile - US</t>
  </si>
  <si>
    <t>https://dof.ca.gov/wp-content/uploads/sites/352/Forecasting/Demographics/Documents/2020Census_PL942020_Profile_USA.pdf</t>
  </si>
  <si>
    <t>Population type, count, percent</t>
  </si>
  <si>
    <t>United States</t>
  </si>
  <si>
    <t>Nation</t>
  </si>
  <si>
    <t>2020 Census Redistricting Profile - California and Counties</t>
  </si>
  <si>
    <t>https://dof.ca.gov/wp-content/uploads/sites/352/Forecasting/Demographics/Documents/2020Census_PL942020_Profile_CalifSTCO.pdf</t>
  </si>
  <si>
    <t>California and Counties</t>
  </si>
  <si>
    <t>State, County</t>
  </si>
  <si>
    <t>Full 2020 Demographic Profile for California and counties</t>
  </si>
  <si>
    <t>https://dof.ca.gov/forecasting/Demographics/2020-census-data/#DP</t>
  </si>
  <si>
    <t>https://data.census.gov/table?g=050XX00US06003&amp;d=DEC+Demographic+Profile</t>
  </si>
  <si>
    <t>January Population and Housing Estimates for Cities, Counties, and the State  
January 1, 2022 and 2023</t>
  </si>
  <si>
    <t>Total Population, Total Housing: 1/1/2022-1/1/2023</t>
  </si>
  <si>
    <t>City, County, State</t>
  </si>
  <si>
    <t>State, County, City/Town</t>
  </si>
  <si>
    <t>Data used in estimation models come from administrative records of several state and federal government departments and agencies, and from the local jurisdictions for which Finance produces population estimates.</t>
  </si>
  <si>
    <t>July Population California County Population Estimates and Components of Change by Year — July 1, 2020-2022</t>
  </si>
  <si>
    <t>Total population; Change: Number and Percent; Components of change: Births, Deaths, Natural Increase, Net Migration, Net immigration, Net domestic migration</t>
  </si>
  <si>
    <t>Total Estimated and Projected Population for California: July 1, 2010 to 2060</t>
  </si>
  <si>
    <t>Census, ACS PUMS</t>
  </si>
  <si>
    <t xml:space="preserve">Census Bureau, ACS </t>
  </si>
  <si>
    <t>California Department of Public Health, Department of Finance estimated migration, e driver’s license address changes, IRS tax return data, Medicare and Medi-Cal enrollment,
federal immigration reports, elementary school enrollments, and group quarters population</t>
  </si>
  <si>
    <t>Total Estimated and Population Projections by Single Year of Age, 2010-2060</t>
  </si>
  <si>
    <t>Median Age, Estimates and Projections by age</t>
  </si>
  <si>
    <t>Total Estimated and Projected Population for California by 5-year Age Group and Sex: July 1, 2010 to 2060</t>
  </si>
  <si>
    <t>Estimates and projections by sex and 5-year age group</t>
  </si>
  <si>
    <t>Total Estimated and Projected Population for California and Counties: July 1, 2010 to 2060</t>
  </si>
  <si>
    <t>Population Projections by Individual Year of Age, 2010-2060</t>
  </si>
  <si>
    <t>Population Projections by Sex and 5-year Age Group, 2010-2060</t>
  </si>
  <si>
    <t>Population Projections Race/Ethnicity and Sex by Individual Years of Age, 2010 to 2060</t>
  </si>
  <si>
    <t>Estimates and projections by age, sex, race/ethnicity</t>
  </si>
  <si>
    <t>Projected Total Population and Components of Change, 2010-2060</t>
  </si>
  <si>
    <t>Starting data: Starting year, Start population; Components of change: Births, Deaths, Net migration; Ending data: End year, End population</t>
  </si>
  <si>
    <t>Historical and Projected Fertility Rates and Births, 
Calendar Year 1990-2040</t>
  </si>
  <si>
    <t>By calendar year: Births by mother's age, Fertility rate of women by age, total births</t>
  </si>
  <si>
    <t>State, county</t>
  </si>
  <si>
    <t>Household Projections for California Counties: 2020–2030</t>
  </si>
  <si>
    <t>Total population, Household population, Group Quarters, Total households, PPH</t>
  </si>
  <si>
    <t>California Public K–12 Graded Enrollment and High School Graduate Projections by County — 2022 Series</t>
  </si>
  <si>
    <t xml:space="preserve">K-12 Enrollment, HS graduates, </t>
  </si>
  <si>
    <t>California Department of Education, California Department of Public Health, Demographic Research Unit</t>
  </si>
  <si>
    <t>Colorado</t>
  </si>
  <si>
    <t>Preliminary Population Estimates for Colorado regions 2000-2021</t>
  </si>
  <si>
    <t>State, Substate Regions, County</t>
  </si>
  <si>
    <t>State, Substate Region, County</t>
  </si>
  <si>
    <t>Colorado Department of Public Heath and Environment, Annual Residential Construction and Group Quarters Survey sent to local govt by SDO, IRS, Medicare and Immigration Statistics</t>
  </si>
  <si>
    <t>State and Regional Population Profiles 1985-2020</t>
  </si>
  <si>
    <t xml:space="preserve">Total population, births, census building permits, deaths, group quarters population, household population, natural increase, net migration, total housing units, vacant housing units, vacancy rate, household size </t>
  </si>
  <si>
    <t>State, Region</t>
  </si>
  <si>
    <t>1985, 2020</t>
  </si>
  <si>
    <t>State and Regional Population Estimates by Race/Ethnicity, Age and Sex 2010-2020</t>
  </si>
  <si>
    <t>Year, age, race, sex, ethnicity, county</t>
  </si>
  <si>
    <t>State and Regional Population Estimates by Race/Ethnicity, Age and Sex 2020-Current Estimate Year</t>
  </si>
  <si>
    <t>2020, 2021</t>
  </si>
  <si>
    <t>State and Regional Population Estimates by Single Year od Age 1990-2050</t>
  </si>
  <si>
    <t>Year, age, datatype (estimate, forecast), male population, femle population, total population</t>
  </si>
  <si>
    <t>Census American Community Survey Public Use Microdata Samples data , Current Population Survey , Survival and fertility rates calculated by Census, decennial census data to calculate net migration</t>
  </si>
  <si>
    <t>ACS, CPS, Census Bureau, Decennial Census</t>
  </si>
  <si>
    <t>State, Substate Regions, County Population 5-year Forecasts, 2000 to 2050</t>
  </si>
  <si>
    <t>Estimates, projections and average annual percent change in 5-year group</t>
  </si>
  <si>
    <t>State, Substate Regions, County Population 1-year Forecasts, 2000 to 2050</t>
  </si>
  <si>
    <t>Estimates, projections  in 1-year group</t>
  </si>
  <si>
    <t>County Population Estimates, 2010 to current year</t>
  </si>
  <si>
    <t>July 2010, Census 2020, July 2020, July 2021,  2021 rank</t>
  </si>
  <si>
    <t>Colorado State Demography Office</t>
  </si>
  <si>
    <t>2010, 2021</t>
  </si>
  <si>
    <t>County Race and Ethnicity Estimates by Age Group, Current Year</t>
  </si>
  <si>
    <t>Total population: Total, 18 and over, less than 18; White alone, non-Hispanic: Total, 18 and over, less than 18; Hispanic: Total, 18 and over, less than 18; Black or African American alone non Hispanic: Total, 18 and over, less than 18; Asian alone, non-Hispanic: Total, 18 and over, less than 18; Native Hawaiian and Other Pacific Island alone, non-Hispanic: Total, 18 and over, less than 18; American Indian alone, non-Hispanic: Total, 18 and over, less than 18; Two or more, non-Hispanic: Total, 18 and over, less than 18</t>
  </si>
  <si>
    <t>County Estimates by Age Group, Current Year</t>
  </si>
  <si>
    <t>Total population all ages; Age group: less than 18, 18 to 24, 25 to 44, 45 to 64, 65 and over; Share of total by Age group: less than 18, 18 to 24, 25 to 44, 45 to 64, 65 and over</t>
  </si>
  <si>
    <t>Median Age by County, 1990-2050</t>
  </si>
  <si>
    <t>Estimated and projected population by year</t>
  </si>
  <si>
    <t>County Population Profiles, 1985 to Current Year</t>
  </si>
  <si>
    <t xml:space="preserve">Total population, births, census building permits, deaths, group quarters population, household population, households, natural increase, net migration, total housing units, vacant housing units, vacancy rate, household size </t>
  </si>
  <si>
    <t>1985, 2021</t>
  </si>
  <si>
    <t>County Population Estimates by Race/Ethnicity, Age and Sex, 2010 to 2020</t>
  </si>
  <si>
    <t>Race, Ethinicity, Sex, Age, Year, Count</t>
  </si>
  <si>
    <t>County Population Estimates by Race/Ethnicity, Age and Sex, 2020 to Current Estimate Year</t>
  </si>
  <si>
    <t>County Population Estimates by Single Year of Age, 1990 to 2050</t>
  </si>
  <si>
    <t>Year, Age, County, Male population, Female population, Total population, Datatype</t>
  </si>
  <si>
    <t>Population density by County</t>
  </si>
  <si>
    <t>April 2020 population, Square miles, acres, person per square mile</t>
  </si>
  <si>
    <t>County Population 5-year Forecasts, 2010 to 2050</t>
  </si>
  <si>
    <t>SDO estimates: 2010, 2015, 2020;SDO Projections: 2025, 2030, 2035, 2040, 2045, 2050 (SDO=State Demography Office)</t>
  </si>
  <si>
    <t>County Population 1-year Forecasts, 2000 to 2050</t>
  </si>
  <si>
    <t>SDO estimates and projections by year (SDO=State Demography Office)</t>
  </si>
  <si>
    <t>Municipalities within County estimates, 2010 to current year</t>
  </si>
  <si>
    <t>County FIPS, Place FIPS, Area, July 2010, Census 2020, July 2020, July 2021</t>
  </si>
  <si>
    <t>County, Municipality</t>
  </si>
  <si>
    <t>Municipalities ranked by population, current year</t>
  </si>
  <si>
    <t>County FIPS, Place FIPS, Area, Census 2020, July 2020, July 2021, 2021 Rank</t>
  </si>
  <si>
    <t>County and Muncipal Timeseries, 1980 to Current Year</t>
  </si>
  <si>
    <t>County FIPS, Place FIPS, Municipality Name, Year, Total population</t>
  </si>
  <si>
    <t>1980, 2021</t>
  </si>
  <si>
    <t>Municipal Population and Housing Timeseries, 2010 to Current Year</t>
  </si>
  <si>
    <t>Year, County FIPS, Place FIPS, Total population, Household population, Group Quarters Population, Household size, Total housing, Occupied housing, Vacant housing, Vacancy percent</t>
  </si>
  <si>
    <t>County and Municipal Population tools, 1870-2010</t>
  </si>
  <si>
    <t>Area name, area type, incorporation year, county incorporated, population year, total population</t>
  </si>
  <si>
    <t>1870, 2010</t>
  </si>
  <si>
    <t>Connecticut</t>
  </si>
  <si>
    <t>Census Annual Population Estimates by County</t>
  </si>
  <si>
    <t>Year, Population estimates</t>
  </si>
  <si>
    <t>US Census</t>
  </si>
  <si>
    <t>Census Annual Population Estimates by Town</t>
  </si>
  <si>
    <t>State, Town</t>
  </si>
  <si>
    <t>State, City/Town</t>
  </si>
  <si>
    <t>Decennial Population by County</t>
  </si>
  <si>
    <t>Year, Gender, Race/Ethnicity, Age Cohort, Measure type: number and percent, population</t>
  </si>
  <si>
    <t>Decennial Population by Town</t>
  </si>
  <si>
    <t>DPH Annual Population Estimates by County</t>
  </si>
  <si>
    <t>Year, Measure type : number and percent, estimated population</t>
  </si>
  <si>
    <t>Connecticut Department of Public Health</t>
  </si>
  <si>
    <t>DPH Annual Population Estimates by Town</t>
  </si>
  <si>
    <t>Population by Age by County</t>
  </si>
  <si>
    <t>Year (5-year intervals), Race ethnicity, gender,  Age cohort, population</t>
  </si>
  <si>
    <t>2014-2018</t>
  </si>
  <si>
    <t>Population by Age by Town</t>
  </si>
  <si>
    <t>Year (5-year intervals), Race ethnicity, gender, Age cohort, population</t>
  </si>
  <si>
    <t>2016-2020</t>
  </si>
  <si>
    <t>Population by Race by County</t>
  </si>
  <si>
    <t>Year (5-year intervals), Race ethnicity, population</t>
  </si>
  <si>
    <t>2015-2019</t>
  </si>
  <si>
    <t>Population by Race by Town</t>
  </si>
  <si>
    <t>Year (5-year intervals), Race ethnicity,  population</t>
  </si>
  <si>
    <t>Median Age by County</t>
  </si>
  <si>
    <t>Year (5-year intervals), Race/ethnicity, gender, median age</t>
  </si>
  <si>
    <t>Median Age by Town</t>
  </si>
  <si>
    <t>2017-2021</t>
  </si>
  <si>
    <t>Veteran Status</t>
  </si>
  <si>
    <t>Year (5-year intervals), age cohorts, veteran status, gender, value</t>
  </si>
  <si>
    <t>Birth data</t>
  </si>
  <si>
    <t>Year, Indicator: Birth count, birth rate, population</t>
  </si>
  <si>
    <t>Population Projections by County till 2025</t>
  </si>
  <si>
    <t>State, year, gender, age cohort, projected population</t>
  </si>
  <si>
    <t>CT State Data Center</t>
  </si>
  <si>
    <t>Population Projections by Town till 2040</t>
  </si>
  <si>
    <t>Table Viewer</t>
  </si>
  <si>
    <t>ACS 2021 Tool</t>
  </si>
  <si>
    <t>https://acs2021.ctdata.org/</t>
  </si>
  <si>
    <t>Median household income, per capita income, median home value, median gross rent, median age, total population, % with bachelor degree or higher, %w/o health insurance, % working from home, % self employed, households receiving SNAP/Food stamps, families living in poverty, people with a disability, population not speaking english at home</t>
  </si>
  <si>
    <t>Towns</t>
  </si>
  <si>
    <t>City/Town</t>
  </si>
  <si>
    <t>2011, 2016, and 2021 US Census American Community Survey estimates, 5-year estimates.</t>
  </si>
  <si>
    <t>ACS</t>
  </si>
  <si>
    <t>Connecticut ACS 2018 Map</t>
  </si>
  <si>
    <t>https://acs2018.ctdata.org/</t>
  </si>
  <si>
    <t>Median household income, per capita income, median home value, median gross rent, population, median age, % high school graduates or higher, % population with bachelor's degree or higher</t>
  </si>
  <si>
    <t>Towns and Census Tracts</t>
  </si>
  <si>
    <t>City/Town, Census Tract</t>
  </si>
  <si>
    <t>American Community Survey 2018 5-year estimates, ACS 2013 5-year estimates</t>
  </si>
  <si>
    <t>Infographic</t>
  </si>
  <si>
    <t>County Stories</t>
  </si>
  <si>
    <t>https://countystories.ctdata.org/</t>
  </si>
  <si>
    <t>CT Data Collaborative</t>
  </si>
  <si>
    <t>DMHAS Regional Data Stories</t>
  </si>
  <si>
    <t>https://dmhasregions.ctdata.org/</t>
  </si>
  <si>
    <t>Regions</t>
  </si>
  <si>
    <t>Region</t>
  </si>
  <si>
    <t>Connecticut Population and Demographics Changes between 2010 and 2020</t>
  </si>
  <si>
    <t>https://www.ctdata.org/census-2020-explorer-page</t>
  </si>
  <si>
    <t>2010 Census, 2020 Census, Change</t>
  </si>
  <si>
    <t>Connecticut Demographic Report</t>
  </si>
  <si>
    <t>https://www.ctdata.org/demographics-report</t>
  </si>
  <si>
    <t>Population, Housing, Race and Ethnicity, Youth Population decline, Household income</t>
  </si>
  <si>
    <t>Census 2020 Redistricting Data</t>
  </si>
  <si>
    <t>Race, Housing units total, Housing units occupied, Housing units vacant</t>
  </si>
  <si>
    <t>Census tract, counties, towns, blocks</t>
  </si>
  <si>
    <t>Census Tract, County, City/Town, Block</t>
  </si>
  <si>
    <t>Crosswalk</t>
  </si>
  <si>
    <t>Census 2020 Geospatial Tools -2010 And 2020 Census Tracts → Town</t>
  </si>
  <si>
    <t>https://github.com/CT-Data-Collaborative/ct-census-tract-to-town</t>
  </si>
  <si>
    <t>Census 2020 Geospatial Tools - 2010 And 2020 Census BLOCKS → Town</t>
  </si>
  <si>
    <t>https://github.com/CT-Data-Collaborative/ct-census-block-to-town</t>
  </si>
  <si>
    <t>Geospatial Data Tools</t>
  </si>
  <si>
    <t>https://www.ctdata.org/geospatial-data-tools-gis</t>
  </si>
  <si>
    <t>Connecticut 2010 Census Tract to Town Converter</t>
  </si>
  <si>
    <t>District of Columbia</t>
  </si>
  <si>
    <t>Data Profiles</t>
  </si>
  <si>
    <t>https://opdatahub.dc.gov/</t>
  </si>
  <si>
    <t>Population, Income, Race &amp; Ethnicity, Households, Educational Attainment, At-risk populations, Housing, Age distribution</t>
  </si>
  <si>
    <t>DC, Ward</t>
  </si>
  <si>
    <t>State, Ward</t>
  </si>
  <si>
    <t>American Community Survey (ACS) 2017-2021 5-year Estimates</t>
  </si>
  <si>
    <t>Demographic and Economic Analysis</t>
  </si>
  <si>
    <t>By ward: Total Population, Median household income, bachelor's degree or higher, owner-occupied households, renter-occupied households, poverty rate, disability rate, internet subscriptions; By census tract: black population, foreign-born population, 65 and older population, average household size, Median household income, bachelor's degree or higher, uninsured population, median age,  poverty rate, umemployment rate, internet subscriptions</t>
  </si>
  <si>
    <t>Ward, census tract</t>
  </si>
  <si>
    <t>Ward, Census Tract</t>
  </si>
  <si>
    <t>2017-2021 ACS Key Demographic Indicators</t>
  </si>
  <si>
    <t>https://planning.dc.gov/sites/default/files/dc/sites/op/publication/attachments/Key%20Indicators%202017-2021.pdf</t>
  </si>
  <si>
    <t>Total Population, Population by age, Population by race, Hispanic/Latino Population, Foreign-born population, Commuting to work, Mean travel time to work, Households with vehicles, % employed, Educational attainment, Income, Poverty, Housing Occupancy, Meadian value of owner occupied housing units, median monthly gross rent, Households by type, average household size, average family size, language spoken at home</t>
  </si>
  <si>
    <t>US, DC, Ward</t>
  </si>
  <si>
    <t>Nation, State, Ward</t>
  </si>
  <si>
    <t>U.S. Census Bureau, 2017-2021 American Community Survey 5-Year Estimates Using the 2022 Ward Boundaries</t>
  </si>
  <si>
    <t>Population Change by Ward 2010-2020</t>
  </si>
  <si>
    <t>https://planning.dc.gov/sites/default/files/dc/sites/op/publication/attachments/Map%20-%20Population%20Change%20by%20Ward%202010-2020.pdf</t>
  </si>
  <si>
    <t>2020 population, 2010 population, change</t>
  </si>
  <si>
    <t>Ward</t>
  </si>
  <si>
    <t>2020 Census Redistricting Data (Public Law 94-171); US Census Bureau</t>
  </si>
  <si>
    <t>Census Redistricting, Census Bureau</t>
  </si>
  <si>
    <t>2020 Census Population by Census Tract with Ward Table</t>
  </si>
  <si>
    <t>https://planning.dc.gov/sites/default/files/dc/sites/op/publication/attachments/Map%202%20-%202020%20Census%20Population%20by%20Census%20Tract%20with%20Ward%20Table.pdf</t>
  </si>
  <si>
    <t>Estimated population</t>
  </si>
  <si>
    <t>Ward, Census tract</t>
  </si>
  <si>
    <t>Census Tract Map Book for Ward Redistricting</t>
  </si>
  <si>
    <t>https://planning.dc.gov/sites/default/files/dc/sites/op/publication/attachments/Census%20Tract%20Map%20Book%20for%20Ward%20Redistricting.pdf</t>
  </si>
  <si>
    <t>2020 population</t>
  </si>
  <si>
    <t>District of Columbia 2010 &amp; 2020 Ward Population and Change</t>
  </si>
  <si>
    <t>U.S. Census Bureau, 2020 Census Redistricting Data (Public Law 94-171) Summary File</t>
  </si>
  <si>
    <t xml:space="preserve"> Population by Race and Hispanic or Latino Origin, for All Ages and for 18 Years and Over, for the District of Columbia:  2010 &amp; 2020</t>
  </si>
  <si>
    <t>By all ages, for 18 and over and race: 2020 population, 2010 population, change</t>
  </si>
  <si>
    <t>DC</t>
  </si>
  <si>
    <t xml:space="preserve">State </t>
  </si>
  <si>
    <t xml:space="preserve"> District of Columbia Population by Ward by Race and Hispanic or Latino Origin: 2010* and 2020</t>
  </si>
  <si>
    <t xml:space="preserve">By race: 2020 census, 2010 census </t>
  </si>
  <si>
    <t xml:space="preserve">U.S. Census Bureau, 2010 and 2020 Census </t>
  </si>
  <si>
    <t>Decennial Census, Census Redistricting</t>
  </si>
  <si>
    <t xml:space="preserve">District of Columbia 2020 Census Ward Data Summary for Redistricting </t>
  </si>
  <si>
    <t>2020 Census population</t>
  </si>
  <si>
    <t>District of Columbia Population by Race and Hispanic Origin: 1800 to 2020</t>
  </si>
  <si>
    <t>Year, Total population, Population by race and hispanic origin</t>
  </si>
  <si>
    <t>1800, 2020</t>
  </si>
  <si>
    <t>Group Quarters Population by Ward: 2020</t>
  </si>
  <si>
    <t>Total population, Total group quarters, total institutional population, correctional facilities for adults, juvenile facilities, nursing facilities/skilled nursing facilities,other instituitional facilities, total non institutional population, college/university student housing, military quarters, other non institutional facilities</t>
  </si>
  <si>
    <t>Census 2020 Population, Voting Age, Race, Hispanic Origin, Housing Data-Wards</t>
  </si>
  <si>
    <t>Total population, Population counts by race - all groups and 18 over, Housing-total, occupied, vacant</t>
  </si>
  <si>
    <t>Census 2020 data</t>
  </si>
  <si>
    <t>Decennial Census</t>
  </si>
  <si>
    <t>Census 2020 Population, Voting Age, Race, Hispanic Origin, Housing Data-Census Tracts</t>
  </si>
  <si>
    <t>DC, Census Tracts</t>
  </si>
  <si>
    <t>State, Census Tract</t>
  </si>
  <si>
    <t>Census 2020 Population, Voting Age, Race, Hispanic Origin, Housing Data-Census Blocks</t>
  </si>
  <si>
    <t>DC, Census Blocks</t>
  </si>
  <si>
    <t>State, Block</t>
  </si>
  <si>
    <t>Map/Table Download</t>
  </si>
  <si>
    <t>Census Tracts in 2020</t>
  </si>
  <si>
    <t>https://opendata.dc.gov/datasets/DCGIS::census-tracts-in-2020/about</t>
  </si>
  <si>
    <t>Census Tracts</t>
  </si>
  <si>
    <t>Census Tract</t>
  </si>
  <si>
    <t>Census Blocks in 2020</t>
  </si>
  <si>
    <t>https://opendata.dc.gov/datasets/DCGIS::census-blocks-in-2020/about</t>
  </si>
  <si>
    <t>Census Blocks</t>
  </si>
  <si>
    <t>Block</t>
  </si>
  <si>
    <t>Census Block Groups in 2020</t>
  </si>
  <si>
    <t>https://opendata.dc.gov/datasets/DCGIS::census-block-groups-in-2020/about</t>
  </si>
  <si>
    <t>Census Block Groups</t>
  </si>
  <si>
    <t>Block Group</t>
  </si>
  <si>
    <t>DC Data Reports</t>
  </si>
  <si>
    <t>https://planning.dc.gov/node/616202</t>
  </si>
  <si>
    <t>Forecast by single year for District of Columbia by Neighborhood Cluster:  2015, 2020, 2025</t>
  </si>
  <si>
    <t>Projected total population, projected population by neighborhood cluster</t>
  </si>
  <si>
    <t>Neighborhood Cluster</t>
  </si>
  <si>
    <t>Office of Planning State Data Center, the Citywide Planning division, and the Washington Council of Governments (COG)</t>
  </si>
  <si>
    <t>Forecast by age groups for District of Columbia by Neighborhood Cluster:  2015, 2020, 2025</t>
  </si>
  <si>
    <t>Projected total population, projected population by neighborhood cluster and age group</t>
  </si>
  <si>
    <t>State Data Center Forecast Summary</t>
  </si>
  <si>
    <t>2015,2020,2025,2030: Total population, 0-17 population, 25-34 population, 65+ population, deaths, births, natural increase, net migration</t>
  </si>
  <si>
    <t>Forecast by single year for District of Columbia:  2015, 2020, 2025</t>
  </si>
  <si>
    <t>By single year age: population for 2015, 2020, 2025</t>
  </si>
  <si>
    <t>District of Columbia Round 10.0 Forecasts Totals 2020-2050</t>
  </si>
  <si>
    <t>Population, Employment, Households, Jobs/Housing Ratio, Group Quarters Population, Average Household size</t>
  </si>
  <si>
    <t>District of Columbia Population change : Age 0-4</t>
  </si>
  <si>
    <t>https://planning.dc.gov/sites/default/files/dc/sites/op/publication/attachments/Neighborhood%20Cluster%20Age%200-4.pdf</t>
  </si>
  <si>
    <t>Population change</t>
  </si>
  <si>
    <t>Neighborhood cluster</t>
  </si>
  <si>
    <t>District of Columbia Population change : Age 0-17</t>
  </si>
  <si>
    <t>https://planning.dc.gov/sites/default/files/dc/sites/op/publication/attachments/Neighborhood%20Cluster%20Age%200-17.pdf</t>
  </si>
  <si>
    <t>District of Columbia Population change : Age 18-34</t>
  </si>
  <si>
    <t>https://planning.dc.gov/sites/default/files/dc/sites/op/publication/attachments/Neighborhood%20Cluster%20Age%2018-34.pdf</t>
  </si>
  <si>
    <t>District of Columbia Population change : Age 35-64</t>
  </si>
  <si>
    <t>https://planning.dc.gov/sites/default/files/dc/sites/op/publication/attachments/Neighborhood%20Cluster%20Age%2035-64.pdf</t>
  </si>
  <si>
    <t>District of Columbia Population change : Age 65+</t>
  </si>
  <si>
    <t>https://planning.dc.gov/sites/default/files/dc/sites/op/publication/attachments/Neighborhood%20Cluster%20Age%2065over.pdf</t>
  </si>
  <si>
    <t>American Community Survey (ACS) Estimates</t>
  </si>
  <si>
    <t>age, sex, race, family and relationships, income and benefits, health insurance, education, veteran status, disabilities, where you work and how you get there, where you live and how much you pay for essentials</t>
  </si>
  <si>
    <t>Delaware</t>
  </si>
  <si>
    <t>Annual Population Projections Data Tables</t>
  </si>
  <si>
    <t>Population, Households, Population change (Births, deaths, net migration), Household change, Total labor force (Civillian, employed, private, government, self-employed, unpaid family, enemployed, military), Jobs by place of work ( jobs by residence, net commuting)</t>
  </si>
  <si>
    <t>Bureau of Labor Statistics,  Current Population Survey (CPS), Local Area
Unemployment Statistics (LAUS), Current Employment Statistics (CES), and the Quarterly Census of
Employment and Wages (QCEW)</t>
  </si>
  <si>
    <t>Population Projections by Single Year and 5-Year Age Cohorts</t>
  </si>
  <si>
    <t>By age (5 year cohort), race, gender: Population, Households, Population change (Births, deaths, net migration), Household change, Total labor force (Civillian, employed, private, government, self-employed, unpaid family, enemployed, military), Jobs by place of work ( jobs by residence, net commuting)</t>
  </si>
  <si>
    <t>Population Projections by Single Year, Age, Race, and Sex</t>
  </si>
  <si>
    <t>By age (1 year cohort), race, gender: Population, Households, Population change (Births, deaths, net migration), Household change, Total labor force (Civillian, employed, private, government, self-employed, unpaid family, enemployed, military), Jobs by place of work ( jobs by residence, net commuting)</t>
  </si>
  <si>
    <t>Population Projections Places (all municipalities)</t>
  </si>
  <si>
    <t>Projections for each of the 57 municipalities in Delaware</t>
  </si>
  <si>
    <t>US Census, ACS</t>
  </si>
  <si>
    <t xml:space="preserve">Estimates </t>
  </si>
  <si>
    <t>2021 ACS Estimates</t>
  </si>
  <si>
    <t>Total population estimates, by different demographic characteristics</t>
  </si>
  <si>
    <t>https://data.census.gov/table?q=acs&amp;g=040XX00US10,10$0500000&amp;y=2021&amp;tid=ACSST1Y2021.S0101</t>
  </si>
  <si>
    <t>Florida</t>
  </si>
  <si>
    <t>Florida Population Estimates by County and Municipality</t>
  </si>
  <si>
    <t>April 2022 Estimate, total change, April 2020 Çensus, April 2022 Inmates</t>
  </si>
  <si>
    <t xml:space="preserve">U.S. Census Bureau </t>
  </si>
  <si>
    <t>University of Florida, Bureau of Economic and Business Research</t>
  </si>
  <si>
    <t>Florida Population Estimates by Metropolitan Statistical Areas in Florida</t>
  </si>
  <si>
    <t>Population and population change</t>
  </si>
  <si>
    <t>Metropolitan Statistical Areas</t>
  </si>
  <si>
    <t>Metropolitan Area</t>
  </si>
  <si>
    <t>US Department of Commerce, University of Florida, Bureau of Economic and Business Research</t>
  </si>
  <si>
    <t>Projections of Florida Population by County, 2025–2050, with Estimates for 2022</t>
  </si>
  <si>
    <t>2022 Estimates, Projections: 2025, 2030, 2035, 2040, 2045, 2050</t>
  </si>
  <si>
    <t>Total County Population: April 1, 1970 ‐ 2050</t>
  </si>
  <si>
    <t>Yearly estimates and projections</t>
  </si>
  <si>
    <t>Population projections- 2025, 2030, 2035, 2040, 2045, 2050</t>
  </si>
  <si>
    <t>By age, race, sex. Projections: 2025, 2030, 2035, 2040, 2045, 2050</t>
  </si>
  <si>
    <t>Florida Population: Census Summary 2020</t>
  </si>
  <si>
    <t>2020 population, 2010 population, population change</t>
  </si>
  <si>
    <t>State, County, Municipality</t>
  </si>
  <si>
    <t>Georgia</t>
  </si>
  <si>
    <t xml:space="preserve">County Population Estimates 2019 </t>
  </si>
  <si>
    <t>Yearly population estimates</t>
  </si>
  <si>
    <t>City and Town Population Estimates 2018</t>
  </si>
  <si>
    <t>Cities, Towns</t>
  </si>
  <si>
    <t>County Population by Age 2016</t>
  </si>
  <si>
    <t>Population estimates by 5-year age interval</t>
  </si>
  <si>
    <t>County Population by Race 2016</t>
  </si>
  <si>
    <t>Population estimates by race</t>
  </si>
  <si>
    <t>County Population by Sex 2016</t>
  </si>
  <si>
    <t>Population estimates by sex</t>
  </si>
  <si>
    <t>U.S. Census Bureau Population Estimates</t>
  </si>
  <si>
    <t>State, county, city, town, msa</t>
  </si>
  <si>
    <t>State, County, City/Town, Metropolitan Area</t>
  </si>
  <si>
    <t>https://www.census.gov/programs-surveys/popest/data/tables.html</t>
  </si>
  <si>
    <t>County Projections by Age, 2020-2060</t>
  </si>
  <si>
    <t>Yearly population projections with 5-year age interval</t>
  </si>
  <si>
    <t>Georgia Department of Public Health’s (DPH), IRS</t>
  </si>
  <si>
    <t>Yearly population projections by race</t>
  </si>
  <si>
    <t>Yearly population projections sex</t>
  </si>
  <si>
    <t>Yearly residential population projections with 5-year age group</t>
  </si>
  <si>
    <t>Yearly population projections with 5-year age group</t>
  </si>
  <si>
    <t>Data Visualization/ Table Download</t>
  </si>
  <si>
    <t>Population Projections Visualization</t>
  </si>
  <si>
    <t>https://insights.georgia.gov/views/PopulationEstimates/PopulationProjectionsVisualization?%3Adisplay_count=n&amp;%3Aembed=y&amp;%3AisGuestRedirectFromVizportal=y&amp;%3Aorigin=viz_share_link&amp;%3AshowAppBanner=false&amp;%3AshowVizHome=n</t>
  </si>
  <si>
    <t>Yearly population projections by age group, sex, race/ethnicity</t>
  </si>
  <si>
    <t>State, Region, County, Urban/Rural</t>
  </si>
  <si>
    <t>Hawaii</t>
  </si>
  <si>
    <t>County and Subcounty Population Estimates</t>
  </si>
  <si>
    <t>2020, 2021, 2022 Population</t>
  </si>
  <si>
    <t>Annual Estimates of the Resident Population for Incorporated Places in Hawaii: April 1, 2020 to July 1, 2022</t>
  </si>
  <si>
    <t>Component of population change</t>
  </si>
  <si>
    <t>Births, deaths, net international migration, net domestic migration</t>
  </si>
  <si>
    <t>Annual Estimates of the Resident Population for Counties in Hawaii: April 1, 2020 to July 1, 2022</t>
  </si>
  <si>
    <t>Annual and Cumulative Estimates of the Components of Resident Population Change for Counties in Hawaii: April 1, 2020 to July 1, 2022</t>
  </si>
  <si>
    <t xml:space="preserve">Annual change (2021-2022) and cummulative change (2020-2022): Total population change, Natural change, Births, deaths, Net migration </t>
  </si>
  <si>
    <t>Annual and Cumulative Estimates of Resident Population Change for Counties in Hawaii and County Rankings: April 1, 2020 to July 1, 2022</t>
  </si>
  <si>
    <t>Daily Estimated Population Change for the State and Counties of Hawaii: 2021 to 2022</t>
  </si>
  <si>
    <t xml:space="preserve">2021 population, 2022 population, population change per day, Natural change per day, Births per day, deaths per day, total migration per day, international migration per day, domestic migration per day </t>
  </si>
  <si>
    <t>2021, 2022</t>
  </si>
  <si>
    <t>Daily Estimated Population Change for the State of Hawaii:  2021 to 2022</t>
  </si>
  <si>
    <t>American Community Survery estimates 1-year estimates</t>
  </si>
  <si>
    <t>State, CDP, MSA, Congressional district, urbanized area, PUMA</t>
  </si>
  <si>
    <t>State, Census Designated Place, Metropolitan Area, Congressional District, Urbanized Area, PUMA</t>
  </si>
  <si>
    <t>https://data.census.gov/table?g=040XX00US15&amp;y=2021&amp;d=ACS+1-Year+Estimates+Data+Profiles</t>
  </si>
  <si>
    <t>American Community Survery estimates 5-year estimates</t>
  </si>
  <si>
    <t>https://data.census.gov/table?g=040XX00US15&amp;y=2021&amp;d=ACS+5-Year+Estimates+Data+Profiles</t>
  </si>
  <si>
    <t>2020 Census Demographic Profiles</t>
  </si>
  <si>
    <t>State, county,  CDPs, ZIP code tabulation area, census tract,  census county subdivision, congressional and legislative districts</t>
  </si>
  <si>
    <t>State, County,  Census Designated Place,  ZCTA, Census Tract,  Census County Subdivision, Congressional District, Legislative District</t>
  </si>
  <si>
    <t>https://data.census.gov/table?q=DP1&amp;g=040XX00US15&amp;tid=DECENNIALDP2020.DP1</t>
  </si>
  <si>
    <t>Data Visualization</t>
  </si>
  <si>
    <t>Population Dashboard</t>
  </si>
  <si>
    <t>Total population, total housing units, average annual growth rate (population, housing units)</t>
  </si>
  <si>
    <t xml:space="preserve"> N</t>
  </si>
  <si>
    <t>Economic Data Warehouse</t>
  </si>
  <si>
    <t>https://dbedt.hawaii.gov/economic/datawarehouse/</t>
  </si>
  <si>
    <t>Population (Census), Population total, Population by race, Population by sex, Population by age, vital statistics</t>
  </si>
  <si>
    <t>DBEDT Long Range Projections 2045 Series: List of Appendix Tables</t>
  </si>
  <si>
    <t>Population projections by sex, age group</t>
  </si>
  <si>
    <t>U.S. Census Bureau, ACS</t>
  </si>
  <si>
    <t xml:space="preserve"> Hawaii Department of Health.</t>
  </si>
  <si>
    <t>Idaho</t>
  </si>
  <si>
    <t>Annual Estimates of the Resident Population for Incorporated Places in Idaho: April 1, 2020 to July 1, 2022</t>
  </si>
  <si>
    <t>2020, 2021, 2022 Population, Annual Yearly change</t>
  </si>
  <si>
    <t>Cities,Incorporated Places</t>
  </si>
  <si>
    <t>City/Town,I ncorporated Place</t>
  </si>
  <si>
    <t>City Population 1940-2020</t>
  </si>
  <si>
    <t>Census 1940 - 2020</t>
  </si>
  <si>
    <t>City</t>
  </si>
  <si>
    <t>1940, 2020</t>
  </si>
  <si>
    <t>Population of Idaho Counties 1920 - 2020</t>
  </si>
  <si>
    <t>Census 1920 - 2020</t>
  </si>
  <si>
    <t>1920, 2020</t>
  </si>
  <si>
    <t>demographics-2010-2019</t>
  </si>
  <si>
    <t>Population by age groups, race</t>
  </si>
  <si>
    <t>State, Region,County</t>
  </si>
  <si>
    <t>State, Region, County</t>
  </si>
  <si>
    <t>2010, 2019</t>
  </si>
  <si>
    <t>U.S. Census Population Estimates, 1969-2022</t>
  </si>
  <si>
    <t>Population estimates, Year to year population growth rate</t>
  </si>
  <si>
    <t>State, Region, County, MSA</t>
  </si>
  <si>
    <t>State, Region, County, Metropolitan Area</t>
  </si>
  <si>
    <t>1969, 2022</t>
  </si>
  <si>
    <t>State and Regional Projections 2019-2029</t>
  </si>
  <si>
    <t>Population Projections by age group, total</t>
  </si>
  <si>
    <t>Idaho Department of Health and Welfare</t>
  </si>
  <si>
    <t>Illinois</t>
  </si>
  <si>
    <t>Population Attributes: Illinois State (Decennial Census 2010 and 2020)</t>
  </si>
  <si>
    <t>https://extension.illinois.edu/ilcensus/population-attributes</t>
  </si>
  <si>
    <t>Total population, Population density, Population change</t>
  </si>
  <si>
    <t>Race and Ethnicity : Illinois (ACS 2017-2021)</t>
  </si>
  <si>
    <t>https://extension.illinois.edu/ilcensus/race-and-ethnicity</t>
  </si>
  <si>
    <t xml:space="preserve">Percentage </t>
  </si>
  <si>
    <t xml:space="preserve">ACS </t>
  </si>
  <si>
    <t>Indiana</t>
  </si>
  <si>
    <t>Census Counts, 1900 to 2020</t>
  </si>
  <si>
    <t>Yearly population</t>
  </si>
  <si>
    <t>State, County, Places (Cities and Towns), Townships</t>
  </si>
  <si>
    <t>State, County, City/Town, Township</t>
  </si>
  <si>
    <t>1900, 2020</t>
  </si>
  <si>
    <t>Population Estimates, 2020-2022</t>
  </si>
  <si>
    <t>2020, 2021, 2022 Population, Change 2021-2022</t>
  </si>
  <si>
    <t>Population by Age</t>
  </si>
  <si>
    <t>Population by age group</t>
  </si>
  <si>
    <t>Population by Race &amp; Ethnicity</t>
  </si>
  <si>
    <t>Population by race groups and origin</t>
  </si>
  <si>
    <t xml:space="preserve">Total population change </t>
  </si>
  <si>
    <t>Numeric Change in Population, Percent Change in Population: 2015 to 2025, 2015 to 2050</t>
  </si>
  <si>
    <t>County, region</t>
  </si>
  <si>
    <t>County, Region</t>
  </si>
  <si>
    <t xml:space="preserve"> Indiana State Department of Health (ISDH)</t>
  </si>
  <si>
    <t>School-Age Population</t>
  </si>
  <si>
    <t>Percent Change in Population Age 5 to 19: 2015 to 2025, 2015 to 2050</t>
  </si>
  <si>
    <t>Senior Citizens</t>
  </si>
  <si>
    <t>Percent Change in Population Ages 65 and Older, Percent Change in Population Ages 80 and Older : 2015 to 2025, 2015 to 2050</t>
  </si>
  <si>
    <t>Median Age</t>
  </si>
  <si>
    <t>2015 to 2025, 2015 to 2050</t>
  </si>
  <si>
    <t>Components of Change</t>
  </si>
  <si>
    <t>Natural Increase, Net migration: 2015 to 2025, 2015 to 2050, Components of Change 2015-2050</t>
  </si>
  <si>
    <t>Interactive Visualizations</t>
  </si>
  <si>
    <t>Number of seniors by age in Adams County, Percent of population ages 65 and older</t>
  </si>
  <si>
    <t>Components of change 2015-2050</t>
  </si>
  <si>
    <t>Population change, Births, deaths, natural increase, net international migration</t>
  </si>
  <si>
    <t>Indiana Population Projections by Race and Hispanic Origin 2005-2040</t>
  </si>
  <si>
    <t xml:space="preserve">Indiana Population Estimate and projections by 5-Year Age Group and Sex </t>
  </si>
  <si>
    <t xml:space="preserve">Indiana Population Projections </t>
  </si>
  <si>
    <t>http://www.stats.indiana.edu/pop_proj/</t>
  </si>
  <si>
    <t>Total (Functional groups, 5 year groups), Male(Functional groups, 5 year groups), Female (Functional groups, 5 year groups), Median age</t>
  </si>
  <si>
    <t>State, County, MSA, region</t>
  </si>
  <si>
    <t>State, County, Metropolitan Area,  Region</t>
  </si>
  <si>
    <t>Iowa</t>
  </si>
  <si>
    <t>Annual population estimates and rankings with numeric and percent change 2020-2022</t>
  </si>
  <si>
    <t>2020, 2021, 2022 Population, Percent change</t>
  </si>
  <si>
    <t>State, County, Metropolitan Statistical Area, Micropolitan Statistical area</t>
  </si>
  <si>
    <t>State, County, Metropolitan Area, Micropolitan Area</t>
  </si>
  <si>
    <t>Components of change 2020-2022</t>
  </si>
  <si>
    <t xml:space="preserve">2020, 2021, 2022 Population,  Total population change, Natural change, Births, deaths, Net migration </t>
  </si>
  <si>
    <t>Iowa County Population, Numeric change, Percent Change</t>
  </si>
  <si>
    <t>Population, Numeric Percent Change in a map</t>
  </si>
  <si>
    <t>Total population: 1850-2020</t>
  </si>
  <si>
    <t>1850, 2020</t>
  </si>
  <si>
    <t>Population change in Iowa: 2010-2020</t>
  </si>
  <si>
    <t>Total population and change (numeric and percent) in population</t>
  </si>
  <si>
    <t>State, County, City</t>
  </si>
  <si>
    <t>Age by Sex (Total population)</t>
  </si>
  <si>
    <t>Total population By age groups and gender</t>
  </si>
  <si>
    <t>State, County, City, Metropolitan Statistical Area, Micropolitan Statistical area, School district</t>
  </si>
  <si>
    <t>State, County, City/Town, Metropolitan Area, Micropolitan Area, School district</t>
  </si>
  <si>
    <t>Median age by sex, race, and Hispanic origin (Total population)</t>
  </si>
  <si>
    <t>Total population By age groups and gender, race and Hispanic origin</t>
  </si>
  <si>
    <t>Single-year of age, sex, race, and Hispanic origin (Total population)</t>
  </si>
  <si>
    <t>Total population By single-year age and gender, race and Hispanic origin</t>
  </si>
  <si>
    <t>State, County, City, Metropolitan Statistical Area, Micropolitan Statistical area, Combined statistical area</t>
  </si>
  <si>
    <t>State, County, City/Town, Metropolitan Area, Micropolitan Area, Combined Statistical Area</t>
  </si>
  <si>
    <t xml:space="preserve"> Population by five-year age groups and sex</t>
  </si>
  <si>
    <t>Total population By five-year age groups and gender, race and Hispanic origin</t>
  </si>
  <si>
    <t>The State Data Center also uses annual state and county projections produced by Woods &amp; Poole Economics, Inc.</t>
  </si>
  <si>
    <t>Kansas</t>
  </si>
  <si>
    <t>2020 Census Demographic Data Map Viewer</t>
  </si>
  <si>
    <t>Population, race, Hispanic origin</t>
  </si>
  <si>
    <t>Population Growth, Kansas and the U.S., 1860-2021, Selected Years</t>
  </si>
  <si>
    <t>Resident population, decennial growth rate, Kansas population as percentage of US population</t>
  </si>
  <si>
    <t>1860, 2021</t>
  </si>
  <si>
    <t>Population of Metropolitan Areas in Kansas, 2010-2021</t>
  </si>
  <si>
    <t>2020, 2010 population, numeric and percent change</t>
  </si>
  <si>
    <t>County, Metropolitan area</t>
  </si>
  <si>
    <t>County, Metropolitan Area</t>
  </si>
  <si>
    <t>Population of Cities in Kansas , April 1, 2020 - July 1, 2021</t>
  </si>
  <si>
    <t xml:space="preserve">2020, 2021 population, percent change </t>
  </si>
  <si>
    <t>Data Visualization/ Table Viewer</t>
  </si>
  <si>
    <t xml:space="preserve">Kansas Regional Data Portal </t>
  </si>
  <si>
    <t>Demographics: total population, Population by race/ethnicity, population by age, median age, components of population change, migration, educational attainment</t>
  </si>
  <si>
    <t>State, County, Economic region</t>
  </si>
  <si>
    <t xml:space="preserve"> Institute for Policy &amp; Social Research, The University of Kansas</t>
  </si>
  <si>
    <t>2010-2021</t>
  </si>
  <si>
    <t>Population Projections for Kansas, by Age and Gender, 2014-2044, Selected Years</t>
  </si>
  <si>
    <t xml:space="preserve">Population Projections By age group </t>
  </si>
  <si>
    <t>Population Projections for Kansas, by County, 2015-2045, Selected Years</t>
  </si>
  <si>
    <t>Population Projections</t>
  </si>
  <si>
    <t>Population Projections for Kansas, by County, People Age 65 and Over, 2015-2045, Selected Years</t>
  </si>
  <si>
    <t>Population Projections for People Age 65 and Over</t>
  </si>
  <si>
    <t>Kentucky</t>
  </si>
  <si>
    <t>Annual Estimates of the Resident Population for Counties in Kentucky: April 1, 2020 to July 1, 2022</t>
  </si>
  <si>
    <t>State, Area Development Districts, Counties</t>
  </si>
  <si>
    <t>State, Area Development District, County</t>
  </si>
  <si>
    <t>Cumulative Estimates of the Components of Population Change (2020-2022)</t>
  </si>
  <si>
    <t>Population by Sex and Age Group (2020-2021)</t>
  </si>
  <si>
    <t>Population by 5-year age group and sex</t>
  </si>
  <si>
    <t xml:space="preserve">Population by Sex, Age Group, Race and Hispanic Origin (2020-2022)    </t>
  </si>
  <si>
    <t>Population by 5-year age group sex, race and hispanic origin</t>
  </si>
  <si>
    <t>Total Population (2020-2022) for incorporated cities</t>
  </si>
  <si>
    <t>2020, 2021, 2022 Population, population change</t>
  </si>
  <si>
    <t>incorporated cities, counties</t>
  </si>
  <si>
    <t>Incorporated City, County</t>
  </si>
  <si>
    <t>Population and Household Projections</t>
  </si>
  <si>
    <t>https://louisville.app.box.com/s/ndp7uvqbi6xtsv1sd2ylntvaer02kklq</t>
  </si>
  <si>
    <t>Kentucky Cabinet for Health and Family Services</t>
  </si>
  <si>
    <t>Population by Sex and Five Year Age Group (includes total population, population in households, and population in group quarters)</t>
  </si>
  <si>
    <t>Population by Race and Ethnicity</t>
  </si>
  <si>
    <t>State, Area Development Districts</t>
  </si>
  <si>
    <t>State, Area Development District</t>
  </si>
  <si>
    <t>Louisiana</t>
  </si>
  <si>
    <t>Profile of Louisiana's Population</t>
  </si>
  <si>
    <t>https://data.census.gov/profile?g=040XX00US22</t>
  </si>
  <si>
    <t>Historical population estimates</t>
  </si>
  <si>
    <t>2010, 2020 Population, population change</t>
  </si>
  <si>
    <t>State; Parish; Place (i.e., city, town, village)</t>
  </si>
  <si>
    <t xml:space="preserve">State, Parish,  Place </t>
  </si>
  <si>
    <t>State and parish-level population projections 2010-2030</t>
  </si>
  <si>
    <t>Parish</t>
  </si>
  <si>
    <t>Maine</t>
  </si>
  <si>
    <t>Total Population in the State, Counties, and County Subdivisions</t>
  </si>
  <si>
    <t>2020, 2010 population, percent change</t>
  </si>
  <si>
    <t>State, Counties, County Subdivisions</t>
  </si>
  <si>
    <t>State, County, County Subdivision</t>
  </si>
  <si>
    <t>Population by Race &amp; Ethnicity in Counties</t>
  </si>
  <si>
    <t>By race/ethnicity-2020, 2010 population, number and percent change</t>
  </si>
  <si>
    <t>Population by Race &amp; Ethnicity in County Subdivisions</t>
  </si>
  <si>
    <t>By race/ethnicity-2020, 2010 population</t>
  </si>
  <si>
    <t>County Subdivisions</t>
  </si>
  <si>
    <t>County Subdivision</t>
  </si>
  <si>
    <t xml:space="preserve">Maine State and County Population Projections 2040 </t>
  </si>
  <si>
    <t>2020 population, 2025, 2030, 2035, 2040 projections</t>
  </si>
  <si>
    <t xml:space="preserve"> Office of Data, Research, and Vital Statistics in the Maine Department of Health and Human Services</t>
  </si>
  <si>
    <t>Maine City and Town Population Projections 2040</t>
  </si>
  <si>
    <t>2010, 2015, 2020 population, 2025, 2030, 2035, 2040 projections</t>
  </si>
  <si>
    <t>City, Town</t>
  </si>
  <si>
    <t>Maine State, County, and Town Population Projections, 2040</t>
  </si>
  <si>
    <t>https://www.maine.gov/dafs/economist/dashboard</t>
  </si>
  <si>
    <t>Age pyramid, Change map, Table data</t>
  </si>
  <si>
    <t>State, County, Town</t>
  </si>
  <si>
    <t>Maryland</t>
  </si>
  <si>
    <t>Population Estimates by Age, Race and Gender - April 1, 2020 Estimates Base to July 1, 2022</t>
  </si>
  <si>
    <t>List of tables with different estimates for age, race, and gender</t>
  </si>
  <si>
    <t>State, Region, Jurisdiction</t>
  </si>
  <si>
    <t>Human Services</t>
  </si>
  <si>
    <t>Municipal Population Estimates
April 1, 2020 to July 1, 2022</t>
  </si>
  <si>
    <t>List of tables with annual population estimates</t>
  </si>
  <si>
    <t>State, County, Incorporated places</t>
  </si>
  <si>
    <t>Population Estimates for Maryland's Jurisdictions: 2022</t>
  </si>
  <si>
    <t>State, Jurisdictions, County</t>
  </si>
  <si>
    <t>State, Jurisdiction, County</t>
  </si>
  <si>
    <t xml:space="preserve">Preliminary Historical and Projected Total Population for Maryland's Jurisdictions </t>
  </si>
  <si>
    <t>Estimates and projections in 10 year interval</t>
  </si>
  <si>
    <t>Massachusetts</t>
  </si>
  <si>
    <t>Population of Massachusetts Cities, Towns &amp; Counties: Census Counts and Estimates, 1930-2022</t>
  </si>
  <si>
    <t>Cities, Towns, County</t>
  </si>
  <si>
    <t>City/Town, County</t>
  </si>
  <si>
    <t>1930, 2022</t>
  </si>
  <si>
    <t>Massachusetts population estimates compare to other states</t>
  </si>
  <si>
    <t>Annual estimates, Annual change, Cumulative change, components of change</t>
  </si>
  <si>
    <t>Massachussetts Estimated Components of change</t>
  </si>
  <si>
    <t>Births, deaths, domestic and international migration</t>
  </si>
  <si>
    <t>county-level population estimates</t>
  </si>
  <si>
    <t>Estimated Components of change</t>
  </si>
  <si>
    <t>Annual estimates, Annual change, Cumulative change</t>
  </si>
  <si>
    <t>Massachussetts Population Projections</t>
  </si>
  <si>
    <t>Estimates and Projections 2000-2050</t>
  </si>
  <si>
    <t xml:space="preserve">Massachusetts Department of Public Health </t>
  </si>
  <si>
    <t xml:space="preserve">Michigan </t>
  </si>
  <si>
    <t>State Population Totals and Components of Change</t>
  </si>
  <si>
    <t>State, County, Metro and Micro Population areas, City, Town, Township</t>
  </si>
  <si>
    <t>State, County, Metro Population Area, Micro Population Area, City/Town, Township</t>
  </si>
  <si>
    <t>State Population Totals by Age, Sex, Race, and Ethnicity</t>
  </si>
  <si>
    <t>Population projections by 5-year</t>
  </si>
  <si>
    <t>By 5-year age group</t>
  </si>
  <si>
    <t>State, County, Planning Region, Prosperity Region</t>
  </si>
  <si>
    <t>Minnesota</t>
  </si>
  <si>
    <t>Population, Household, Persons per household</t>
  </si>
  <si>
    <t>State, County, Region, Cities, Townships</t>
  </si>
  <si>
    <t>State, County, Region, City/Town, Township</t>
  </si>
  <si>
    <t>Population projections by 5-year and 1-year</t>
  </si>
  <si>
    <t>By 5-year age group, race, total</t>
  </si>
  <si>
    <t>State, County, Region</t>
  </si>
  <si>
    <t>MN Department of Health</t>
  </si>
  <si>
    <t>Census 2020 Map Tool (block level)</t>
  </si>
  <si>
    <t>https://mn.gov/admin/demography/data-by-topic/population-data/2020-decennial-census/map-tool-block/</t>
  </si>
  <si>
    <t>Total population, total housing units, occupied housing units, vacant housing units</t>
  </si>
  <si>
    <t>Blocks, cities, towns</t>
  </si>
  <si>
    <t>Block, City/Town</t>
  </si>
  <si>
    <t>Mississippi</t>
  </si>
  <si>
    <t>Population and Housing estimates</t>
  </si>
  <si>
    <t>https://www.census.gov/programs-surveys/popest.html</t>
  </si>
  <si>
    <t>State-of-Mississippi-Population-Projections-2020-2050</t>
  </si>
  <si>
    <t>By 5-year age group, race, gender, total</t>
  </si>
  <si>
    <t xml:space="preserve"> Mississippi State Department of Health (MSDH), CDC</t>
  </si>
  <si>
    <t>Missouri</t>
  </si>
  <si>
    <t>Missouri Population Estimates - 2020-2021</t>
  </si>
  <si>
    <t>Population estimate, population change</t>
  </si>
  <si>
    <t>Population Trends with Demographics</t>
  </si>
  <si>
    <t>https://mcdc.missouri.edu/applications/population/trends/</t>
  </si>
  <si>
    <t>By broad age bins, race: Population estimate</t>
  </si>
  <si>
    <t>1990, 2020</t>
  </si>
  <si>
    <t>Population Estimates by Age</t>
  </si>
  <si>
    <t>https://mcdc.missouri.edu/applications/population/by-age/</t>
  </si>
  <si>
    <t>By  5-year age age, race: Population estimate</t>
  </si>
  <si>
    <t>State/County Annual Population Change</t>
  </si>
  <si>
    <t>https://mcdc.missouri.edu/applications/population/change/</t>
  </si>
  <si>
    <t>2000, 2021</t>
  </si>
  <si>
    <t>Missouri Population Projections - by County, Age, and Sex: 2000 to 2030</t>
  </si>
  <si>
    <t>List of tables</t>
  </si>
  <si>
    <t>Missouri Department of Health and Senior Services, Missouri Department of Corrections</t>
  </si>
  <si>
    <t xml:space="preserve">Guam </t>
  </si>
  <si>
    <t>Data Visualization/Table Viewer</t>
  </si>
  <si>
    <t>Housing and Population</t>
  </si>
  <si>
    <t>2010, 2020- Population and Housing</t>
  </si>
  <si>
    <t>State, Villages</t>
  </si>
  <si>
    <t>State, Village</t>
  </si>
  <si>
    <t>Demographic Total Dashboard</t>
  </si>
  <si>
    <t>Sex and age, Median age by sex, Race, Hispanic or latino origin, relationship, households by type</t>
  </si>
  <si>
    <t>Guam, Villages</t>
  </si>
  <si>
    <t>Nation, Village</t>
  </si>
  <si>
    <t>Did not find anything</t>
  </si>
  <si>
    <t>Puerto Rico</t>
  </si>
  <si>
    <t>Annual population estimates of the municipalities since 1950</t>
  </si>
  <si>
    <t>Total population</t>
  </si>
  <si>
    <t>Puerto Rico, states</t>
  </si>
  <si>
    <t>Nation, State</t>
  </si>
  <si>
    <t>Annual Estimates of the Resident Population for Puerto Rico Municipios: April 1, 2020 to July 1, 2022</t>
  </si>
  <si>
    <t>Puerto Rico, municipalities</t>
  </si>
  <si>
    <t>Nation, Municipality</t>
  </si>
  <si>
    <t>Annual and Cumulative Estimates of Resident Population Change for Municipios in Puerto Rico and Municipio Rankings: April 1, 2020 to July 1, 2022</t>
  </si>
  <si>
    <t>2020, 2021, 2022 Population, annual change, cumulative change</t>
  </si>
  <si>
    <t>Annual Estimates of the Resident Population by Single Year of Age and Sex for the Puerto Rico Commonwealth: April 1, 2020 to July 1, 2022</t>
  </si>
  <si>
    <t>By single year age and sex</t>
  </si>
  <si>
    <t>Annual Estimates of the Resident Population for Selected Age Groups by Sex for Puerto Rico Commonwealth: April 1, 2020 to July 1, 2022</t>
  </si>
  <si>
    <t>By 5-year age and sex</t>
  </si>
  <si>
    <t>Insurance</t>
  </si>
  <si>
    <t>Table</t>
  </si>
  <si>
    <t>Health Insurance Coverage, by State 1999 to 2011</t>
  </si>
  <si>
    <t xml:space="preserve">All People, Not Covered, Covered by Private or Government Health Insurance; Private Health Insurance - Total, Employment-based, Direct Purchase; Government Health Insurance - Total, Medicaid, Medicare, Military Health Care	
	</t>
  </si>
  <si>
    <t>CPS</t>
  </si>
  <si>
    <t>Contains tables for every state</t>
  </si>
  <si>
    <t>Educational Attainment</t>
  </si>
  <si>
    <t>Estimates of Educational Attainment of the Population 25 Years Old and Older for Counties in Alabama, 2009-2013</t>
  </si>
  <si>
    <t>Percent high school graduate or higher, Percent bachelor's degree or higher, MOE</t>
  </si>
  <si>
    <t>Estimates of Educational Attainment of the Population 25 Years Old and Older for Cities and Towns in Alabama, 2009-2013</t>
  </si>
  <si>
    <t>City/Town, Census designated place</t>
  </si>
  <si>
    <t>Physicians</t>
  </si>
  <si>
    <t>Physicians by County of Licensure in Alabama: May 2010</t>
  </si>
  <si>
    <t>Total In-State Doctors</t>
  </si>
  <si>
    <t>Alabama Medical Licensure Commission</t>
  </si>
  <si>
    <t>Health Insurance Coverage Status by Age for Counties in Alabama: 2009 ACS-update</t>
  </si>
  <si>
    <t>Female, Male; Under 6 years, 6 to 17 years, 18 to 24 years, 25 to 34 years, 35 to 44 years, 45 to 54 years, 55 to 64 years, 65 to 74 years, 75 years and over; With health insurance coverage, No health insurance coverage; Estimate, MOE</t>
  </si>
  <si>
    <t>For Alabama counties with 65,000 population or greater</t>
  </si>
  <si>
    <t>Health Insurance Coverage Status and Type of Coverage in Alabama: 1999-2010</t>
  </si>
  <si>
    <t>Health Insurance Coverage Status and Type of Coverage by State and Age for All People: 2010</t>
  </si>
  <si>
    <t>All Persons, Under 65 years, Under 18 years, 65 years and over; Covered by some type of health insurance, Covered by private health insurance, Covered by government health insurance, Covered by Medicaid, Covered by Medicare</t>
  </si>
  <si>
    <t>Health Insurance Coverage Status by State for All People: 2010</t>
  </si>
  <si>
    <t>Total Population (Estimate), Covered, Not Covered</t>
  </si>
  <si>
    <t>Health Insurance Coverage Status and Type of Coverage by County and Age: 2009</t>
  </si>
  <si>
    <t>Uninsured, Demographic Group for All Income Levels</t>
  </si>
  <si>
    <t xml:space="preserve">Small Area Health Insurance Estimates </t>
  </si>
  <si>
    <t>For persons under 65 years of age</t>
  </si>
  <si>
    <t>Small Area Health Insurance Estimates for Alabama Counties, 2010</t>
  </si>
  <si>
    <t>Total, Uninsured, Insured</t>
  </si>
  <si>
    <t>Small Area Health Insurance Estimates for States, 2010</t>
  </si>
  <si>
    <t>Alabama Counties Level of Educational Attainment 2006-2010</t>
  </si>
  <si>
    <t>Male, Female, No schooling completed, Nursery to 4th grade, 5th and 6th grade, 7th and 8th grade, 9th grade, 10th grade, 11th grade, 12th grade (no diploma), High school graduate/GED, Some college, Associate's degree, Bachelor's degree, Master's degree, Professional school degree, Doctorate degree; High school or equivalent, Associate's, Bachelor's degree or higher</t>
  </si>
  <si>
    <t>Population 25 years and over</t>
  </si>
  <si>
    <t>School Districts</t>
  </si>
  <si>
    <t>Poverty Estimates for Alabama School Districts, 2014</t>
  </si>
  <si>
    <t>Name, Estimated Total Population, Estimated Population 5-17, Estimated number of relevant children 5 to 17 years old in poverty who are related to the householder</t>
  </si>
  <si>
    <t xml:space="preserve">Small Area Income and Poverty Estimates </t>
  </si>
  <si>
    <t>Education Estimates</t>
  </si>
  <si>
    <t>Median Earnings by Educational Attainement for the US and Alabama, 2021</t>
  </si>
  <si>
    <t>Less than high school graduate, High school graduate, Some college or associate's degree, Bachelor's degree, Graduate or professional degree; Male, Female, Total; US Estimate, Alabama Estimate</t>
  </si>
  <si>
    <t>Population 25 years and over with earnings; 2021 inflation-adjusted dollars</t>
  </si>
  <si>
    <t>School Districts, 2020 to 2022</t>
  </si>
  <si>
    <t>Census Total (April 2020), Estimate (July 2021, July 2022)</t>
  </si>
  <si>
    <t>Department of Labor and Workforce Development</t>
  </si>
  <si>
    <t>Map, Report</t>
  </si>
  <si>
    <t>Alaska School Districts</t>
  </si>
  <si>
    <t>District Boundary, Highway, Road, CDP, City, Borough/CA</t>
  </si>
  <si>
    <t>Incidence Rates</t>
  </si>
  <si>
    <t>Incidence rates of injuries and illnesses by selected industries</t>
  </si>
  <si>
    <t>Industry; Total Recordable Cases; Cases with days away from work, job restriction, or restriction; Other recordable cases</t>
  </si>
  <si>
    <t>Bureau of Labor Statistics, Department of Labor, Survey of Occupational Injuries and Illnesses</t>
  </si>
  <si>
    <t>Numbers of injuries and illnesses by selected industries</t>
  </si>
  <si>
    <t>Incidence rates of injuries and illnesses by industry sector and employment size</t>
  </si>
  <si>
    <t>Industry Sector, All establishments, Establishment employment size</t>
  </si>
  <si>
    <t>Incidence rates and number of injuries by selected industries</t>
  </si>
  <si>
    <t>Industry, Incidence Rates, Numbers (in thousands)</t>
  </si>
  <si>
    <t>Incidence rates and number of illnesses by industry sector and category of illness</t>
  </si>
  <si>
    <t>Industry Sector, Total Cases, Skin disorders, Respiratory conditions, Poisonings, Hearing loss, All other illnesses</t>
  </si>
  <si>
    <t>Incidence rates of injuries and illnesses by industry</t>
  </si>
  <si>
    <t>Numbers of injuries and illnesses by industry</t>
  </si>
  <si>
    <t>Incidence rates of illnesses by industry</t>
  </si>
  <si>
    <t>Industry, Total Cases, Skin disorders, Respiratory conditions, Poisonings, Hearing loss, All other illnesses</t>
  </si>
  <si>
    <t>Numbers of illnesses by industry</t>
  </si>
  <si>
    <t>Incidence rates and number of injuries by industry</t>
  </si>
  <si>
    <t>Industry, Incidence Rates, Number of cases (thousands), Percent relative standard errors</t>
  </si>
  <si>
    <t>Incidence rates of injuries and illnesses by industry sector</t>
  </si>
  <si>
    <t>Industry Sector; Total Recordable Cases; Cases with days away from work, job transfer, or restriction</t>
  </si>
  <si>
    <t>Incidence rates per 100 full-time workers of nonfatal occupational injuries and illnesses, 2021</t>
  </si>
  <si>
    <t>Private industry; Goods-producing; Natural resources and mining; Construction; Manufacturing; Service-producing; Trade, transportation, and utilities; Information; Finance, insurance, and real estate; Professional and business services; Educational and health services; Leisure, entertainment, and hospitality; Other services (except public admin)</t>
  </si>
  <si>
    <t>Department of Labor, Bureau of Labor Statistics</t>
  </si>
  <si>
    <t>Population by Education</t>
  </si>
  <si>
    <t>Less than high school graduate, High school graduate, Some college or associate's degree, Bachelor's degree, Graduate or professional degree</t>
  </si>
  <si>
    <t>Disability</t>
  </si>
  <si>
    <t>Population by Disability</t>
  </si>
  <si>
    <t>With any disability</t>
  </si>
  <si>
    <t>Arizona School Districts: Population by race and Hispanic Origin, 2010 and 2020</t>
  </si>
  <si>
    <t>Total Population, Hispanic or Latino, Not Hispanic or Latino, White alone, Black or African American alone, American Indian &amp; Alaska Native alone, Asian alone or Native Hawaiian &amp; Other Pacific Islander alone, Some Other Race alone or Two or More races</t>
  </si>
  <si>
    <t>County, School District</t>
  </si>
  <si>
    <t>Arizona School Districts: Under 18 Population by race and Hispanic Origin, 2010 and 2020</t>
  </si>
  <si>
    <t>Arizona School Districts: 18 and Over Population by race and Hispanic Origin, 2010 and 2020</t>
  </si>
  <si>
    <t>Pyramid for elementary school districts in Arizona</t>
  </si>
  <si>
    <t>School District, Ethnicity, Sex, Age, Population</t>
  </si>
  <si>
    <t>Pyramid for secondary (union high) school districts in Arizona</t>
  </si>
  <si>
    <t>Pyramid for unified school districts in Arizona</t>
  </si>
  <si>
    <t>Health Care</t>
  </si>
  <si>
    <t>Health Care and Social Assistance: Summary Statistics for Arkansas: 2017 </t>
  </si>
  <si>
    <t>Meaning of Tax Status Code; Number of Firms; Number of Establishments, Sales, value of shipments, or revenue; Annual payroll; First-quarter payroll; Number of employees; Operating expenses; Range indicating percent of total annual payroll; Range indicating percent of total employees imputed</t>
  </si>
  <si>
    <t>State, County, MSA, Place</t>
  </si>
  <si>
    <t>Education Services</t>
  </si>
  <si>
    <t>Educational Services: Summary Statistics for Arkansas: 2017 </t>
  </si>
  <si>
    <t>Social Characteristics California by Race and Hispanic Origin</t>
  </si>
  <si>
    <t>School Enrollment; Educational Attainment</t>
  </si>
  <si>
    <t>Health Estimates</t>
  </si>
  <si>
    <t>2021 American Community (1-year estimates) Survey Health Insurance Coverage</t>
  </si>
  <si>
    <t xml:space="preserve">Civilian noninstitutionalized population Estimate, Civilian noninstitutionalized population MOE, Civilian noninstitutionalized population-With Health Insurance Coverage,   Civilian Noninstitutionalized Population - With health insurance coverage - private health insurance (alone or with public coverage),  Civilian Noninstitutionalized Population - With health insurance coverage - public coverage (alone or with private coverage), Civilian Noninstitutionalized Population - No health insurance coverage </t>
  </si>
  <si>
    <t xml:space="preserve">State, County, City, Census designated place   </t>
  </si>
  <si>
    <t>65000+ population</t>
  </si>
  <si>
    <t>2021 American Community (1-year estimates) Survey Educational Attainement</t>
  </si>
  <si>
    <t>Educational Attainment; Median Earnings by Educational Attainement</t>
  </si>
  <si>
    <t xml:space="preserve">State, County, City, Census designated place  </t>
  </si>
  <si>
    <t>2016-2020 American Community Survey (5-year estimates) Selected Housing Characteristics</t>
  </si>
  <si>
    <t>State, County, City, Census designated place</t>
  </si>
  <si>
    <t>Educational Attainment; Median Earnings by Educational Attainment</t>
  </si>
  <si>
    <t>Education/Health Estimates</t>
  </si>
  <si>
    <t>2020 American Community Survey (1-year estimates) Experimental Data Tables- Social</t>
  </si>
  <si>
    <t>School Enrollment by Level of School for the Population 3 Years and Over, Educational Attainment for the Population 25 Years and Over, Disability Status by Age, Types of Disability</t>
  </si>
  <si>
    <t>Changes in Colorado's Educational Attainment 2010 to 2019</t>
  </si>
  <si>
    <t>Educational attainment, Place of birth, Residence category, Race and ethnicity, White-Non Hispanic by place of birth, Other people of color by place of birth</t>
  </si>
  <si>
    <t>Education Characteristics</t>
  </si>
  <si>
    <t>Data Visualization, Table</t>
  </si>
  <si>
    <t>Connected Measured by 2020 ACS</t>
  </si>
  <si>
    <t>Percent with bachelor's degree or higher,</t>
  </si>
  <si>
    <t>Health Characteristics</t>
  </si>
  <si>
    <t>Percent with health inurance, Households receiving SNAP/food stamps, People with a disability</t>
  </si>
  <si>
    <t>Health Counts</t>
  </si>
  <si>
    <t>Children with Asthma</t>
  </si>
  <si>
    <t>asthma</t>
  </si>
  <si>
    <t>State, School District</t>
  </si>
  <si>
    <t>Lung Cancer Deaths</t>
  </si>
  <si>
    <t>lung cancer deaths</t>
  </si>
  <si>
    <t>Suicide</t>
  </si>
  <si>
    <t>deaths</t>
  </si>
  <si>
    <t>Health Insurance Coverage</t>
  </si>
  <si>
    <t>With private health inurance, with public health insurance, Without health insurance</t>
  </si>
  <si>
    <t>Town</t>
  </si>
  <si>
    <t>Medicaid</t>
  </si>
  <si>
    <t>medicaid</t>
  </si>
  <si>
    <t>Connecticut Department of Social Services</t>
  </si>
  <si>
    <t>SNAP</t>
  </si>
  <si>
    <t>SNAP Recipients</t>
  </si>
  <si>
    <t>snap recipients</t>
  </si>
  <si>
    <t xml:space="preserve">Supplemental Nutrition Assistance Program (DSS) </t>
  </si>
  <si>
    <t xml:space="preserve">Mental Health </t>
  </si>
  <si>
    <t>Mental Health</t>
  </si>
  <si>
    <t>Any Mental Illness in the Past Year, Had at Least One Major Depressive Episode in the Past Year, Had Serious Thoughts of Suicide in the Past Year, Serious Mental Illness in the Past Year, Any Mental Illness in the Past Year, Had at Least One Major Depressive Episode in the Past Year, Had Serious Thoughts of Suicide in the Past Year, Serious Mental Illness in the Past Year, Any Mental Illness in the Past Year, Had at Least One Major Depressive Episode in the Past Year</t>
  </si>
  <si>
    <t>Substance Abuse and Mental Health Services Administration</t>
  </si>
  <si>
    <t>Mental Health and Substance Abuse Treatment Admissions</t>
  </si>
  <si>
    <t>Admission type: Mental Health, Mental Health and Substance Abuse, Substance Abuse</t>
  </si>
  <si>
    <t>Connecituct Department of Mental Health and Addiction Services</t>
  </si>
  <si>
    <t>Alcohol Induced Deaths</t>
  </si>
  <si>
    <t>alcohol induced deaths</t>
  </si>
  <si>
    <t>Drug Induced Deaths</t>
  </si>
  <si>
    <t>drug induced deaths</t>
  </si>
  <si>
    <t>Fetal and infant mortality</t>
  </si>
  <si>
    <t>fetal, infant, neonatal, postneonatal</t>
  </si>
  <si>
    <t>Accidental Drug Related Deaths by Drug Type</t>
  </si>
  <si>
    <t>any opiod</t>
  </si>
  <si>
    <t>Connecticut Office of the Chief Medical Examiner</t>
  </si>
  <si>
    <t>Accidental Drug Related Deaths by Individual Drugs Detected</t>
  </si>
  <si>
    <t>accidental drug related deaths</t>
  </si>
  <si>
    <t>Substance Abuse Treatment Admissions</t>
  </si>
  <si>
    <t>admissions</t>
  </si>
  <si>
    <t>Education Counts</t>
  </si>
  <si>
    <t>PreK Experience</t>
  </si>
  <si>
    <t>prek experience</t>
  </si>
  <si>
    <t>Connecticut State Department of Education</t>
  </si>
  <si>
    <t>Pre-K Students</t>
  </si>
  <si>
    <t>prek students</t>
  </si>
  <si>
    <t>Pre-school Staff Education and Training</t>
  </si>
  <si>
    <t>bachelor's or more</t>
  </si>
  <si>
    <t>Connecticut Office of Early Childhood</t>
  </si>
  <si>
    <t>less than high school diploma, high school diploma or ged or equivalent, some college, assoociate's degree, bachelor's degree or higher</t>
  </si>
  <si>
    <t>Graduation Rates</t>
  </si>
  <si>
    <t>Four Year Cohort Graduation Rates by All Students</t>
  </si>
  <si>
    <t>four year graduation rate</t>
  </si>
  <si>
    <t xml:space="preserve">School Attendence </t>
  </si>
  <si>
    <t>Chronic Absenteeism by All Students</t>
  </si>
  <si>
    <t>chronically absent students</t>
  </si>
  <si>
    <t>School Enrollment</t>
  </si>
  <si>
    <t>Suspension Rates by All Students</t>
  </si>
  <si>
    <t>suspensions</t>
  </si>
  <si>
    <t>Educational Need</t>
  </si>
  <si>
    <t>Eligible for Free or Reduced Price Lunch, English Language Learner, Special Education</t>
  </si>
  <si>
    <t>Public vs Private Enrollment</t>
  </si>
  <si>
    <t>private, public</t>
  </si>
  <si>
    <t xml:space="preserve">Special Education by District
</t>
  </si>
  <si>
    <t>Not special education, special education</t>
  </si>
  <si>
    <t>Student Enrollment by All Students</t>
  </si>
  <si>
    <t>school enrollment</t>
  </si>
  <si>
    <t>4-year Cohort High School Graduation Rate</t>
  </si>
  <si>
    <t>graduation rate, race, gender, special education, english language learner, eligible for free or reduced-price meals, graduation status</t>
  </si>
  <si>
    <t>Chronic Absenteeism</t>
  </si>
  <si>
    <t>chronically absent students, grade, race, english language learner, eligible for free or reduced-price meals, students with disabilities</t>
  </si>
  <si>
    <t>Kindergarten Entrance Inventory Results by Quartile</t>
  </si>
  <si>
    <t>kindergarten inventory</t>
  </si>
  <si>
    <t>Student Enrollment</t>
  </si>
  <si>
    <t>student enrollment</t>
  </si>
  <si>
    <t>Suspension Rate by Grade Range</t>
  </si>
  <si>
    <t>Student Performance</t>
  </si>
  <si>
    <t>Smarter Balanced by All Students Performance</t>
  </si>
  <si>
    <t>ELA, Math, Level 1 not met, level 2 approaching, level 3 met, level 4 exceeded, level 3 and 4 met or exceeded</t>
  </si>
  <si>
    <t>Kindergarten Entrance Inventory Results</t>
  </si>
  <si>
    <t xml:space="preserve">District of Colombia </t>
  </si>
  <si>
    <t>District of Colombia Profile, 2017-2021</t>
  </si>
  <si>
    <t>High school or higher, Bachelor's degree or higher, High school graduate, College graduate</t>
  </si>
  <si>
    <t>Households receiving food stamps/SNAP, Disability rate, Percent uninsured, 65 and older with no health insurance, Annual household spending on healthcare</t>
  </si>
  <si>
    <t>Ward Profiles</t>
  </si>
  <si>
    <t>Bachelor's degree or higher</t>
  </si>
  <si>
    <t>Disability rate</t>
  </si>
  <si>
    <t>Percentage of People with a Bachelor's Degree or Higher by Ward, 2017-2021</t>
  </si>
  <si>
    <t>Percentage of People Living with a Disability by Ward, 2017-2021</t>
  </si>
  <si>
    <t>Percentage of People with a Bachelor's Degree or Higher by Census Tract, 2017-2021</t>
  </si>
  <si>
    <t>Percent of the population 25 years and older with a bachelor’s degree or higher</t>
  </si>
  <si>
    <t>Percentage of People without Health Insurance by Census Tract, 2017-2021</t>
  </si>
  <si>
    <t>Number of people without any type of health insurance coverage</t>
  </si>
  <si>
    <t>Social Characteristics of DC</t>
  </si>
  <si>
    <t>EDUCATIONAL ATTAINMENT, SCHOOL ENROLLMENT</t>
  </si>
  <si>
    <t>State, Ward, Tract</t>
  </si>
  <si>
    <t>DISABILITY STATUS OF THE CIVILIAN NONINSTITUTIONALIZED POPULATION, FERTILITY</t>
  </si>
  <si>
    <t>State, Ward, Census Tract</t>
  </si>
  <si>
    <t>Public School Enrollment</t>
  </si>
  <si>
    <t>Public School Enrollment, SY2010-11 to SY2021-22</t>
  </si>
  <si>
    <t>DC Office of Planning</t>
  </si>
  <si>
    <t>DC State Data Center 2017-2021 ACS Key Demographic Indicators</t>
  </si>
  <si>
    <t>percent High School Graduate or Higher, percent Bachelor’s Degree or Higher</t>
  </si>
  <si>
    <t>Data Download</t>
  </si>
  <si>
    <t>School District Profiles</t>
  </si>
  <si>
    <t>School choice, school age popoulation and enrollment, Commuting Patterns, Building permits: number of permits, Public school graduation rate</t>
  </si>
  <si>
    <t>Florida Department of Education</t>
  </si>
  <si>
    <t>Children and Population Under 65 Years Uninsured 2010</t>
  </si>
  <si>
    <t>Population under 65 years, Population under 19 years</t>
  </si>
  <si>
    <t>Small Area Health Insurance Estimates</t>
  </si>
  <si>
    <t>Children in Poverty by School District 2011</t>
  </si>
  <si>
    <t>Population age 5 to 17 Years, Percentage of Population 5 to 17 in Poverty</t>
  </si>
  <si>
    <t>Small Area Income and Poverty Estimates</t>
  </si>
  <si>
    <t>Demographic, Social, Economic, and Housing Characteristics for Selected Race Groups in Hawaii (March 2018)</t>
  </si>
  <si>
    <t>Fertility, Health insurance coverage</t>
  </si>
  <si>
    <t>Educational Attainment in Hawaii (January 2016)</t>
  </si>
  <si>
    <t>Hawaii State Department of Business</t>
  </si>
  <si>
    <t>HSDC 2013-1 Selected Population and Housing Characteristics by County, Island and Census Tract for the State of Hawaii: 2007-2011 (February 2013)</t>
  </si>
  <si>
    <t>Population With a High School Degree or Higher, Population With a Bachelor’s Degree or Higher</t>
  </si>
  <si>
    <t>Island, County, Census Tract</t>
  </si>
  <si>
    <t>Geographic Area (PUMA) Statistics:Income, Employment, Education, and Housing Characteristics, 2005 to 2008 (February 2011)</t>
  </si>
  <si>
    <t>School enrollment by type of school by grade level, Education attainment by employment status for the population
 25 to 64 years, Characteristics of public school student, Percent of 10th graders with Terra Nova Test at average or above, Share of students enrolled in public school</t>
  </si>
  <si>
    <t>County, PUMA</t>
  </si>
  <si>
    <t>Health Care and Social Assistance Sector in Hawaii – February 2016</t>
  </si>
  <si>
    <t>Percentage of High School Graduate or Higher (by Census Tract, 2011 5yr ACS)</t>
  </si>
  <si>
    <t>Percent High School Graduate or Higher</t>
  </si>
  <si>
    <t>Island, Census Tract</t>
  </si>
  <si>
    <t>EQUITY PORTAL - EDUCATION ATTAINMENT BY COUNTY 5 YEAR ESTIMATES</t>
  </si>
  <si>
    <t>Bachelors degree or higher, High school graduate or equivalent, Less than high school diploma, Some college or associate's degree</t>
  </si>
  <si>
    <t>EQUITY PORTAL - EDUCATION ATTAINMENT STATEWIDE 1 YEAR ESTIMATES</t>
  </si>
  <si>
    <t>EQUITY PORTAL - HIGH SCHOOL GRADUATION RATE</t>
  </si>
  <si>
    <t>graduation rate</t>
  </si>
  <si>
    <t>Indiana Department of Education</t>
  </si>
  <si>
    <t>Adult education</t>
  </si>
  <si>
    <t>ADULT EDUCATION LOCATIONS</t>
  </si>
  <si>
    <t>Program, Location</t>
  </si>
  <si>
    <t>Indiana Department of Workforce Development</t>
  </si>
  <si>
    <t>EDUCATIONAL ATTAINMENT</t>
  </si>
  <si>
    <t>Age group, educational attainment</t>
  </si>
  <si>
    <t>INDIANA COMPOSITE EDUCATION SCORE</t>
  </si>
  <si>
    <t>composite score, composite education value</t>
  </si>
  <si>
    <t>Indiana Department of Workforce Development, Bureau of Labor Statistics, Department of Labor</t>
  </si>
  <si>
    <t>School Enrollments</t>
  </si>
  <si>
    <t>INDIANA PUBLIC COLLEGE ENROLLMENTS</t>
  </si>
  <si>
    <t>Resident, Non-resident, Program degree level, Number enrolled</t>
  </si>
  <si>
    <t xml:space="preserve">Indiana Commission for Higher Education Data Submission System </t>
  </si>
  <si>
    <t>INDIANA PUBLIC COLLEGE COMPLETERS</t>
  </si>
  <si>
    <t>Resident, Non-resident, Program degree level, Number completed</t>
  </si>
  <si>
    <t>Indiana Commission for Higher Education Data Submission System</t>
  </si>
  <si>
    <t>INDIANA BIRTHS AND INFANT DEATHS</t>
  </si>
  <si>
    <t>Indiana State Department of Health</t>
  </si>
  <si>
    <t>Health insurance coverage by age</t>
  </si>
  <si>
    <t>With health insurance coverage, Without health insurance coverage</t>
  </si>
  <si>
    <t>State, County, City, Metropolitan Area, School District</t>
  </si>
  <si>
    <t>Health insurance coverage by educational attainment</t>
  </si>
  <si>
    <t>Less than high school graduate, High school graduate, Some college or associate's degree, Bachelor's degree or higher, No health insurance coverage, With private health insurance, With public coverage</t>
  </si>
  <si>
    <t>Education Estimate</t>
  </si>
  <si>
    <t>Median earnings by sex by educational attainment</t>
  </si>
  <si>
    <t>Less than high school graduate, High school graduate, Some college or associate's degree, Bachelor's degree, Graduate or professional degree, Earnings estimate</t>
  </si>
  <si>
    <t>Employment status by educational attainment</t>
  </si>
  <si>
    <t>Less than high school graduate, High school graduate, Some college or associate's degree, Bachelor's degree or higher, Civilian employed, Civilian unemployed, In armed forces, Not in labor force</t>
  </si>
  <si>
    <t>Poverty status by sex and educational attainment</t>
  </si>
  <si>
    <t>Less than high school graduate, High school graduate, Some college or associate's degree, Bachelor's degree or higher, Income in the past 12 months below poverty level, Income in the past 12 months at or above poverty level</t>
  </si>
  <si>
    <t>Place of birth by educational attainment</t>
  </si>
  <si>
    <t>Less than high school graduate, High school graduate, Some college or associate's degree, Bachelor's degree, Graduate or professional degree, Born in state of residence, Born in other state in the United States, Native born outside the United States, Foreign born</t>
  </si>
  <si>
    <t>Population with a high school degree and Bachelor's degree or higher</t>
  </si>
  <si>
    <t>High school graduate or higher, Bachelor's degree or higher, Race and hispanic origin</t>
  </si>
  <si>
    <t>Sex by educational attainment</t>
  </si>
  <si>
    <t>No schooling completed, Nursery to 4th grade, 5th and 6th grade, 7th and 8th grade, 9th grade, 10th grade, 11th grade, 12th grade no diploma, high school graduate, some college, associate's degree, bachelor's degree, doctorate degree, professional school degree, master's degree</t>
  </si>
  <si>
    <t>Medicaid Recipients and Benefits</t>
  </si>
  <si>
    <t>Average monthly recipients, Total annual medicaid benefits, Average benefits per person per month</t>
  </si>
  <si>
    <t>Iowa Department of Human Services</t>
  </si>
  <si>
    <t>Iowa Supplemental Nutrition Assistance Program</t>
  </si>
  <si>
    <t>Average monthly households, Average monthly recipients, Total annual food program benefits, Average benefits per person per month</t>
  </si>
  <si>
    <t>Births and Deaths</t>
  </si>
  <si>
    <t>Births, deaths, and natural change</t>
  </si>
  <si>
    <t>Births, Deaths, Natural change</t>
  </si>
  <si>
    <t>Medicaid reimbursed births</t>
  </si>
  <si>
    <t>Total births, Medicaid reimbursed births, Percent medicaid reimbursed births</t>
  </si>
  <si>
    <t>State Quick Facts</t>
  </si>
  <si>
    <t>Kansas Data Archive</t>
  </si>
  <si>
    <t xml:space="preserve">Adult care homes, Adult care homes: number of beds, Assisted living homes, Number of asisted living beds, Births (live), Deaths, Mariages, Divorces and annulments, Cancer deaths, Cancer death rates (per 10,000 population), Induced abortions, M.D. Physicians, D.O. Physicians, Per person physician, Dentists, Perons per dentist, Number of hospitals, Number of hospital beds, Reporting hospitals </t>
  </si>
  <si>
    <t xml:space="preserve">County, State </t>
  </si>
  <si>
    <t>Kansas Department of Health and Environment, Kansas Department on Aging, Kansas Health Policy Authority, American Hospital Association, American Hospital Association Guide to the Health Care Field</t>
  </si>
  <si>
    <t>Attainment, High school dropouts, High school dropout rate, High school graduates, Percent high school graduate or higher, Percent bachelor's degree or higher, Public school enrollment (FTE), Public school enrollment (Headcount), Pupil/Teacher ratio, Total number of teachers</t>
  </si>
  <si>
    <t>Kansas State Department of Education</t>
  </si>
  <si>
    <t>Total Annual Live Births</t>
  </si>
  <si>
    <t>Total annual live births</t>
  </si>
  <si>
    <t>State, Area development district, County</t>
  </si>
  <si>
    <t>Kentucky Cabinet for Health and Family Services, Department for Public Health</t>
  </si>
  <si>
    <t>Total Annual Live Deaths</t>
  </si>
  <si>
    <t>Total annual live deaths</t>
  </si>
  <si>
    <t>Build Your Own Spreadsheet</t>
  </si>
  <si>
    <t>Births and deaths per year</t>
  </si>
  <si>
    <t>Educational Characteristics</t>
  </si>
  <si>
    <t>Educational Attainment and Income Characteristics of Migrants, 2007 to 2011  (Foreign Migration)</t>
  </si>
  <si>
    <t>SDC Tableau Map</t>
  </si>
  <si>
    <t>Percent of population with bachelor degree</t>
  </si>
  <si>
    <t>Table Downlod</t>
  </si>
  <si>
    <t>https://data.census.gov/table?q=S1501+&amp;g=040XX00US25$0600000,25&amp;tid=ACSST5Y2021.S1501</t>
  </si>
  <si>
    <t>Michigan</t>
  </si>
  <si>
    <t>School District Data</t>
  </si>
  <si>
    <t>School district population</t>
  </si>
  <si>
    <t>Comparative Social Characteristics in the United States</t>
  </si>
  <si>
    <t>Fertility, Disability status of the civilian noninstitutionalized population</t>
  </si>
  <si>
    <t>https://data.census.gov/table?q=ACSCP1Y2017.CP02&amp;g=040XX00US28&amp;tid=ACSCP1Y2021.CP02</t>
  </si>
  <si>
    <t>School enrollment, Educational attainment</t>
  </si>
  <si>
    <t>Small area health insurance estimates</t>
  </si>
  <si>
    <t>Number insured, Number uninsured</t>
  </si>
  <si>
    <t>Guam</t>
  </si>
  <si>
    <t>Demographic Profile Dashboard</t>
  </si>
  <si>
    <t>School enrollment, Educational attainment, Vocational training</t>
  </si>
  <si>
    <t>Fertility, Disability status for the civilian population in households</t>
  </si>
  <si>
    <t>Public Schools</t>
  </si>
  <si>
    <t>Dataset on public schools</t>
  </si>
  <si>
    <t xml:space="preserve">National Center for Education Statistics </t>
  </si>
  <si>
    <t xml:space="preserve">Post-Secondary </t>
  </si>
  <si>
    <t>Post-secondary education</t>
  </si>
  <si>
    <t>Annual vital statistics report</t>
  </si>
  <si>
    <t>births, basic mortality, mortality from multiple causes, period infant mortality, cohort infant mortality, fetal mortalirt, marriages</t>
  </si>
  <si>
    <t xml:space="preserve">Centers for Disease Control and Prevention </t>
  </si>
  <si>
    <t>Public school enrollment by grade and by year</t>
  </si>
  <si>
    <t>Department of Education</t>
  </si>
  <si>
    <t>Student Poverty</t>
  </si>
  <si>
    <t>Number of students below the poverty level</t>
  </si>
  <si>
    <t>2020 to 2022 County Housing Units</t>
  </si>
  <si>
    <t>Estimates Base (April 1, 2020); Housing Unit Estimate (as of July 1): 2020, 2021, 2022; Change (July 2020-2022): Number, Percent</t>
  </si>
  <si>
    <t>University of Alabama Center for Business and Economic Research</t>
  </si>
  <si>
    <t>2010 to 2020 County Housing Unit Estimates</t>
  </si>
  <si>
    <t>April 1 2010: Census, Est. Base; Housing Unit Estimate (as of July 1): 2010-2020; Change 7/1/2010 to 7/1/2020; Change 7/1/2019 to 7/1/2020</t>
  </si>
  <si>
    <t>Housing Prices / Rent</t>
  </si>
  <si>
    <t>Average Sales Price For Single-Family Home, Alaska 1992 to 2022</t>
  </si>
  <si>
    <t>Average Sales Price, Inflation Adjusted Sales Price</t>
  </si>
  <si>
    <t xml:space="preserve">Department of Labor and Workforce Development, Housing Finance Corporation </t>
  </si>
  <si>
    <t>Annually</t>
  </si>
  <si>
    <t>Annual Housing Interest Rates 1992 to 2022</t>
  </si>
  <si>
    <t>Annual Interest Rates</t>
  </si>
  <si>
    <t>Foreclosures</t>
  </si>
  <si>
    <t>Foreclosures, Alaska 1980 to 2022</t>
  </si>
  <si>
    <t xml:space="preserve">Foreclosures </t>
  </si>
  <si>
    <t>Alaska Affordability Index, Alaska 1992 to 2022</t>
  </si>
  <si>
    <t>Affordability Index</t>
  </si>
  <si>
    <t>Housing Units</t>
  </si>
  <si>
    <t>New Housing Units, Alaska 1992 to 2022</t>
  </si>
  <si>
    <t>New Units</t>
  </si>
  <si>
    <t>Refinancing Activity For Single-Family Homes, Alaska 2006 to 2022</t>
  </si>
  <si>
    <t>Refinancing Activity</t>
  </si>
  <si>
    <t>Single-Family Alaska Loan Activity By Area</t>
  </si>
  <si>
    <t>Quarter, Num of Loans, Avg Loan, Total Loans, % Loan Volume, Avg Sales Price, Total Sales Vol, % Market Value</t>
  </si>
  <si>
    <t>Condominium Alaska Loan Activity By Area</t>
  </si>
  <si>
    <t>Multi-Family Alaska Loan Activity By Area</t>
  </si>
  <si>
    <t>Alaska New Housing Units</t>
  </si>
  <si>
    <t>Total New Units, Single-Family, Multi-Family, Mobile Home</t>
  </si>
  <si>
    <t>Census Area</t>
  </si>
  <si>
    <t>Alaska Foreclosures</t>
  </si>
  <si>
    <t>Quarter, Anchorage RD, Bethel RD, Fairbanks RD, Juneau RD, Kenai RD, Ketchikan RD, Kodiak RD, Palmer RD, Sitka RD, Rest of State, Grand Total</t>
  </si>
  <si>
    <t>Mortgage Rates</t>
  </si>
  <si>
    <t>Year, 1st Quarter, 2nd Quarter, 2rd Quarter, 4th Quarter</t>
  </si>
  <si>
    <t>Adjusted and Contracted Rental Rates Survey Total- 2010 to 2022</t>
  </si>
  <si>
    <t>Contracted, Adjusted</t>
  </si>
  <si>
    <t>Census Area, City</t>
  </si>
  <si>
    <t>Occupancy</t>
  </si>
  <si>
    <t>Vacancy Rates for Survey Total- 2010 to 2022</t>
  </si>
  <si>
    <t>Vacancy</t>
  </si>
  <si>
    <t>Median Adjusted Rent by Community for 2022</t>
  </si>
  <si>
    <t>Median Adjusted Rent</t>
  </si>
  <si>
    <t>Alaska Rental Costs and Vacancy Rates, All Units, Selected Areas, 2010-2022</t>
  </si>
  <si>
    <t>Average Rent, Median Rent, Number of Units, Vacancy Rate, Percentage of Units w/Utilities Included in Contract Rent</t>
  </si>
  <si>
    <t>Alaska Single-Family and Apartments Averge Rent, Selected Areas, 2010-2022</t>
  </si>
  <si>
    <t>Single-Family Residences, Apartments</t>
  </si>
  <si>
    <t>Alaska Single-Family Homes Averge Rent, Selected Areas, 2010-2022</t>
  </si>
  <si>
    <t>Average Rent, Median Rent, Number of Units, Vacancy Rate, Percentage of Units w/Utilities Included in Contract Rent; 1 bedroom, 2 bedroom, 3 bedroom, 4 bedroom</t>
  </si>
  <si>
    <t>Alaska Apartments Averge Rent, Selected Areas, 2010-2022</t>
  </si>
  <si>
    <t>Alaska Occupied vs. Vacant Unit Rental Costs, Selected Areas, 2010-2022</t>
  </si>
  <si>
    <t>Percent of Surveyed Units Using Selected Energy Types, All Units, Selected Areas, 2010-2016</t>
  </si>
  <si>
    <t>Heat, Hot Water, Cooking</t>
  </si>
  <si>
    <t>State, counties, and incorporated places: Household and group quarter (GQ) population and housing units, 2010 and 2020</t>
  </si>
  <si>
    <t xml:space="preserve">Total Household Population 2010, Total Household Population 2020, Total Housing Units Census 2010, Total Housing Units Census 2020, Occupied Housing Unit Census 2010, Occupied Housing Unit Census 2020, Vacant Housing Unit Census 2010, Vaccant Housing Unit Census 2020, Occupancy Rate 2010, Occupancy Rate 2020, Persons Per Household 2010, Persons Per Household 2020 </t>
  </si>
  <si>
    <t>American Indian/Alaska Native/Hawaiian Home Land: Household and GQ population and housing units, 2010 and 2020</t>
  </si>
  <si>
    <t>Indian reservation</t>
  </si>
  <si>
    <t>Census Designated Places (CDPs): Household and GQ population and housing units, 2010 and 2020</t>
  </si>
  <si>
    <t>Census designated place</t>
  </si>
  <si>
    <t>Census Tracts: Household population, GQ population by GQ type, and housing units, 2020 data</t>
  </si>
  <si>
    <t xml:space="preserve">Total Household Population 2020, Total Housing Units Census 2020, Occupied Housing Unit Census 2020,  Vaccant Housing Unit Census 2020,  Occupancy Rate 2020, Persons Per Household 2020, College/University Student Housing </t>
  </si>
  <si>
    <t>County, Census Tract</t>
  </si>
  <si>
    <t xml:space="preserve">Arizona School Districts: Household and GQ population and housing units, 2010 and 2020
</t>
  </si>
  <si>
    <t>Housing Characteristics</t>
  </si>
  <si>
    <t>Profile of General Population and Housing Characteristics</t>
  </si>
  <si>
    <t>Total Population in Households, Households by Type, Housing Occupancy, Vacancy Rates, Housing Tenure</t>
  </si>
  <si>
    <t>https://data.census.gov/table?q=demographic+profile&amp;y=2020&amp;d=DEC+Demographic+Profile&amp;tid=DECENNIALDP2020.DP1</t>
  </si>
  <si>
    <t>Total Housing Units</t>
  </si>
  <si>
    <t>https://data.census.gov/table?y=2020&amp;d=DEC+Demographic+and+Housing+Characteristics</t>
  </si>
  <si>
    <t>Household Type</t>
  </si>
  <si>
    <t>Total Households, Family Households, Nonfamily Households</t>
  </si>
  <si>
    <t>Households by Type and Presence of Own Children Under 18 Years</t>
  </si>
  <si>
    <t>Total Households; Married couple households; Cohabitating couple households; Male householder, no spouse or partner present; Female householder, no spouse or partner present</t>
  </si>
  <si>
    <t>Occupancy Status</t>
  </si>
  <si>
    <t>Housing Units- Total, Occupied, Vacant</t>
  </si>
  <si>
    <t>County, Census designated place City</t>
  </si>
  <si>
    <t>Tenure</t>
  </si>
  <si>
    <t>Total Occupied Housing Units, Owned with a mortgage or a loan, Owned free and clear, Renter occupied</t>
  </si>
  <si>
    <t>County, Census designated place, City</t>
  </si>
  <si>
    <t>Vacancy Status</t>
  </si>
  <si>
    <t>Total; For Rent, Rented, not occupied; For sale only, Sold, not occupied; For seasonal, recreational, or occasional use; For migrant workers; Other vacant</t>
  </si>
  <si>
    <t>County, CDP, City</t>
  </si>
  <si>
    <t>Household Size</t>
  </si>
  <si>
    <t>Total, 1-person household, 2-person household, 3-person household, 4-person household, 5-person household, 6-person household , 7-or-more-person household</t>
  </si>
  <si>
    <t>Total, Occupied, Vacant</t>
  </si>
  <si>
    <t>State, County, City/Town, Census designated place</t>
  </si>
  <si>
    <t>Total Housing Units; Arkansas by County: 2020</t>
  </si>
  <si>
    <t>2,444-14,179; 14,180-33,270; 33,271-56,749; 56,750-190,522</t>
  </si>
  <si>
    <t>Percent Change in Total Housing Units; Arkansas by County: 2010-2020</t>
  </si>
  <si>
    <t>-19.4% - -12.2%; -12.1% - 0.0%; 0.1% - 7.1%; 7.2% - 21.5%</t>
  </si>
  <si>
    <t>Annual Estimates of Housing Units for the United States And States: April 1, 2020 to July 1, 2022</t>
  </si>
  <si>
    <t>Geographic Area, Estimates Base (April 1, 2020), Housing Unit Estimate (as of July 1)- 2020, 2021, 2022</t>
  </si>
  <si>
    <t>Region, State</t>
  </si>
  <si>
    <t>Estimates of Housing Unit Change for the United States, States, and District of Colombia, and State Rankings: July 1, 2020 to July 1, 2022</t>
  </si>
  <si>
    <t xml:space="preserve">Housing Unit Estimate, Change (2021 to 2022), State Ranking </t>
  </si>
  <si>
    <t>Cumulative Estimates of Housing Unit Change for the United States, States, District of Colombia, and State Rankings: April 1, 2020 to July 1, 2022</t>
  </si>
  <si>
    <t>Estimates Base (April 1, 2020), Estimate (July 1, 2022), Change (2020 to 2022), State Ranking</t>
  </si>
  <si>
    <t>Annual Estimates of Housing Units for Counties in Arkansas: April 1, 2020 to July 1, 2022</t>
  </si>
  <si>
    <t>Housing Unit Estimates for the 100 Fastest-Growing Counties With 5,000 or More Housing Units: July 1, 2020 to July 1, 2022</t>
  </si>
  <si>
    <t>Housing Unit Estimate- 2021, 2022, Change (2021 to 2022)</t>
  </si>
  <si>
    <t>Housing Unit Estimates for the 100 Fastest-Growing Counties With 5,000 or More Housing Units: April 1, 2020 to July 1, 2022</t>
  </si>
  <si>
    <t>Estimates Base (April 1, 2020), Estimate (July 1, 2022), Change (2020 to 2022)</t>
  </si>
  <si>
    <t>Selected Housing Characteristics for the State of California by Race and Hispanic Origin</t>
  </si>
  <si>
    <t>Tenure, Year Household Moved Into Unit, Vehicles Available, House Heating Fuel, Selected Characteristics, Occupants Per Room, Value, Mortgage Status, SMOC, SMOCAPI, Gross rent, GRAPI; Estimate, MOE, %, % MOE; Total Pop., Hispanic, White, Black, American Indian, Asian, Native Hawaiian, Other, 2+ Races</t>
  </si>
  <si>
    <t>SMOC=selected monthly owner costs; SMOCAPI=selected monthly owner costs as % of household income; GRAPI=gross rent as % of household income</t>
  </si>
  <si>
    <t>2021 American Community (1-year estimates) Survey Selected Housing Characteristics</t>
  </si>
  <si>
    <t>Occupancy, Units, Tenure, Mortgage Status, Value, Owner Costs, Renter Costs</t>
  </si>
  <si>
    <t>State, County, Census designated place, City</t>
  </si>
  <si>
    <t>2020 American Community Survey (1-year estimates) Experimental Data Tables- Housing</t>
  </si>
  <si>
    <t>Occupancy Status, Housing Tenure, Total Population in Occupied Housing Units by Tenure, Units in Structure, Year Structure Built, Year Household Moved Into Unit, Gross Rent, Mortgage Status, Housing Value, Median Value, Median Gross Rent</t>
  </si>
  <si>
    <t>Housing Dashboard</t>
  </si>
  <si>
    <t>Total Housing Units, Occupied Housing Units, Year to Year Difference</t>
  </si>
  <si>
    <t>Region, County, Municipality</t>
  </si>
  <si>
    <t>State Demography Office</t>
  </si>
  <si>
    <t xml:space="preserve">Housing Unit and Household Estimates for the State, Counties, and Municipalities </t>
  </si>
  <si>
    <t>Total Population, Group Quarters Population, Household Population, Total Housing Units, Occupied Housing Units, Vacant Housing Units, Vacancy Rates</t>
  </si>
  <si>
    <t>State, County, City, Municipality</t>
  </si>
  <si>
    <t>Municipal Population and Housing Timeseries, 2010 to 2020</t>
  </si>
  <si>
    <t>Total Population, Household Population,  Group Quarters Population, Household Size, Total Housing Units, Occupied Housing Units, Vacant Housing Units, Vacancy Percent</t>
  </si>
  <si>
    <t>Regional Household Data, 2010 to 2050</t>
  </si>
  <si>
    <t>Year, Household Type Id, Household Type Description, Age Group Id, Age Group Description, Total Households</t>
  </si>
  <si>
    <t>County Household Data, 2010 to 2050</t>
  </si>
  <si>
    <t>Population and Housing Time Series</t>
  </si>
  <si>
    <t>County, Municipality, Year, Total Population, Household Population,  Group Quarters Population, Household Size, Total Housing Units, Occupied Housing Units, Vacant Housing Units, Vacancy Percent</t>
  </si>
  <si>
    <t>Household Projections - Regions</t>
  </si>
  <si>
    <t>Region, Year, Age Group, Household Type, Total Households</t>
  </si>
  <si>
    <t>Household Projections - County</t>
  </si>
  <si>
    <t>County, Year, Age Groups, Household Types, Total Households</t>
  </si>
  <si>
    <t>Cost-burdened Households by County</t>
  </si>
  <si>
    <t>Location, Householder Status, Cost-burderend Households, MOE</t>
  </si>
  <si>
    <t>Households With Children</t>
  </si>
  <si>
    <t>Location, Housing Tenure Type, Household Type, Households, MOE</t>
  </si>
  <si>
    <t>Total Households by County</t>
  </si>
  <si>
    <t>Location, Total Households, MOE</t>
  </si>
  <si>
    <t>Total Households by Town</t>
  </si>
  <si>
    <t>Permits</t>
  </si>
  <si>
    <t>Annual Housing Permits by County</t>
  </si>
  <si>
    <t>Location, Housing Permits</t>
  </si>
  <si>
    <t>Department of Economic and Community Development</t>
  </si>
  <si>
    <t>Annual Housing Permits by Town</t>
  </si>
  <si>
    <t>Distribution of Home Sales</t>
  </si>
  <si>
    <t>Location, Price Range, Number of Home Sales</t>
  </si>
  <si>
    <t>State, Town, County</t>
  </si>
  <si>
    <t>Office of Policy and Management</t>
  </si>
  <si>
    <t>Biannually</t>
  </si>
  <si>
    <t xml:space="preserve">Location, Foreclosure Type, Year </t>
  </si>
  <si>
    <t>Housing Finance Authority</t>
  </si>
  <si>
    <t>Housing Tenure by Race and Ethnicity by County</t>
  </si>
  <si>
    <t>Location, Race/Ethnicity, Tenure, Occupied Housing Units, MOE</t>
  </si>
  <si>
    <t>Housing Tenure by Race and Ethnicity by Town</t>
  </si>
  <si>
    <t>Median Home Value by County</t>
  </si>
  <si>
    <t>Location, Measure Type, Median Home Value</t>
  </si>
  <si>
    <t>Median Home Value by Town</t>
  </si>
  <si>
    <t>Median Rent by County</t>
  </si>
  <si>
    <t>Location, Measure Type, Median Rent, ME</t>
  </si>
  <si>
    <t>Median Rent by Town</t>
  </si>
  <si>
    <t>Subsidized Housing by Type</t>
  </si>
  <si>
    <t>Total Housing Units, Government Assisted, CHFA/USDA Mortgage, Deed Restrictions, Tenant Rental Assistance, Total Assisted</t>
  </si>
  <si>
    <t>Department of Housing</t>
  </si>
  <si>
    <t>Total Housing Units by County</t>
  </si>
  <si>
    <t>Location, Occupancy Status, Housing Units</t>
  </si>
  <si>
    <t>Total Housing Units by Town</t>
  </si>
  <si>
    <t>Single Housing Units by Town</t>
  </si>
  <si>
    <t>Location, Unit Type, Housing Units</t>
  </si>
  <si>
    <t>Residential Mobility</t>
  </si>
  <si>
    <t>Residential Mobility by Poverty Status</t>
  </si>
  <si>
    <t>Location, Poverty Status, Mobility, Residential Mobility, MOE</t>
  </si>
  <si>
    <t>Residential Mobility by Race and Ethnicity</t>
  </si>
  <si>
    <t>Location, Race/Ethnicity, Mobility, Residential Mobility, MOE</t>
  </si>
  <si>
    <t>Residential Mobility by Poverty Tenure</t>
  </si>
  <si>
    <t>Location, Tenure, Mobility, Residential Mobility, MOE</t>
  </si>
  <si>
    <t>Median home value</t>
  </si>
  <si>
    <t>Housing Units 2010</t>
  </si>
  <si>
    <t>County, Tract, Block, Acres, Total Housing Units, Occupied, Vacant</t>
  </si>
  <si>
    <t>County, Census Tract, Block</t>
  </si>
  <si>
    <t>District of Colombia</t>
  </si>
  <si>
    <t>Demographic Data At A Glance</t>
  </si>
  <si>
    <t>Homeownership Rate (%), Households (#), Median Rent ($)</t>
  </si>
  <si>
    <t>Total households, Total families, Average family size, Average household size, Households with own children under 18, Living alone, Housing units, Owner households, Median home value, renter households, median rent</t>
  </si>
  <si>
    <t>Total households, Average household size, Housing units, Median rent, Owner households, Median home value,</t>
  </si>
  <si>
    <t>Percentage of Owner-Occupied Households by Ward, 2017-2021</t>
  </si>
  <si>
    <t>Owner occupied households</t>
  </si>
  <si>
    <t xml:space="preserve">Percentage of Renter-Occupied Households by Ward, 2017-2021
</t>
  </si>
  <si>
    <t>Renter occupied households</t>
  </si>
  <si>
    <t>Average Household Size by Census Tract, 2017-2021</t>
  </si>
  <si>
    <t>Average number of people per household</t>
  </si>
  <si>
    <t>Household Income</t>
  </si>
  <si>
    <t>Median Household Income by Census Tract, 2017-2021</t>
  </si>
  <si>
    <t>Income level where half of households are either above or below</t>
  </si>
  <si>
    <t>Housing Characteristics of DC</t>
  </si>
  <si>
    <t xml:space="preserve">Bedrooms, Gross rent as a percentage of household income, Gross rent, House heating fuel, Housing occupancy, Housing tenure, Mortgage status, Occupants per room, Rooms, Selected monthly owner costs, Units in structure, Value, Vehicles available, Year householder moved into unit, Year structure built, </t>
  </si>
  <si>
    <t>HOUSEHOLDS BY TYPE, RESIDENCE 1 YEAR AGO</t>
  </si>
  <si>
    <t>A Spatial Panel Data Analysis on DC Renter Occupied Housing</t>
  </si>
  <si>
    <t>Office of Planning</t>
  </si>
  <si>
    <t>Affordable Housing</t>
  </si>
  <si>
    <t>New Dedicated
Affordable Housing Units, Target vs Actual</t>
  </si>
  <si>
    <t>State, Planning region</t>
  </si>
  <si>
    <t>DCRA Certificate of Occupancy data, DMPED Affordable Housing Database</t>
  </si>
  <si>
    <t>Upward Mobility</t>
  </si>
  <si>
    <t>Median household income, Black or african american, White, Asian, Hispanic or latino, Total households</t>
  </si>
  <si>
    <t>Housing Cost Burden</t>
  </si>
  <si>
    <t>Moderately cost burdened, severely cost burdened, Renter occupied, Owner occupied, Black or african american, White, Asian</t>
  </si>
  <si>
    <t>Median Household Income (dollars), Mean Household Income (dollars), Total Housing Units (#), Vacant Housing Units (%), Occupied Housing Unit (%), % Owner-occupied Units, % Renter-occupied Units, Homeowner Vacancy Rate, Renter Vacancy Rate, Median Value of Owner-occupied Housing Units, Median Monthly Gross Rent, Households by type, Average Household Size</t>
  </si>
  <si>
    <t>Housing Units by Occupancy Status 2010 &amp; 2020</t>
  </si>
  <si>
    <t>Total housing units, Occupied housing units, Vacant housing units, Housing unit change</t>
  </si>
  <si>
    <t>Census 2020 Population, Voting Age, Race, Hispanic Origin, Housing Data</t>
  </si>
  <si>
    <t>State, Census Tract, Block</t>
  </si>
  <si>
    <t>ANC Census 2010 Population and Housing Units</t>
  </si>
  <si>
    <t>Total housing units, Occupied housing units, Vacant housing units</t>
  </si>
  <si>
    <t>Advisory Neighborhood Commission, Census Tract, Block</t>
  </si>
  <si>
    <t>DC Census 2010 Housing Units</t>
  </si>
  <si>
    <t>Total housing units, Total occupied, Total vacant</t>
  </si>
  <si>
    <t>Census Tract, Block, Block Group</t>
  </si>
  <si>
    <t>Housing unit estimate</t>
  </si>
  <si>
    <t xml:space="preserve">Georgia </t>
  </si>
  <si>
    <t>Housing Units by County 2000-2011</t>
  </si>
  <si>
    <t xml:space="preserve">County Residential Population, 2020-2060 </t>
  </si>
  <si>
    <t>Residential Population</t>
  </si>
  <si>
    <t>Office of Planning and Budget</t>
  </si>
  <si>
    <t>State Residential Population, 2020-2060</t>
  </si>
  <si>
    <t>2000 Housing Characteristics</t>
  </si>
  <si>
    <t>Total households, Family households, With own children under 18, Married couple households, Female householder no husband, Non-Family Households, Living Alone, Householder 65 and over, Households with Persons under 18, Households with Persons 65 and over, Average Household Size, Average Family Size, Total Housing Units, Vacant, Owner Occupied, Rental Occupied, Units in Structure, Year Structure Built, Number of Rooms, Year Householder Moved Into Unit, House Heating Fuel, Occupancy per Room, Value for Specified Owner-Occupied Housing Units, Gross Rent, Density and Housing Unit Counts Per Square Mile</t>
  </si>
  <si>
    <t>Households by type, Housing Tenure, Value, Housing units with a mortgage, Gross rent</t>
  </si>
  <si>
    <t>Median Household Income, Median Value for Owner-Occupied Housing Units</t>
  </si>
  <si>
    <t>Housing characteristics: 2005 to 2008 (% of total housing units), Housing occupancy, Selected monthly owner costs for the housing units
 with a mortgage, Monthly gross rent</t>
  </si>
  <si>
    <t>Report, Table Download</t>
  </si>
  <si>
    <t>Housing Units by County: 2000 to 2019</t>
  </si>
  <si>
    <t>Housing units</t>
  </si>
  <si>
    <t>State, Island</t>
  </si>
  <si>
    <t>DBEDT/State Data Center Highlights &amp; Housing Table</t>
  </si>
  <si>
    <t>Annual Estimates of Housing Units for Counties in the State of Hawaii</t>
  </si>
  <si>
    <t>housing unit estimate</t>
  </si>
  <si>
    <t>Housing Unit Estimates for the 100 Fastest Growing Counties With 5,000 or More Housing Units</t>
  </si>
  <si>
    <t>Median Value of Owner-Occupied Housing Units (by Census Tract)</t>
  </si>
  <si>
    <t>Median Value of Owner-Occupied Housing</t>
  </si>
  <si>
    <t>Island, Census tract</t>
  </si>
  <si>
    <t>Owner-Occupied Housing in Percentage (by Census Tract, 2010 Census)</t>
  </si>
  <si>
    <t>Percent Owner-Occupied Housing</t>
  </si>
  <si>
    <t>Housing Market Dashboard</t>
  </si>
  <si>
    <t>Number of sales by residency of buyers, Number of sales and average sales price, Median price of home resales, Private building permits</t>
  </si>
  <si>
    <t>Indiana's Census 2020 Redistricting Data Dashboard</t>
  </si>
  <si>
    <t>LENGTH OF RESIDENTIAL STAY BY OCCUPANCY TYPE</t>
  </si>
  <si>
    <t>MEDIAN MONTHLY HOME OWNER COSTS</t>
  </si>
  <si>
    <t>RENT COST BURDEN LEVELS</t>
  </si>
  <si>
    <t>MEDIAN RENT</t>
  </si>
  <si>
    <t>MEDIAN HOUSEHOLD INCOME</t>
  </si>
  <si>
    <t>MEDIAN HOME VALUE</t>
  </si>
  <si>
    <t>HOUSEHOLD TYPES</t>
  </si>
  <si>
    <t>HOUSEHOLD INCOME LEVELS</t>
  </si>
  <si>
    <t>AGE OF HOUSING</t>
  </si>
  <si>
    <t>Average household size by tenure</t>
  </si>
  <si>
    <t>Owner occupied, Renter occupied, Average household size</t>
  </si>
  <si>
    <t>Tenure by household type and age of householder</t>
  </si>
  <si>
    <t>Owner occupied, Renter occupied, Family household, Nonfamily household</t>
  </si>
  <si>
    <t>Vacancy status</t>
  </si>
  <si>
    <t>For rent, Rented not occupied, For sale only, Sold not occupied, For seasonal recreational or occasional use, For migrant workers, Other vacant</t>
  </si>
  <si>
    <t>Gross Rent</t>
  </si>
  <si>
    <t>Median gross rent</t>
  </si>
  <si>
    <t>Number of Rooms by Tenure</t>
  </si>
  <si>
    <t>Owner occupied, Renter occupied, Number of rooms</t>
  </si>
  <si>
    <t>Median year structure built by tenure</t>
  </si>
  <si>
    <t>Owner occupied, Renter occupied, Median year built</t>
  </si>
  <si>
    <t xml:space="preserve">Tenure by year structure built
</t>
  </si>
  <si>
    <t>Owner occupied, Renter occupied, Year built</t>
  </si>
  <si>
    <t>Housing units authorized by building permits</t>
  </si>
  <si>
    <t>Buildings, Units, Value</t>
  </si>
  <si>
    <t>State, County, City, Metropolitan Area</t>
  </si>
  <si>
    <t>Annual housing unit estimates</t>
  </si>
  <si>
    <t>Percent married-couple households by state (or state equivalent), Percent unmarried-couple households by state (or state equivalent), Percent one-person households by state (or state equivalent), Percent multigenerational households by state (or state equivalent), Percent occupied housing units by state (or state equivalent), Percent owner-occupied housing units by state (or state equivalent)</t>
  </si>
  <si>
    <t>https://mtgis-portal.geo.census.gov/arcgis/apps/MapSeries/index.html?appid=2566121a73de463995ed2b2fd7ff6eb7</t>
  </si>
  <si>
    <t>Building Permits, Fair Market Rent (HUD), Housing Units, Housing Costs, Occupancy Status/Rates</t>
  </si>
  <si>
    <t>Table, Data Visualization</t>
  </si>
  <si>
    <t>Kansas Regional Data Portal</t>
  </si>
  <si>
    <t>Housing units, Occupancy status, Homeowner vacany rate, Rental vacany rate, Median value of owner-occupied housing units, Housing stock, Percent of housing units built before 1940, Housing affordability, Percent of households with owner costs of 30% or more of income</t>
  </si>
  <si>
    <t xml:space="preserve">Board of Governors of the Federal Reserve System and Freddie Mac
</t>
  </si>
  <si>
    <t>Housing Units 2020-2022</t>
  </si>
  <si>
    <t>Estimates Base, Housing Unit Estimate</t>
  </si>
  <si>
    <t>State, Area devlopment district, County</t>
  </si>
  <si>
    <t>Ketucky</t>
  </si>
  <si>
    <t>Household Projections</t>
  </si>
  <si>
    <t>Occupancy Status of Housing Units</t>
  </si>
  <si>
    <t>Occupied, Vacant</t>
  </si>
  <si>
    <t>State, Parish</t>
  </si>
  <si>
    <t>https://data.census.gov/table?g=040XX00US22,22$0500000&amp;y=2020&amp;d=DEC+Redistricting+Data+(PL+94-171)&amp;tid=DECENNIALPL2020.H1</t>
  </si>
  <si>
    <t>Housing Units by Occupancy Status</t>
  </si>
  <si>
    <t>State, County, City, Town</t>
  </si>
  <si>
    <t>Housing Substandard, Housing Vacancies</t>
  </si>
  <si>
    <t>2020 Census Profile of General Population and Housing Characteristics</t>
  </si>
  <si>
    <t>Households by type, Housing Occupancy, Housing Tenure</t>
  </si>
  <si>
    <t>State, County, Tract</t>
  </si>
  <si>
    <t>Housing Units Summary, 2010 and 2020</t>
  </si>
  <si>
    <t>2010 Housing Units, 2020 Housing Units, Change, Percent Change</t>
  </si>
  <si>
    <t>State, Region, Jurisdiction, Census designated place</t>
  </si>
  <si>
    <t>Average Household Size, 2010 and 2020</t>
  </si>
  <si>
    <t>Household Population, Occupied Housing Units, Average Household Size</t>
  </si>
  <si>
    <t>Population and Housing Units, 2020-1950</t>
  </si>
  <si>
    <t>State, Jurisdiction</t>
  </si>
  <si>
    <t>Housing Unit Change, 2020-1950</t>
  </si>
  <si>
    <t>Housin Unit Net Change, Housing Unit Percent Change</t>
  </si>
  <si>
    <t>Household Type, Housing Tenure and and Relationship to Householder for Migrants, 2010 to 2014 (Foreign Migration)</t>
  </si>
  <si>
    <t xml:space="preserve">Household Type, Housing Tenure, </t>
  </si>
  <si>
    <t>Housing Unit Sales and Pricing in Maryland, 2002 - 2021</t>
  </si>
  <si>
    <t>Total, Median, Mean, Single-Family, Townhouse, Condominium, Mobile Home, Rental Property, Residential Blank/No data</t>
  </si>
  <si>
    <t>MdProperty View Sales Database, Department of Planning</t>
  </si>
  <si>
    <t>New Housing Units Authorized for Development</t>
  </si>
  <si>
    <t>Annual Building Permit Data, 2000-2022</t>
  </si>
  <si>
    <t>Residential building permits issued</t>
  </si>
  <si>
    <t>Massachusetts 2010: Population and Housing Unit Counts</t>
  </si>
  <si>
    <t>Annual Estimates of Housing Units for the United States, Regions, Divisions, States, and Counties: April 1, 2010 to July 1, 2018</t>
  </si>
  <si>
    <t>Comparative Housing Characteristics</t>
  </si>
  <si>
    <t>Housing Occupancy, Units in Structure, Year Structure Built, Rooms, Bedrooms, Housing tenure, Year householder moved into unit, Vehicles available, House heating fuel, Occupants per room, Value, Mortgage status, Selected monthly owner costs as a percentage of household income, Gross rent, Gross rent as a percentage of household income</t>
  </si>
  <si>
    <t>https://data.census.gov/table?q=ACSCP1Y2017.CP04&amp;g=040XX00US28&amp;tid=ACSCP1Y2019.CP04</t>
  </si>
  <si>
    <t>Comparative Demographic Estimates</t>
  </si>
  <si>
    <t>https://data.census.gov/table?q=ACSCP1Y2017.CP05&amp;g=040XX00US28&amp;tid=ACSCP1Y2021.CP05</t>
  </si>
  <si>
    <t>Percent Owner Occupied Housing Units 1990</t>
  </si>
  <si>
    <t>Percent owner occupied</t>
  </si>
  <si>
    <t>University of Mississippi, Center for Population Studies</t>
  </si>
  <si>
    <t>Demographic and Housing Characteristics (DHC), complete tables</t>
  </si>
  <si>
    <t>2010 Housing Units, 2020 Housing Units</t>
  </si>
  <si>
    <t>Village</t>
  </si>
  <si>
    <t>Housing Occupancy, Housing Tenure, Units in Structure, Year Structure Built, Rooms, Bedrooms, Source of Water, Sewage Disposal, Year householder moved into unit, Vehicles available, Occupants per room, Telephone service available, Computer and internet use, Value, Mortgage status and selected monthly owner costs, Selected monthly owner costs as a percentage of household income in 2019, Gross rent, Gross rent as a percentage of household income in 2019</t>
  </si>
  <si>
    <t>Demographic Profile by Census Designated Place</t>
  </si>
  <si>
    <t>Selected Housing Characteristics</t>
  </si>
  <si>
    <t>Village, Census designated place</t>
  </si>
  <si>
    <t>Puerto Rico 2010: Summary Population and Housing Characteristics</t>
  </si>
  <si>
    <t>Housing Occupancy and Tenure, Occupied Housing Units by Race and
Hispanic or Latino Origin of Householder</t>
  </si>
  <si>
    <t>Puerto Rico Housing Price Index</t>
  </si>
  <si>
    <t>All transactions, purchase only</t>
  </si>
  <si>
    <t>Federal Housing Finance Agency</t>
  </si>
  <si>
    <t>Data Source-Census (Standardized)</t>
  </si>
  <si>
    <t>Data Source-Non Census (Standardized)</t>
  </si>
  <si>
    <t>Income</t>
  </si>
  <si>
    <t>table download, table</t>
  </si>
  <si>
    <t>HUD FY 2021 Median Family Income for Alabama Counties by Metropolitan Statistical Area and Nonmetropolitan Counties</t>
  </si>
  <si>
    <t>Median Family Income, Percent of State Average, Percent of National Average</t>
  </si>
  <si>
    <t>Household, County</t>
  </si>
  <si>
    <t>HUD Office of Economic Affairs, Economic and Market Analysis Division, 2021.</t>
  </si>
  <si>
    <t>HUD</t>
  </si>
  <si>
    <t>Total Personal Income for States, 2017-2022</t>
  </si>
  <si>
    <t>Personal income at different year</t>
  </si>
  <si>
    <t>Bureau of Economic Analysis</t>
  </si>
  <si>
    <t>Per Capita Personal Income for States, 2017-2022</t>
  </si>
  <si>
    <t>Per Capita Disposable Personal Income for States, 2017-2022</t>
  </si>
  <si>
    <t>Total Personal Income for Alabama Counties, 2017-2021</t>
  </si>
  <si>
    <t xml:space="preserve"> Per Capita Personal Income Estimates for Alabama Counties, 2017-2021</t>
  </si>
  <si>
    <t>Wage</t>
  </si>
  <si>
    <t>Wages and Salaries for Alabama Counties, 2017-2021</t>
  </si>
  <si>
    <t>Wage at different year</t>
  </si>
  <si>
    <t>Average Wages and Salaries per Job for Alabama Counties, 2017-2021</t>
  </si>
  <si>
    <t>Average Wage at different year</t>
  </si>
  <si>
    <t>Per Capita Personal Income for Alabama's Metropolitan and Micropolitan Statistical Areas, 2017-2021</t>
  </si>
  <si>
    <t>Per capita personal income at different year</t>
  </si>
  <si>
    <t>Median Household Income by State, 2021</t>
  </si>
  <si>
    <t>Income at different year</t>
  </si>
  <si>
    <t>Median Household Income by County, 2021</t>
  </si>
  <si>
    <t>Median Household Income by State, 1984 to 2021</t>
  </si>
  <si>
    <t>https://www.census.gov/data/tables/time-series/demo/income-poverty/historical-income-households.html</t>
  </si>
  <si>
    <t>Median Earnings by Educational Attainment for U.S. and Alabama, 2021</t>
  </si>
  <si>
    <t>Alabama Counties Income and Benefits 2017-2021 Estimates</t>
  </si>
  <si>
    <t>Income categories</t>
  </si>
  <si>
    <t>Total Wage and Salary Employment in Alabama Counties, 2017-2021</t>
  </si>
  <si>
    <t xml:space="preserve"> U.S. Department of Commerce, Bureau of Economic Analysis. </t>
  </si>
  <si>
    <t>Employment</t>
  </si>
  <si>
    <t>Labor Force, Employment, Unemployment, and Unemployment Rate for Alabama and MSAs, 2022</t>
  </si>
  <si>
    <t>Month, Labor force, Employment, Unemployment</t>
  </si>
  <si>
    <t>Alabama Department of Labor.</t>
  </si>
  <si>
    <t>Local government/Institute</t>
  </si>
  <si>
    <t>Occupation of Alabama Workers by Hispanic Origin, 2021</t>
  </si>
  <si>
    <t>Number of workers by race and occupation</t>
  </si>
  <si>
    <t>Economy</t>
  </si>
  <si>
    <t>Alabama Gross Domestic Product - Quarterly(Millions of current Dollars), 2017 -2022</t>
  </si>
  <si>
    <t>GDP by year and quarter</t>
  </si>
  <si>
    <t>Alabama and Metro Area GDP, 2017-2021</t>
  </si>
  <si>
    <t>GDP by year</t>
  </si>
  <si>
    <t>County, State</t>
  </si>
  <si>
    <t>U.S. Department of Commerce, Bureau of Economic Analysis.</t>
  </si>
  <si>
    <t>Alabama Gross Domestic Product - Percent Change from Preceding Period (Millions of Chained 2012 Dollar), 1998-2021</t>
  </si>
  <si>
    <t>GDP by year and industry</t>
  </si>
  <si>
    <t>ALASKA MONTHLY EMPLOYMENT STATISTICS</t>
  </si>
  <si>
    <t>Month, Industry</t>
  </si>
  <si>
    <t xml:space="preserve"> Alaska Department of Labor and Workforce Development, Research and Analysis Section</t>
  </si>
  <si>
    <t>Anually</t>
  </si>
  <si>
    <t>Employment &amp; Wage</t>
  </si>
  <si>
    <t>Revised Annual Employment and Wages
January - December 2022</t>
  </si>
  <si>
    <t>Unemployment</t>
  </si>
  <si>
    <t>table download, table, Data visualization</t>
  </si>
  <si>
    <t>Alaska Statewide Unemployment Rate
May 2023</t>
  </si>
  <si>
    <t>Alaska unemployment rate, US unemployment rate</t>
  </si>
  <si>
    <t>State, Metropolitan Area, Micropolitan Area</t>
  </si>
  <si>
    <t xml:space="preserve"> U.S. Department of Labor, Bureau of Labor Statistics</t>
  </si>
  <si>
    <t>Bureau of Labor Statistics</t>
  </si>
  <si>
    <t>ALASKA STATEWIDE WAGES 2022</t>
  </si>
  <si>
    <t>Wage mean, wage by percentile, occupation</t>
  </si>
  <si>
    <t>No data source</t>
  </si>
  <si>
    <t>table download, table, Data visualization, Projection</t>
  </si>
  <si>
    <t>Projected job growth or loss by Alaska industry, 2018 to 2028</t>
  </si>
  <si>
    <t>Occupation</t>
  </si>
  <si>
    <t>INDUSTRY EMPLOYMENT AND WAGES</t>
  </si>
  <si>
    <t>Year, Month, Industry</t>
  </si>
  <si>
    <t>the U.S. Department of Labor, Bureau of Labor Statistics</t>
  </si>
  <si>
    <t>Monthly</t>
  </si>
  <si>
    <t>Arizona State Data Center doesn't have economy data, the economy data is collected by Arizona Commerce Authority (Insitute that Arizona SDC affiliated to)</t>
  </si>
  <si>
    <t>OCCUPATION EMPLOYMENT AND WAGES</t>
  </si>
  <si>
    <t>Geography, Area, Occupation, Wage type</t>
  </si>
  <si>
    <t>Employment Projection</t>
  </si>
  <si>
    <t>EMPLOYMENT PROJECTIONS</t>
  </si>
  <si>
    <t>Industry, Area</t>
  </si>
  <si>
    <t>U.S. Bureau of Labor Statistics' Current Employment Statistics (CES), Quarterly Census of Employment and Wages (QCEW) industry employment.</t>
  </si>
  <si>
    <t>Employment &amp; Economy</t>
  </si>
  <si>
    <t>table download</t>
  </si>
  <si>
    <t>ECONOMIC CENSUS</t>
  </si>
  <si>
    <t>Industry, Geographic level</t>
  </si>
  <si>
    <t>U.S. Census Bureau, Economic Census</t>
  </si>
  <si>
    <t>https://www.census.gov/programs-surveys/economic-census/about.html</t>
  </si>
  <si>
    <t>Arkansas just has a webpage containing all the excel links to download for the data, no names or application</t>
  </si>
  <si>
    <t>Economic and Revenue Updates</t>
  </si>
  <si>
    <t>Month, Year, Industry</t>
  </si>
  <si>
    <t xml:space="preserve"> California Department of Finance</t>
  </si>
  <si>
    <t>Economic Forecasts, U.S. and California</t>
  </si>
  <si>
    <t>Economy Indicator, Year, Quarter</t>
  </si>
  <si>
    <t>Economic Research Unit</t>
  </si>
  <si>
    <t>Quarterly</t>
  </si>
  <si>
    <t>Job</t>
  </si>
  <si>
    <t>Total Number of Jobs Estimate by Region, 1990-2050</t>
  </si>
  <si>
    <t>Total jobs, year, data type</t>
  </si>
  <si>
    <t>Number of Jobs by Base Category by Region, Current Year</t>
  </si>
  <si>
    <t>different types of Employment</t>
  </si>
  <si>
    <t>labor force</t>
  </si>
  <si>
    <t>Labor Force Participation by Region, Current Year</t>
  </si>
  <si>
    <t>Year, Gender, age, labor force</t>
  </si>
  <si>
    <t>job</t>
  </si>
  <si>
    <t>Total Number of Jobs Estimate by County, 1990-2050</t>
  </si>
  <si>
    <t>year, county fip, total job, data type</t>
  </si>
  <si>
    <t xml:space="preserve">Number of Jobs by Base Category by County, Current Year </t>
  </si>
  <si>
    <t>county fip, county name, different types of employment</t>
  </si>
  <si>
    <t xml:space="preserve">Labor Force Participation by County, Current Year </t>
  </si>
  <si>
    <t>Year, Gender, age, labor force, county</t>
  </si>
  <si>
    <t xml:space="preserve">Jobs by Sector by County, 2001 to Current Year </t>
  </si>
  <si>
    <t>area code, sector id, sector name year, total jobs</t>
  </si>
  <si>
    <t>State Forecasting Worksheet</t>
  </si>
  <si>
    <t>labor demand, labor supply, different jobs</t>
  </si>
  <si>
    <t>state</t>
  </si>
  <si>
    <t>Census-population</t>
  </si>
  <si>
    <t>Jobs by County, 1990-2050</t>
  </si>
  <si>
    <t>year, area, fip</t>
  </si>
  <si>
    <t>Metropolitan Area, Micropolitan Area, state</t>
  </si>
  <si>
    <t>Census Business Builder</t>
  </si>
  <si>
    <t>state, county</t>
  </si>
  <si>
    <t>Census Business Builder (CBB)</t>
  </si>
  <si>
    <t>https://www.census.gov/data/data-tools/cbb.html</t>
  </si>
  <si>
    <t>On the Map: Longitudinal Employment and Communiting data from the U.S. Census Bureau</t>
  </si>
  <si>
    <t xml:space="preserve">state, county </t>
  </si>
  <si>
    <t>Census OnTheMap</t>
  </si>
  <si>
    <t>https://onthemap.ces.census.gov/</t>
  </si>
  <si>
    <t>Annual Average Employment and Wages</t>
  </si>
  <si>
    <t>Number of Employers,Annual Average Wage,Annual Average Employment</t>
  </si>
  <si>
    <t>Connecticut Department of Labor</t>
  </si>
  <si>
    <t>Labor Force</t>
  </si>
  <si>
    <t xml:space="preserve"> Employment,Labor Force,Unemployment,Unemployment Rate, Annual Average, Labor Force</t>
  </si>
  <si>
    <t>Gini Ratio</t>
  </si>
  <si>
    <t>Gini Ratio,Margins of Error</t>
  </si>
  <si>
    <t>table B19083 in the Census American Community Survey.</t>
  </si>
  <si>
    <t>Per Capita Income by County</t>
  </si>
  <si>
    <t>Per Capita Income,Margins of Error, Race, ethnicity</t>
  </si>
  <si>
    <t>American Community Survey, Tables B19301 and corresponding race- or ethnicity-specific derived tables (B19301A through B19301I)</t>
  </si>
  <si>
    <t>table download, table, visualization</t>
  </si>
  <si>
    <t>Year, Changes, county</t>
  </si>
  <si>
    <t>American Community Survey</t>
  </si>
  <si>
    <t>Employed Or Enrolled Youth</t>
  </si>
  <si>
    <t>Town, Year, Gender, Measure Type, Value, Margins of Error</t>
  </si>
  <si>
    <t>State, country</t>
  </si>
  <si>
    <t>American Community Survey (ACS) 5-Year estimates, table B14005.</t>
  </si>
  <si>
    <t>Self-Employment by Business Type by County</t>
  </si>
  <si>
    <t>Employment,Margins of Error, Year, business type</t>
  </si>
  <si>
    <t>American Community Survey (ACS) 5-Year estimates, table S2406.</t>
  </si>
  <si>
    <t>Map of Businesses by Sector</t>
  </si>
  <si>
    <t>Determine the Best Location for Your Business</t>
  </si>
  <si>
    <t>geographic level</t>
  </si>
  <si>
    <t>Census Business Builder’s Small Business Edition</t>
  </si>
  <si>
    <t>https://cbb.census.gov/cbb/#view=map&amp;industries=00&amp;clusterName=Custom+Industries&amp;geoType=state&amp;dataVariable=179&amp;dashboardVars=15-17-33-64&amp;centerX=-10802692&amp;centerY=4568679&amp;level=4&amp;theme=default&amp;dynHeader=Custom+Region</t>
  </si>
  <si>
    <t>Explore All Sectors of Economy of Custom Regions</t>
  </si>
  <si>
    <t>Census Business Builder’s Regional Analyst Edition</t>
  </si>
  <si>
    <t>https://cbb.census.gov/rae/#</t>
  </si>
  <si>
    <t>I didn't find any economy related data/tools</t>
  </si>
  <si>
    <t>they only have ACS survey links from 2014-2017 as their economy related data, but the links are no longer available</t>
  </si>
  <si>
    <t>State Gross Domestic Product</t>
  </si>
  <si>
    <t>Year, different industry</t>
  </si>
  <si>
    <t>Bureau of Economic Analysis, US Department of Commerce</t>
  </si>
  <si>
    <t>U.S. Department of Labor, Bureau of Labor Statistics</t>
  </si>
  <si>
    <t>income</t>
  </si>
  <si>
    <t>Data visualization</t>
  </si>
  <si>
    <t>Personal Income for Florida and by County</t>
  </si>
  <si>
    <t>Tax</t>
  </si>
  <si>
    <t>FY 2019-20 Florida Sales Tax Contribution</t>
  </si>
  <si>
    <t>business, tourists, household</t>
  </si>
  <si>
    <t>Revenue Estimating Conference ,Bureau of Labor Statistics, VISIT FLORIDA</t>
  </si>
  <si>
    <t>FY 2018-19 Florida Sales Tax Contribution</t>
  </si>
  <si>
    <t>FY 2017-18 Florida Sales Tax Contribution</t>
  </si>
  <si>
    <t xml:space="preserve">FY 2016-17 Florida Sales Tax Contribution </t>
  </si>
  <si>
    <t xml:space="preserve">FY 2015-16 Florida Sales Tax Contribution </t>
  </si>
  <si>
    <t>County Median Household Income 2011</t>
  </si>
  <si>
    <t>Fips, county name, median household income</t>
  </si>
  <si>
    <t>county</t>
  </si>
  <si>
    <t>U.S. Census Bureau, Small Area Income and Poverty Estimates</t>
  </si>
  <si>
    <t>Percentage of Population in Poverty: Georgia Counties, 2011</t>
  </si>
  <si>
    <t>Fips, county name, total population, children under 18</t>
  </si>
  <si>
    <t xml:space="preserve">county </t>
  </si>
  <si>
    <t>table, table download</t>
  </si>
  <si>
    <t>Georgia Department of Labor</t>
  </si>
  <si>
    <t>U.S. Census Bureau’s 2017 Economic Census</t>
  </si>
  <si>
    <t>https://www.census.gov/programs-surveys/economic-census.html</t>
  </si>
  <si>
    <t>2017 ECONOMIC CENSUS – HAWAII DATA</t>
  </si>
  <si>
    <t>https://data.census.gov/table?q=&amp;g=040XX00US15&amp;y=2017&amp;d=ECN+Core+Statistics+Summary+Statistics+for+the+U.S.,+States,+and+Selected+Geographies:+2017&amp;n=21:N0300.21:N0400.21:N0500.21:N0600.21&amp;tid=ECNBASIC2017.EC1700BASIC</t>
  </si>
  <si>
    <t xml:space="preserve"> </t>
  </si>
  <si>
    <t>2012 Economic Census – Hawaii Data</t>
  </si>
  <si>
    <t>https://data.census.gov/table?q=ECNBASIC2012.EC1200A1&amp;g=040XX00US15&amp;n=31-33:N0300.31:N0400.31:N0500.31:N0600.31&amp;tid=ECNBASIC2012.EC1200A1&amp;hidePreview=true</t>
  </si>
  <si>
    <t>Local Business Snapshot for the State of Hawaii: 2007 (from the U.S. Census Bureau)</t>
  </si>
  <si>
    <t xml:space="preserve"> Economic Census</t>
  </si>
  <si>
    <t>labor force &amp; employment</t>
  </si>
  <si>
    <t>2023_LaborForce</t>
  </si>
  <si>
    <t>county, employment, unemployment</t>
  </si>
  <si>
    <t>IDAHO DEPARTMENT OF LABOR, RESEARCH &amp; ANALYSIS BUREAU</t>
  </si>
  <si>
    <t>statewide-unemployment-rates</t>
  </si>
  <si>
    <t>Year, month</t>
  </si>
  <si>
    <t>Idaho Department of Labor, Research Analysis and Public Affairs</t>
  </si>
  <si>
    <t>Idaho Occupational Employment &amp; Wage - May 2022</t>
  </si>
  <si>
    <t>occupation title, employment, entry wage, midpoint, average, middle range</t>
  </si>
  <si>
    <t>Idaho Department of Labor, Communications &amp; Research</t>
  </si>
  <si>
    <t>CONSUMER PRICE INDEX</t>
  </si>
  <si>
    <t>Country</t>
  </si>
  <si>
    <t>Bureau of Labor Statistics, US. Department of Labor</t>
  </si>
  <si>
    <t>data visualization</t>
  </si>
  <si>
    <t>Quarterly Census of Employment &amp; Wages (QCEW)</t>
  </si>
  <si>
    <t>Year, quarter, ownership, type</t>
  </si>
  <si>
    <t>table, data visualization</t>
  </si>
  <si>
    <t>Current Employment Statistics</t>
  </si>
  <si>
    <t>Area, seasonal adjusted, year</t>
  </si>
  <si>
    <t xml:space="preserve">Monthly </t>
  </si>
  <si>
    <t>job &amp; employment</t>
  </si>
  <si>
    <t>Components of private sector gross job gains and job losses, seasonally adjusted</t>
  </si>
  <si>
    <t>year</t>
  </si>
  <si>
    <t>Illinois are all about agriculture? I didn't find anything related to economy data tools/sources</t>
  </si>
  <si>
    <t>Council for Community and Economic Research</t>
  </si>
  <si>
    <t>Local governemnt/Institute</t>
  </si>
  <si>
    <t>Indiana Economic Development Corporation</t>
  </si>
  <si>
    <t xml:space="preserve">Economic Forecasts </t>
  </si>
  <si>
    <t>StatsIndiana/Indiana Business Research Center</t>
  </si>
  <si>
    <t xml:space="preserve">Economic Research Service Data Products </t>
  </si>
  <si>
    <t>U.S. Department of Agriculture</t>
  </si>
  <si>
    <t>table</t>
  </si>
  <si>
    <t>Economy at a Glance</t>
  </si>
  <si>
    <t>U.S. Bureau of Labor Statistics</t>
  </si>
  <si>
    <t>Indiana’s Economy (Topic)</t>
  </si>
  <si>
    <t>Earnings by Industry</t>
  </si>
  <si>
    <t>industry</t>
  </si>
  <si>
    <t>Bureau of Economic Analysis (BEA)</t>
  </si>
  <si>
    <t>Local Employment Dynamics Data Resources</t>
  </si>
  <si>
    <t xml:space="preserve">Jobs by Industry </t>
  </si>
  <si>
    <t>Labor force</t>
  </si>
  <si>
    <t>Labor Force Estimates and Unemployment Rates</t>
  </si>
  <si>
    <t>Seasonally adjusted or not, year</t>
  </si>
  <si>
    <t xml:space="preserve">Wages </t>
  </si>
  <si>
    <t>Employment and Earnings Data Resources</t>
  </si>
  <si>
    <t>Income and Poverty</t>
  </si>
  <si>
    <t>http://www.census.gov/topics/income-poverty/poverty.html</t>
  </si>
  <si>
    <t>Income Data Resources</t>
  </si>
  <si>
    <t>HUD Income Limits Datasets</t>
  </si>
  <si>
    <t>U.S. Department of Housing and Urban Development</t>
  </si>
  <si>
    <t>Poverty and Welfare Data Resources</t>
  </si>
  <si>
    <t>Tax Stats</t>
  </si>
  <si>
    <t>U.S. Internal Revenue Service</t>
  </si>
  <si>
    <t>Internal Revenue Service</t>
  </si>
  <si>
    <t>Annual Survey of State Government Tax Collections (STC)</t>
  </si>
  <si>
    <t>https://www.census.gov/programs-surveys/stc.html</t>
  </si>
  <si>
    <t xml:space="preserve">Occupational Employment Statistics </t>
  </si>
  <si>
    <t>Wages by Area and Occupation</t>
  </si>
  <si>
    <t>Geographically level</t>
  </si>
  <si>
    <t>Family Income</t>
  </si>
  <si>
    <t>Year, Metropolitan Area, Micropolitan Area</t>
  </si>
  <si>
    <t>State, County, Area</t>
  </si>
  <si>
    <t>US Census (ACS)</t>
  </si>
  <si>
    <t>Household income by age of householder</t>
  </si>
  <si>
    <t xml:space="preserve"> Year, geographical level, Age</t>
  </si>
  <si>
    <t>State, City, County</t>
  </si>
  <si>
    <t>Household income by race and Hispanic or Latino origin</t>
  </si>
  <si>
    <t>Year, geographical level, Race</t>
  </si>
  <si>
    <t>Median family income by family type, by presence of own children under 18 years of age</t>
  </si>
  <si>
    <t>Year, geographical level, family type, presence of children</t>
  </si>
  <si>
    <t>table download, table, data visualization</t>
  </si>
  <si>
    <t>Median household income, median family income, median nonfamily income, and per capita income by race and Hispanic or Latino origin</t>
  </si>
  <si>
    <t>Year, race, geographical level, income level</t>
  </si>
  <si>
    <t>Nonfamily household income</t>
  </si>
  <si>
    <t>Year, geographical level, income range</t>
  </si>
  <si>
    <t>Median earnings by disability status by sex</t>
  </si>
  <si>
    <t>Year, geographical level, disability status, sex</t>
  </si>
  <si>
    <t>Median earnings by sex</t>
  </si>
  <si>
    <t>Year, geographical level, sex</t>
  </si>
  <si>
    <t>Year, geographical level, educational level, sex</t>
  </si>
  <si>
    <t>Median income by veteran status by sex</t>
  </si>
  <si>
    <t>Year, geographical level, veteran status, sex</t>
  </si>
  <si>
    <t>Median household income</t>
  </si>
  <si>
    <t>Year</t>
  </si>
  <si>
    <t>US Census (Small Area Estimates Branch)</t>
  </si>
  <si>
    <t>Employment status by age and veteran status</t>
  </si>
  <si>
    <t>Age, year, geographical level, veteran status</t>
  </si>
  <si>
    <t>Year, geographical level, educational level, labor force status</t>
  </si>
  <si>
    <t>Unemployment rates</t>
  </si>
  <si>
    <t>Year, geographical level, unemployment rate</t>
  </si>
  <si>
    <t>Median earnings by class of worker</t>
  </si>
  <si>
    <t>Year, geographical level, sex, class of worker</t>
  </si>
  <si>
    <t>Sex by class of worker</t>
  </si>
  <si>
    <t>Bankruptcy in Iowa</t>
  </si>
  <si>
    <t>Year, county</t>
  </si>
  <si>
    <t>Bankruptcy Filing Statistics (United States Courts)</t>
  </si>
  <si>
    <t>Bankruptcy Filing Statistics</t>
  </si>
  <si>
    <t>Per Capita Personal Income</t>
  </si>
  <si>
    <t>Year, County</t>
  </si>
  <si>
    <t>U.S. Bureau of Economic Analysis, Regional Economic Information System (REIS)</t>
  </si>
  <si>
    <t>Bureau of Economic Analysis, Regional Economic Information System</t>
  </si>
  <si>
    <t>Employment &amp; Labor force</t>
  </si>
  <si>
    <t>Employment and Civilian Labor Force</t>
  </si>
  <si>
    <t>Farm and Non-Farm Employment</t>
  </si>
  <si>
    <t>Employment by Select Industry</t>
  </si>
  <si>
    <t>Year, County, industry</t>
  </si>
  <si>
    <t xml:space="preserve"> U.S. Bureau of Economic Analysis, Regional Economic Information System (REIS)</t>
  </si>
  <si>
    <t>Census Business Builder: Small Business Edition</t>
  </si>
  <si>
    <t>http://factfinder2.census.gov/bkmk/navigation/1.0/en/d_people_income:INCOME_HOUSEHOLD/geography:0400000US21</t>
  </si>
  <si>
    <t>They provide the web link, but the link is not working</t>
  </si>
  <si>
    <t>Individual Income</t>
  </si>
  <si>
    <t>http://factfinder2.census.gov/bkmk/navigation/1.0/en/d_people_income:INCOME_INDIVIDUAL/geography:0400000US21</t>
  </si>
  <si>
    <t>US Census (Small Area Income and Poverty Estimates (SAIPE))</t>
  </si>
  <si>
    <t>https://www.census.gov/data-tools/demo/saipe/saipe.html?s_appName=saipe&amp;map_yearSelector=2016&amp;map_geoSelector=aa_c&amp;s_state=21</t>
  </si>
  <si>
    <t>Survey of Income and Program Participation</t>
  </si>
  <si>
    <t>US Census (Survey of Income and Program Participation (SIPP))</t>
  </si>
  <si>
    <t>https://www.census.gov/programs-surveys/sipp/data/datasets.html</t>
  </si>
  <si>
    <t>Earnings</t>
  </si>
  <si>
    <t>Employment, labor force</t>
  </si>
  <si>
    <t>Employment (Labor Force) Status</t>
  </si>
  <si>
    <t>http://factfinder2.census.gov/bkmk/navigation/1.0/en/d_people_employment:LABOR_FORCE_STATUS/geography:0400000US21</t>
  </si>
  <si>
    <t>Class of Worker</t>
  </si>
  <si>
    <t>http://factfinder2.census.gov/bkmk/navigation/1.0/en/d_people_employment:CLASS_OF_WORKER/geography:0400000US21</t>
  </si>
  <si>
    <t>http://factfinder2.census.gov/bkmk/navigation/1.0/en/d_people_employment:OCCUPATION/geography:0400000US21</t>
  </si>
  <si>
    <t>Kentucky Labor Market Information</t>
  </si>
  <si>
    <t>Topic, year</t>
  </si>
  <si>
    <t>Kentucky Center for Statistics</t>
  </si>
  <si>
    <t>Montly</t>
  </si>
  <si>
    <t xml:space="preserve"> Employment &amp; Wage</t>
  </si>
  <si>
    <t xml:space="preserve"> Quarterly Census of Employment and Wages </t>
  </si>
  <si>
    <t>US Bureau of Labor Statistics</t>
  </si>
  <si>
    <t>The Bureau of Economic Analysis (BEA)</t>
  </si>
  <si>
    <t>State, Regional, county</t>
  </si>
  <si>
    <t>The Bureau of Economic Analysis (BEA) of the U.S. Department of Commerce</t>
  </si>
  <si>
    <t>Louisiana only have demographic data</t>
  </si>
  <si>
    <t>report, table</t>
  </si>
  <si>
    <t>Economic Forcasting</t>
  </si>
  <si>
    <t>Year, Wage, Employment, Income</t>
  </si>
  <si>
    <t xml:space="preserve">The Maine Consensus Economic Forecasting Commission (CEFC) </t>
  </si>
  <si>
    <t>2023 Average Personal Income Growth (PDF)</t>
  </si>
  <si>
    <t>Calendar Year, Nominal Personal Income, persent of Change</t>
  </si>
  <si>
    <t>United States Department of Commerce, Bureau of Economic Analysis</t>
  </si>
  <si>
    <t>Income &amp; Job</t>
  </si>
  <si>
    <t>Annual Jobs and Income Data for Maryland's Jurisdictions</t>
  </si>
  <si>
    <t>Year, County, persent of change</t>
  </si>
  <si>
    <t>U.S. Bureau of Economic Analysis, Table CA25N</t>
  </si>
  <si>
    <t>Total and Per Capita Personal Income for States and Regions of the U.S. (2021)</t>
  </si>
  <si>
    <t>State, year, rank</t>
  </si>
  <si>
    <t>U.S. Bureau of Economic Analysis</t>
  </si>
  <si>
    <t>Current Employment Estimates (CES)</t>
  </si>
  <si>
    <t xml:space="preserve"> Bureau of Labor Statistics</t>
  </si>
  <si>
    <t>Wage &amp; Salary Jobs by Place of Work Through 2021</t>
  </si>
  <si>
    <t>Year, state</t>
  </si>
  <si>
    <t>2019 Maryland Individual Income Tax Returns</t>
  </si>
  <si>
    <t>Tax return, zip code, adjusted gross income</t>
  </si>
  <si>
    <t>county, Metropolitan Area, Micropolitan Area</t>
  </si>
  <si>
    <t>IRS, Statistics of Income Division,  Individual Master File System</t>
  </si>
  <si>
    <t>Maryland ZIP Codes Sorted by Highest Average Adjusted Gross Income, 2019​​</t>
  </si>
  <si>
    <t>zip codes, total returns, average AGI</t>
  </si>
  <si>
    <t>IRS Statistics of Income by Geographic Areas</t>
  </si>
  <si>
    <t>Income per capita</t>
  </si>
  <si>
    <t>Geographical level</t>
  </si>
  <si>
    <t>https://data.census.gov/table?q=B19301&amp;g=040XX00US25$0600000,25&amp;tid=ACSDT1Y2021.B19301</t>
  </si>
  <si>
    <t>Labor force participation</t>
  </si>
  <si>
    <t>https://data.census.gov/table?q=Employment+Status&amp;g=040XX00US25$0600000,25&amp;tid=ACSDP5Y2021.DP03</t>
  </si>
  <si>
    <t>INCOME INEQUALITY</t>
  </si>
  <si>
    <t>https://data.census.gov/table?q=B19083&amp;g=040XX00US25$0600000,25&amp;tid=ACSDT5Y2021.B19083</t>
  </si>
  <si>
    <t>Occupational Employment and Wage Statistics</t>
  </si>
  <si>
    <t>occupation group</t>
  </si>
  <si>
    <t>Bureau of Labor Statistics, Department of Labor</t>
  </si>
  <si>
    <t>Michigan Prosperity Region Hourly Wage Rates</t>
  </si>
  <si>
    <t>region</t>
  </si>
  <si>
    <t>Occupational Employment and Wage Statistics, Michigan Center for Data and Analytics</t>
  </si>
  <si>
    <t>Occupational Employment and Wage Statistics 2022 Data</t>
  </si>
  <si>
    <t>Geographical level, occupation group</t>
  </si>
  <si>
    <t>Average Weekly Wages</t>
  </si>
  <si>
    <t>Industry, avg employment, avg wage</t>
  </si>
  <si>
    <t>No data sources</t>
  </si>
  <si>
    <t>Earnings and Hours by Industry</t>
  </si>
  <si>
    <t>Industry	Employment, Avg. Hours Worked, Avg., Weekly Earnings, Avg. Earnings per Hour</t>
  </si>
  <si>
    <t>No data sources and age of data</t>
  </si>
  <si>
    <t>LARA Wage &amp; Hour Program</t>
  </si>
  <si>
    <t>Department of Labor and Economic Opportunity</t>
  </si>
  <si>
    <t>Employment Projections</t>
  </si>
  <si>
    <t>Industry, occupation</t>
  </si>
  <si>
    <t>Michigan Employment Snapshot</t>
  </si>
  <si>
    <t>Seasonally adjusted, geographical level</t>
  </si>
  <si>
    <t>Unemployment by County Rank</t>
  </si>
  <si>
    <t>Unemployment by Metro Area</t>
  </si>
  <si>
    <t>Geographical level, labor force, employment, unemployment</t>
  </si>
  <si>
    <t>County Labor Force</t>
  </si>
  <si>
    <t>Michigan Payroll Jobs by Industry</t>
  </si>
  <si>
    <t>Industry, year, percent of change</t>
  </si>
  <si>
    <t>Employment by Firm Size</t>
  </si>
  <si>
    <t>Number of employees, number of firms, total employment</t>
  </si>
  <si>
    <t>Zip Code Business Pattern</t>
  </si>
  <si>
    <t>US Census ZIP Codes Business Patterns (ZBP) APIs</t>
  </si>
  <si>
    <t>Census Buereau</t>
  </si>
  <si>
    <t>https://www.census.gov/data/developers/data-sets/cbp-nonemp-zbp/zbp-api.html</t>
  </si>
  <si>
    <t>Economic Census Data Tables</t>
  </si>
  <si>
    <t>Year, industry</t>
  </si>
  <si>
    <t>US Census Economic Census Data Tables</t>
  </si>
  <si>
    <t>https://www.census.gov/programs-surveys/economic-census/data/tables.html</t>
  </si>
  <si>
    <t>Five years</t>
  </si>
  <si>
    <t>Data visualization, table download, table</t>
  </si>
  <si>
    <t>Quarterly Census of Employment and Wages (QCEW)</t>
  </si>
  <si>
    <t>Geographical level, industry</t>
  </si>
  <si>
    <t>State, county, city</t>
  </si>
  <si>
    <t>Quarterly Employment Demographics</t>
  </si>
  <si>
    <t>Geographical level, industry, year, age group</t>
  </si>
  <si>
    <t>DEED Quarterly Employment Demographics</t>
  </si>
  <si>
    <t xml:space="preserve">Minnesota's labor force participation projections by age and sex from 2015-2050 </t>
  </si>
  <si>
    <t>Sex, Year, age group</t>
  </si>
  <si>
    <t>US Census (American Community Survey 2015)</t>
  </si>
  <si>
    <t>Minnesota county labor force projections by age, 2015-2030</t>
  </si>
  <si>
    <t>Geographical level, age group, year</t>
  </si>
  <si>
    <t>Median Household Income from 2008 to 2012</t>
  </si>
  <si>
    <t>US Census (American Community Survey 2012)</t>
  </si>
  <si>
    <t>https://data.census.gov/table?q=ACSCP1Y2017.CP03&amp;g=040XX00US28&amp;tid=ACSCP1Y2019.CP03</t>
  </si>
  <si>
    <t>U.S. Census Bureau EEO Data</t>
  </si>
  <si>
    <t>https://www2.census.gov/EEO_2006_2010/</t>
  </si>
  <si>
    <t>Equal employment opportunity tables (2006-2010)</t>
  </si>
  <si>
    <t>Employment statistics from the Bureau of Labor Statistics</t>
  </si>
  <si>
    <t>IRS tax return data</t>
  </si>
  <si>
    <t>IRS</t>
  </si>
  <si>
    <t>Employment and Unemployment in Puerto Rico</t>
  </si>
  <si>
    <t>employment, hours, wages, number of establishments, and industry group</t>
  </si>
  <si>
    <t>Island</t>
  </si>
  <si>
    <t>Department of Labor and Human Resources (DTRH)</t>
  </si>
  <si>
    <t>Unemployment in Heads of Family</t>
  </si>
  <si>
    <t>Employment, Unemployment, Unemployment Rate and Participation Rate</t>
  </si>
  <si>
    <t>Employment and Unemployment</t>
  </si>
  <si>
    <t>Unemployment Statistics by Municipalities</t>
  </si>
  <si>
    <t>Employed and unemployed</t>
  </si>
  <si>
    <t>Participation of Women in the Labor Force</t>
  </si>
  <si>
    <t>Economic Census of Island Areas</t>
  </si>
  <si>
    <t>Production, added value, materials, employment, payroll, number of owners, operating expenses, inventories, establishments, number of manufacturing e-businesses and working hours, among others</t>
  </si>
  <si>
    <t>every 5 years</t>
  </si>
  <si>
    <t>ANNUAL ECONOMIC SURVEY OF GUAM</t>
  </si>
  <si>
    <t>Industry, establishment, employee</t>
  </si>
  <si>
    <t>GUAM CONSUMER PRICE INDEX</t>
  </si>
  <si>
    <t>Group, Quarter</t>
  </si>
  <si>
    <t xml:space="preserve"> Cost of Living Section, Business and Economic Statistics Program, Bureau of Statistics and Plans, Government of Guam</t>
  </si>
  <si>
    <t>GUAM IMPORT DATA</t>
  </si>
  <si>
    <t xml:space="preserve"> Commodity</t>
  </si>
  <si>
    <t>Guam Customs and Quarantine Agency</t>
  </si>
  <si>
    <t>GUAM EXPORT REPORTS</t>
  </si>
  <si>
    <t>Commodity group</t>
  </si>
  <si>
    <t>Number of race/ethnicity categories</t>
  </si>
  <si>
    <t xml:space="preserve">Age range </t>
  </si>
  <si>
    <t>Location of Data Center</t>
  </si>
  <si>
    <t>Culverhouse College of Business</t>
  </si>
  <si>
    <t>Link on Census site is incorrect. Link used: https://cber.culverhouse.ua.edu/alabama-state-data-center/. Explained the impotance of the Census in getting federal dollars.</t>
  </si>
  <si>
    <t xml:space="preserve">Population by Race  </t>
  </si>
  <si>
    <t xml:space="preserve">Alaska Population Overview: 2019 Estimates: Figure 2.6 Proportion Alaska Native (Alone) by Borough and Census Area, 2019 </t>
  </si>
  <si>
    <t>Alaska native alone</t>
  </si>
  <si>
    <t>borough, census area</t>
  </si>
  <si>
    <t>No</t>
  </si>
  <si>
    <t xml:space="preserve">Alaska Department of Labor and Workforce Development, Research and Analysis Section </t>
  </si>
  <si>
    <t>NA</t>
  </si>
  <si>
    <t>Yes</t>
  </si>
  <si>
    <t>Department of Labor Workforce Development</t>
  </si>
  <si>
    <t>Population by Race</t>
  </si>
  <si>
    <t>Visualization</t>
  </si>
  <si>
    <t>Alaska Population Overview: 2019 Estimates: Figure 1.4</t>
  </si>
  <si>
    <t>White alone, Alaska Native alone, Black or African American alone, Asian alone, Native Hawaiian or Pac. Is. alone, two or more races</t>
  </si>
  <si>
    <t>Population by Alaskan Native / American Indian</t>
  </si>
  <si>
    <t>Alaska Population Overview: 2019 Estimates: Tables 1.3</t>
  </si>
  <si>
    <t>Population by Race / Ethnicity</t>
  </si>
  <si>
    <t>Alaska Population Overview: 2019 Estimates: Table 1.4</t>
  </si>
  <si>
    <t>White alone and in combination, Alaska Native or Amer. Indian alone and in combination, Black or African American alone and in combination, Asian and Pacific Islander alone and in combination, Native Hawaiian or Pac. Is. alone and in combination, two or more races, Hispanic or Latino of any race</t>
  </si>
  <si>
    <t>Population by Age, Race, Ethnicity, Sex</t>
  </si>
  <si>
    <t>Table, Visualization</t>
  </si>
  <si>
    <t>Alaska Population Overview: 2019 Estimates: Tables 1.##</t>
  </si>
  <si>
    <t>White alone or in combination, Alaska Native or Amer. Indian alone or in combination, Black or African American alone or in combination, Asian alone or in combination, Native Hawaiian or Pac. Is. alone or in combination, Hispanic or Latino origina</t>
  </si>
  <si>
    <t>annual</t>
  </si>
  <si>
    <t>separate tables from 2010 through 2019</t>
  </si>
  <si>
    <t>Population by Age, Race, Sex</t>
  </si>
  <si>
    <t>White alone, Alaska Native or American Indian Alone, Black or African American Alone</t>
  </si>
  <si>
    <t>Alaska Population Overview: 2019 Estimates: Tables 2.##</t>
  </si>
  <si>
    <t>White, Alaska Native, African American, Asian, Pacific Isalnder, two or more races, Hispanic</t>
  </si>
  <si>
    <t xml:space="preserve">region, borough, census area </t>
  </si>
  <si>
    <t>Arizona Service Area Statistics</t>
  </si>
  <si>
    <t xml:space="preserve">Hispanic or Latino, White, Black of African American, Americna Indian and Alaska Native, Asian, Native Hawaiian and Other Pacific Islander, Some other race alone, two or more races </t>
  </si>
  <si>
    <t>state, county, places, Indian reservation, ZCTA</t>
  </si>
  <si>
    <t>10 years</t>
  </si>
  <si>
    <t>Arizona Commerce Authority</t>
  </si>
  <si>
    <t>Link of Census site is incorrect. Link used: https://www.azcommerce.com/oeo/population/arizona-state-data-center-sdc/</t>
  </si>
  <si>
    <t>Population by Hispanic and not Hispanic</t>
  </si>
  <si>
    <t>Arizona Population Pyramids</t>
  </si>
  <si>
    <t xml:space="preserve">Hispanic or Latino, White, Black of African American, American Indian and Alaska Native, Asian, Native Hawaiian and Other Pacific Islander, Some other race alone, two or more races </t>
  </si>
  <si>
    <t xml:space="preserve">Population by Hispanic and not Hispanic </t>
  </si>
  <si>
    <t>Arizona Population Pyramids Comparson by All 50 State</t>
  </si>
  <si>
    <t>Hispanic, not Hispanic</t>
  </si>
  <si>
    <t>nation</t>
  </si>
  <si>
    <t xml:space="preserve">Population by White, Black, and Hispanic   </t>
  </si>
  <si>
    <t>County Maps</t>
  </si>
  <si>
    <t>White alone, Black alone, Hispanic or Latino alone</t>
  </si>
  <si>
    <t>Arkansas State, Arkansas Economic Development Institute</t>
  </si>
  <si>
    <t>County Maps Percent Change in Populations</t>
  </si>
  <si>
    <t>Percent change in White alone, Black alone, Hispanic or Latino alone</t>
  </si>
  <si>
    <t>Redistricting Data Tables by Race</t>
  </si>
  <si>
    <t>P1. Race</t>
  </si>
  <si>
    <t xml:space="preserve">White, Black , American Indian and Alaska Native, Asian, Native Hawaiian and Other Pacific Islander, Some other race alone, two or more races </t>
  </si>
  <si>
    <t>Redistricting Data Tables by Ethnicity</t>
  </si>
  <si>
    <t>P2. Hispanic or Latino, and Not Hispanic or Latino by Race</t>
  </si>
  <si>
    <t xml:space="preserve">Hispanic or Latino, not Hispanic or Latino </t>
  </si>
  <si>
    <t>DP1 PROFILE OF GENERAL POPULATION AND HOUSING CHARACTERISTICS</t>
  </si>
  <si>
    <t>population by race alone (White, AI/AN, Black, Asian, Pacific Islander, someother race, two or more races; populations by race alone or in combination; ethnicity (Hispanic and not Hispanic)</t>
  </si>
  <si>
    <t>data.census.gov</t>
  </si>
  <si>
    <t>State of California Department of Finance</t>
  </si>
  <si>
    <t>Link on Census site is not direct. Link used: https://dof.ca.gov/Forecasting/Demographics/</t>
  </si>
  <si>
    <t>2010 to 2020 Population Change and Race/Ethnicity</t>
  </si>
  <si>
    <t xml:space="preserve">Race and Hispanic/Latino Percentage by County California: 2010 and 2020 </t>
  </si>
  <si>
    <t xml:space="preserve">Hispanic or Latino, White, nonWhite, Black of African American, American Indian and Alaskan Native, Asian or Pacific Islander, Some other race alone, two or more races </t>
  </si>
  <si>
    <t>Map 4 – 2010 — Race (Not Hispanic/Latino) and Hispanic/Latino Population Distribution</t>
  </si>
  <si>
    <t>Black, Asian, Hispanic/Latino, White</t>
  </si>
  <si>
    <t>point estimate</t>
  </si>
  <si>
    <t>Map 4 – 2020 — Race (Not Hispanic/Latino) and Hispanic/Latino Population Distribution</t>
  </si>
  <si>
    <t>Population by Race / Ethnicity, Age</t>
  </si>
  <si>
    <t>Total and 18+ Population by Race Not Hispanic/Latino) and Hispanic/Latino: 2020</t>
  </si>
  <si>
    <t>White, Black or African American, Asian, Native Hawaiian and other Pacific Islander, Some other race, two or more races</t>
  </si>
  <si>
    <t>census tract, state assembly districts, state senate districts, congressional districts, counties, city/town, census designated places</t>
  </si>
  <si>
    <t>Total and 18+ Population by Race (Hispanic/Latino included in Race Groups): 2020</t>
  </si>
  <si>
    <t>census tract</t>
  </si>
  <si>
    <t>Demographic Summary</t>
  </si>
  <si>
    <t>Department of Local Affairs, State Demography Office</t>
  </si>
  <si>
    <t>Race by Age Visualization </t>
  </si>
  <si>
    <t>Race/Ethnicity by Age</t>
  </si>
  <si>
    <t>region, county</t>
  </si>
  <si>
    <t>Census 2020 Interactive Map</t>
  </si>
  <si>
    <t>Hispanic, non-Hispanic white, non-Hispanic Black, non-Hispanic Native American, non-Hispanic Asian/Pacific Islander, other Race, multiple races, prevalent race of ethnicity, 2nd most prevalent</t>
  </si>
  <si>
    <t xml:space="preserve">county, place, census tract, block group </t>
  </si>
  <si>
    <t>Race</t>
  </si>
  <si>
    <t>5 Year ACS</t>
  </si>
  <si>
    <t>People of Color, White, Hispanic, Black , Native American, Asian, Hawaii &amp; Pacific Islander</t>
  </si>
  <si>
    <t>Census API data download</t>
  </si>
  <si>
    <t>all B010##, B020##, B0300##, B040##, B050##, B060## Tables</t>
  </si>
  <si>
    <t>2017-2020</t>
  </si>
  <si>
    <t xml:space="preserve">Hartford Data Collaborative </t>
  </si>
  <si>
    <t>Diversity Index</t>
  </si>
  <si>
    <t>How Diverse is Connecticut?</t>
  </si>
  <si>
    <t>Most Common Race or Ethnicity by Census Tract</t>
  </si>
  <si>
    <t>White population</t>
  </si>
  <si>
    <t>Percent non-White Resident</t>
  </si>
  <si>
    <t>non-White</t>
  </si>
  <si>
    <t>town, census tract</t>
  </si>
  <si>
    <t>Demographic and Housing Estimates</t>
  </si>
  <si>
    <t>DP05 ACS DEMOGRAPHIC AND HOUSING ESTIMATES</t>
  </si>
  <si>
    <t>Demographic</t>
  </si>
  <si>
    <t xml:space="preserve"> https://data.census.gov/table?q=acs&amp;g=040XX00US10&amp;y=2021</t>
  </si>
  <si>
    <t>Office of State Planning Coordination</t>
  </si>
  <si>
    <t>Link on Census site is not direct. Link used: https://census.delaware.gov/pages/state-data-center</t>
  </si>
  <si>
    <t>Black, Hispanic</t>
  </si>
  <si>
    <t>city/town, ward</t>
  </si>
  <si>
    <t>Office of Planning Demographic Data Hub</t>
  </si>
  <si>
    <t>Black</t>
  </si>
  <si>
    <t>ward, census tract</t>
  </si>
  <si>
    <t>Demographic Indicators</t>
  </si>
  <si>
    <t>city/town</t>
  </si>
  <si>
    <t>District of Columbia Population and Change by Race and Hispanic/Latino Origin: 2010 &amp; 2020</t>
  </si>
  <si>
    <t>ward, census tract, block</t>
  </si>
  <si>
    <t>2020 Census County and Cities Profiles</t>
  </si>
  <si>
    <t>state, county, city/town</t>
  </si>
  <si>
    <t>Office of Economic &amp; Demographic Research</t>
  </si>
  <si>
    <t>Link on Census site is not direct. Link used: http://edr.state.fl.us/Content/state-data-center/index.cfm</t>
  </si>
  <si>
    <t>Quick Facts</t>
  </si>
  <si>
    <t>White alone, Black or African American alone, Asian alone, Native Hawaiian and other Pacific Islander alone,  two or more races, Hispanic or Latino, White alone not Hispanic or Latino</t>
  </si>
  <si>
    <t>https://www.census.gov/quickfacts/fact/table/US#</t>
  </si>
  <si>
    <t>Governor's Office of Planning and Budget</t>
  </si>
  <si>
    <t>state, county, census tracts, ZCTA, census county divisions, congressional and legislative districts, census designated places</t>
  </si>
  <si>
    <t>Department of Business, Economic Development &amp; Tourism, Research &amp; Economic Analysis</t>
  </si>
  <si>
    <t>Link on Census site is not direct. Link used: https://census.hawaii.gov/</t>
  </si>
  <si>
    <t>Link on Census site is not direct. Link used: https://www.ilsos.gov/departments/library/depository_programs/ilsdc.html</t>
  </si>
  <si>
    <t xml:space="preserve">University of Illinois Urbana-Champagne College of Agricultural, Consumer &amp; Environmental Sciences, Illinois Extension </t>
  </si>
  <si>
    <t>There is only a link to https://www.census.gov/programs-surveys/acs/.</t>
  </si>
  <si>
    <t>Table, Report</t>
  </si>
  <si>
    <t>Population by Race/Hispanic Origin</t>
  </si>
  <si>
    <t>White, Black/African American, Asian, American Indian/Alaska Native, Native Hawaiian/Other Pacific Islander, two or more races, Hispanic of any race</t>
  </si>
  <si>
    <t>county, city</t>
  </si>
  <si>
    <t>Indiana State Library</t>
  </si>
  <si>
    <t xml:space="preserve">Asian Alone  </t>
  </si>
  <si>
    <t>Visualization, Table</t>
  </si>
  <si>
    <t>Asian Alone by Selected Groups (5-year period estimates)</t>
  </si>
  <si>
    <t>Asian Groups</t>
  </si>
  <si>
    <t xml:space="preserve">nation, state, county, city/town, metropolitan, micropolitan, school district </t>
  </si>
  <si>
    <t>State Library of Iowa</t>
  </si>
  <si>
    <t>Hispanic or Latino Origin by Race</t>
  </si>
  <si>
    <t>Hispanic or Latino Origin by Race (5-year period estimates)</t>
  </si>
  <si>
    <t>Hispanic or Latino (White alone, Black or African American alone, American Indian and Alaska Native alone, Asian alone, Native Hawaiian and Other Pacific Islander alone, some other race alone); Not Hispanic or Latino (White alone, Black or African American alone, American Indian and Alaska Native alone, Asian alone Native Hawaiian and Other Pacific Islander alone, some other race alone)</t>
  </si>
  <si>
    <t xml:space="preserve">nation, state, county, city, metropolitan, micropolitan, school district </t>
  </si>
  <si>
    <t>Hispanic or Latino</t>
  </si>
  <si>
    <t>Hispanic or Latino by Specific Origin (5-year period estimates)</t>
  </si>
  <si>
    <t>Hispanic/Latino country or origin</t>
  </si>
  <si>
    <t>Age, Sex, Race, Ethnicity</t>
  </si>
  <si>
    <t>Single-year of age, sex, race, and Hispanic origin</t>
  </si>
  <si>
    <t>Race and Hispanic or Latino origin</t>
  </si>
  <si>
    <t xml:space="preserve">nation, state, county, city, metropolitan, micropolitan, minor civil divisions, school district </t>
  </si>
  <si>
    <t>Population by Race / Ethnicity (includes specific countries and tribes)</t>
  </si>
  <si>
    <t>Population in Kansas and the U.S., by Race and Hispanic Origin 2021</t>
  </si>
  <si>
    <t>One Race: White, Black or African American, American Indian and Alaska Native ( +4 tribes), Asain (+7 categories), Native Hawaiian and Other Pacific Islander (+4 categories), some other race, two or more races; Race alone or in combination: White, Black or African American, American Indian and Alaska Native, Asian, Native Hawaiian and Other Pacific Islander, some other race; Hispanic or Latino and Race: Hispanic or Latino any race, Mexian Puerto Rican, Cuban, Other Hispanic or Latino, not Hispanic or Latino, White alone</t>
  </si>
  <si>
    <t xml:space="preserve">nation, state </t>
  </si>
  <si>
    <t>University of Kansas, Institute for Policy &amp; Social Research</t>
  </si>
  <si>
    <t>Population in Kansas and the U.S., by Race and Hispanic Origin 2000 and 2010</t>
  </si>
  <si>
    <t>2000, 2010</t>
  </si>
  <si>
    <t>Population Summary</t>
  </si>
  <si>
    <t xml:space="preserve">Population Summary for Congressional Districts in Kansas by Household, Family Size, Race, and Hispanic Origin, 2010 </t>
  </si>
  <si>
    <t>Race: White alone, Black or African American alone, American Indian and Alaska Native alone, Asian alone Native Hawaiian and Other Pacific Islander alone, some other race alone, two or more races; Hispanic orgin: Hispanic, nonHispanic</t>
  </si>
  <si>
    <t xml:space="preserve">state, congressional district </t>
  </si>
  <si>
    <t xml:space="preserve">Population in Kansas, by Race and County April 1, 2020 </t>
  </si>
  <si>
    <t>White, Black or African American, American Indian and Alaska Native, Asian, Native Hawaiian and Other Pacific Islander, some other race alone, two or more races</t>
  </si>
  <si>
    <t xml:space="preserve">Population in Kansas, by Race, Ethnicity, and County April 1, 2020 </t>
  </si>
  <si>
    <t>White, Black or African American, American Indian and Alaska Native, Asian, Native Hawaiian and Other Pacific Islander, some other race alone, two or more races, Hispanic or Latino</t>
  </si>
  <si>
    <t>Total Population by Race and Hispanic or Latino</t>
  </si>
  <si>
    <t>White not Hispanic, African America not Hispanic, American Indian / Alaska Native not Hispanic, Asian not Hispanic, Native Hawaiian / Other Pacific Islander not Hispanic, Other Race not Hispanic, Two or more Races not Hispanic, Hispanic</t>
  </si>
  <si>
    <t>state, four other geographies not described</t>
  </si>
  <si>
    <t xml:space="preserve"> University of Louisville, College of Arts and Sciences, Department of Urban and Public Affairs </t>
  </si>
  <si>
    <t>Links to Census' fact finder are not working.</t>
  </si>
  <si>
    <t>P1 RACE</t>
  </si>
  <si>
    <t>Refer to Census link</t>
  </si>
  <si>
    <t>state, parish</t>
  </si>
  <si>
    <t>https://data.census.gov/table?g=040XX00US22,22$0500000&amp;y=2020&amp;d=DEC+Redistricting+Data+(PL+94-171)&amp;tid=DECENNIALPL2020.P1</t>
  </si>
  <si>
    <t>Louisiana Government</t>
  </si>
  <si>
    <t>Population by Ethnicity</t>
  </si>
  <si>
    <t>P2 HISPANIC OR LATINO, AND NOT HISPANIC OR LATINO BY RACE</t>
  </si>
  <si>
    <t>https://data.census.gov/table?g=040XX00US22,22$0500000&amp;y=2020&amp;d=DEC+Redistricting+Data+(PL+94-171)&amp;tid=DECENNIALPL2020.P2</t>
  </si>
  <si>
    <t>https://www.census.gov/quickfacts/fact/table/ME/PST045222</t>
  </si>
  <si>
    <t>Department of Administrative and Financial Service, State Economist</t>
  </si>
  <si>
    <t>Provides links to https://data.census.gov/ and</t>
  </si>
  <si>
    <t>White alone, Black or African American alone, American Indian and Alaska Native alone, Asian alone, Native Hawaiian and other Pacific Islander alone,  some other race alone, two or more races, Hispanic or Latino, not Hispanic or Latino population of one race,  Not Hispanic or Latino: White alone, Not Hispanic or Latino: Black or African American alone, Not Hispanic or Latino: American Indian and Alaska Native alone, Not Hispanic or Latino: Asian alone, Not Hispanic or Latino: Native Hawaiian and Other Pacific Islander alone, Not Hispanic or Latino: Some Other Race alone, Not Hispanic or Latino: Population of two or more races</t>
  </si>
  <si>
    <t>county subdivision</t>
  </si>
  <si>
    <t xml:space="preserve">2020 Census Profile of General Population and Housing Characteristics </t>
  </si>
  <si>
    <t>White alone, Black or African American alone, American Indian and Alaska Native alone, Asian alone, Native Hawaiian and other Pacific Islander alone,  some other race alone, two or more races,  Hispanic or Latino White alone, Hispanic or Latino Black or African American alone, Hispanic or Latino: American Indian and Alaska Native alone, Hispanic or Latino: Asian alone, Hispanic or Latino: Native Hawaiian and Other Pacific Islander alone, Hispanic or Latino: Some Other Race alone, Hispanic or Latino: two or more races; not Hispanic or Latino White alone, not Hispanic or Latino Black or African American alone, not Hispanic or Latino: American Indian and Alaska Native alone, not Hispanic or Latino: Asian alone, not Hispanic or Latino: Native Hawaiian and Other Pacific Islander alone, not Hispanic or Latino: Some Other Race alone, not Hispanic or Latino: two or more races; White alone or in combination with one or more other races, Black or African American alone or in combination with one or more other races, American Indian and Alaska Native alone or in combination with one or more other races, Asian alone or in combination with one or more other races, Native Hawaiian and other Pacific Islander alone or in combination with one or more other races, some other race alone or in combination with one or more other races</t>
  </si>
  <si>
    <t>Maryland Department of Planning</t>
  </si>
  <si>
    <t xml:space="preserve">Adjusted Redistricting Data </t>
  </si>
  <si>
    <t>Report of Maryland Precinct Population Data</t>
  </si>
  <si>
    <t>White alone, Black or African American alone, American Indian and Alaska Native alone, Asian alone, Native Hawaiian and other Pacific Islander alone,  some other race alone, two or more races,  Hispanic or Latino of any race</t>
  </si>
  <si>
    <t>precinct, congressional district</t>
  </si>
  <si>
    <t>Social, Economic, Housing, and Demographic Profiles by Geography</t>
  </si>
  <si>
    <t>One Race: White, Black or African American, American Indian and Alaska Native (+4 tribes), Asain (+7 categories), Native Hawaiian and Other Pacific Islander (+4 categories), some other race, two or more races; Race alone or in combination: White, Black or African American, American Indian and Alaska Native, Asian, Native Hawaiian and Other Pacific Islander, some other race; Hispanic or Latino and Race: Hispanic or Latino any race, Mexian Puerto Rican, Cuban, Other Hispanic or Latino, not Hispanic or Latino, White alone</t>
  </si>
  <si>
    <t>nation, state, jurisdictions, metro areas, places, congressional districts</t>
  </si>
  <si>
    <t>Census 2020 Data for Massachusetts: Municipal Summaries from the Census 2020 PL-94 Redistricting Data</t>
  </si>
  <si>
    <t xml:space="preserve">White alone, Black or African American alone, American Indian and Alaska Native alone, Asian alone, Some other race alone, Two or more races, All Race Groups Hispanic or Latino </t>
  </si>
  <si>
    <t>https://www.census.gov/programs-surveys/decennial-census/about/rdo/summary-files.html</t>
  </si>
  <si>
    <t>2000-2020</t>
  </si>
  <si>
    <t xml:space="preserve">University of Massasschuetts Amherst, Donahue Institute </t>
  </si>
  <si>
    <t>Census 2020 Population by Race Alone/Non-Hispanic and Hispanic of Any Race for the U.S., Massachusetts, MA Counties, and MA Cities and Towns, and 2010 to 2020 Change</t>
  </si>
  <si>
    <t xml:space="preserve">White alone non-Hispanic, Black or African American alone non-Hispanic, American Indian and Alaska Native alone non-Hispanic, Asian alone non-Hispanic, Some other race alone non-Hispanic, Two or more races non-Hispanic, All Race Groups Hispanic or Latino </t>
  </si>
  <si>
    <t xml:space="preserve">nation, state, city/town, county </t>
  </si>
  <si>
    <t>Racial and Ethnicity Prevalence Rankings</t>
  </si>
  <si>
    <t xml:space="preserve">Diversity Index, Diffusion Score, White alone non-Hispanic, Black or African American alone non-Hispanic, American Indian and Alaska Native alone non-Hispanic, Asian alone non-Hispanic, Some other race alone non-Hispanic, Two or more races non-Hispanic, All Race Groups Hispanic or Latino </t>
  </si>
  <si>
    <t xml:space="preserve">nation, state, county </t>
  </si>
  <si>
    <t>Michigan Department of Technology and Budget</t>
  </si>
  <si>
    <t>Racial and Ethnicity Prevalence Maps</t>
  </si>
  <si>
    <t>Data Tables</t>
  </si>
  <si>
    <t>Population by Race / Ethnicity / Sex</t>
  </si>
  <si>
    <t>Annual Estimates of the Resident Population by Sex, Race, and Hispanic Origin: April 1, 2020 to July 1, 2022 (SC-EST2022-SR11H)</t>
  </si>
  <si>
    <t>(White alone, White in combination, White along or in combination, Black or African American alone, Black or African American in combination, Black or African American alone or in combination, American Indian and Alaska Native alone, American Indian and Alaska Native in combination, American Indian and Alaska Native alone or in combination, Asian alone, Asian in combination, Asian alone or in combination, Native Hawaiian and other Pacific Islander alone, Native Hawaiian and other Pacific Islander in combination, Native Hawaiian and other Pacific Islander alone or in combination, Two or more races) for Male, Female, Hispanic, non-Hispanic(White alone, White in combination, White along or in combination, Black or African American alone, Black or African American in combination, Black or African American alone or in combination, American Indian and Alaska Native alone, American Indian and Alaska Native in combination, American Indian and Alaska Native alone or in combination, Asian alone, Asian in combination, Asian alone or in combination, Native Hawaiian and other Pacific Islander alone, Native Hawaiian and other Pacific Islander in combination, Native Hawaiian and other Pacific Islander alone or in combination, Two or more races) for Male, Female, Hispanic, non-Hispanic</t>
  </si>
  <si>
    <t>Census population estimates</t>
  </si>
  <si>
    <t>https://www.census.gov/data/datasets/time-series/demo/popest/2020s-state-detail.html</t>
  </si>
  <si>
    <t>2020-2022</t>
  </si>
  <si>
    <t>Annual County Resident Population Estimates by Age, Sex, Race, and Hispanic Origin: April 1, 2020 to July 1, 2022 (CC-EST2022-ALLDATA)</t>
  </si>
  <si>
    <t>(White alone, White in combination, White along or in combination, Black or African American alone, Black or African American in combination, Black or African American alone or in combination, American Indian and Alaska Native alone, American Indian and Alaska Native in combination, American Indian and Alaska Native alone or in combination, Asian alone, Asian in combination, Asian alone or in combination, Native Hawaiian and other Pacific Islander alone, Native Hawaiian and other Pacific Islander in combination, Native Hawaiian and other Pacific Islander alone or in combination, Two or more races) for Male, Female, Hispanic, non-Hispanic</t>
  </si>
  <si>
    <t>https://www.census.gov/data/datasets/time-series/demo/popest/2020s-counties-detail.html</t>
  </si>
  <si>
    <t>State population by age, sex, race and Hispanic origin, from April 1, 2010 through July 1, 2019</t>
  </si>
  <si>
    <t>https://www.census.gov/data/tables/time-series/demo/popest/2010s-state-detail.html</t>
  </si>
  <si>
    <t>2010-2019</t>
  </si>
  <si>
    <t>Department of Administration, Minnesota Demographic Center</t>
  </si>
  <si>
    <t xml:space="preserve">County population by age, sex, race and Hispanic origin, from April 1, 2010 through July 1, 2018 </t>
  </si>
  <si>
    <t>https://www.census.gov/data/tables/time-series/demo/popest/2010s-counties-detail.html</t>
  </si>
  <si>
    <t>State of Mississippi Population Projections, 2020 – 2050</t>
  </si>
  <si>
    <t>White, not White</t>
  </si>
  <si>
    <t>5 years</t>
  </si>
  <si>
    <t>2020-2050</t>
  </si>
  <si>
    <t xml:space="preserve">Lots of links to Census websites that were no longer working. </t>
  </si>
  <si>
    <t>ACS Profile Report: 2017-2021 (5-year estimates)</t>
  </si>
  <si>
    <t>White alone, White alone or in combination, Black or African American alone, Black or African American alone or in combination, American Indian and Alaska Native alone, American Indian and Alaska Native alone or in combination, Asian alone, Asian alone or in combination, Native Hawaiian and other Pacific Islander alone, Native Hawaiian and other Pacific Islander alone or in combination, Some other races, Some other races alone or in combination, Two or more races, Hispanic or Latino of any race, Not Hispanic or Latino, Not Hispanic or Latino White alone, Not Hispanic or Latino Black or African American alone, Not Hispanic or Latino Black or African America American Indian and Alaska Native alone, Not Hispanic or Latino Asian alone, Not Hispanic or Latino , Native Hawaiian and other Pacific Islander alone</t>
  </si>
  <si>
    <t>nation, region, state, county, urban areas, minor civil divisions, city/town, CBSA, congressional district, PUMAs, unified school district</t>
  </si>
  <si>
    <t>Missouri Fact Sheets</t>
  </si>
  <si>
    <t>White alone, Black alone, American Indian or Alaska Native along, Asian alone, Hawaiian or Pacific Islander alone, Hispanic, non-Hispanic</t>
  </si>
  <si>
    <t>Population Trends, 1990-2020</t>
  </si>
  <si>
    <t xml:space="preserve">White, White non-Hispanic, Black, American Indian/Alaska Native, Asian/Hawaiian/Pacific Islander, Hispanic, non-Hispanic  </t>
  </si>
  <si>
    <t>1990-2020</t>
  </si>
  <si>
    <t xml:space="preserve">Guam Demographic Profile Summary File </t>
  </si>
  <si>
    <t xml:space="preserve">One Ethnic Origin or Race: Native Hawaiian and Other Pacific Islander: Carolinian, Chamorro, Chuukese, Kosraean, Marshallese, Palauan, Pohnpeian, Yapese, Other Native Hawaiian, Other Pacific Islander; Asian: Chinese (except Taiwanese) Filipino, Japanese, Korean, Taiwanese, Vietnamese, Other Asian, Black or African American ,Hispanic or Latino, White. Other Ethnic Origin or Race; Two or More Ethnic Origins or Races, Native Hawaiian and Other Pacific Islander and other groups, Chamorro and other groups Asian and other groups  </t>
  </si>
  <si>
    <t>territory</t>
  </si>
  <si>
    <t>Bureau of Statistics and Plans</t>
  </si>
  <si>
    <t>https://bsp.guam.gov/census-of-guam-2/</t>
  </si>
  <si>
    <t xml:space="preserve">Chamorro Population of the United States </t>
  </si>
  <si>
    <t>Chamarro, part-Chamarro</t>
  </si>
  <si>
    <t>1980-2010</t>
  </si>
  <si>
    <t xml:space="preserve">Guam Comparative Demographic Profile Summary File </t>
  </si>
  <si>
    <t>Municipal profiles from the Puerto Rico Community Survey</t>
  </si>
  <si>
    <t>one race, two or more races, one race White, one race Black or African Ameriican, American Indian and Alaska Native, Cherokee tribal grouping, Chippewa tribal grouping, Navajo tribal grouping, Sioux tribal grouping, Asian, Asian Indian, Chinese, Filipino, Japanese, Korean, Vietnamese, Other Asian, Native Hawaiian and Other Pacific Islanders, Native Hawaiian, Chamorro, Samoan, Other Pacific Isalnder, Some other race, Tow or more races, White and Black or African American, White and American Indian and Alaska Native, White and Asian, Black or African American and American Indian and Alaska Native, Race alone or in combination with one or more races: White, Black or African American, American Indian and Alaska Native, Asian, Native Hawaiiian and Other Pacific Islander, Some other races; Hispanic or Latino and Race: Hispanic or Latino (of any race), Mexican, Puerto Rican, Cuban, Other Hispanic or Latino; Not Hispanic or Latino: White alone, Black or Africcan American alone, American Indian and Alaska Native Alone, Asian alone, Native Hawaiian and Other Pacific Islander alone, Some other race alone; Two or more races: Two or more races including some other race, Two races excluding some other race and three or more races</t>
  </si>
  <si>
    <t>territory, municipality</t>
  </si>
  <si>
    <t>https://www.census.gov/programs-surveys/acs/about/puerto-rico-community-survey.html</t>
  </si>
  <si>
    <t>https://data.census.gov/table?q=DP1:+Profile+of+General+Demographic+Characteristics:+2000&amp;g=040XX00US72,72$0500000</t>
  </si>
  <si>
    <t>state, county, place, Indian reservation, ZCTA</t>
  </si>
  <si>
    <t>census tract, state assembly district, state senate district, congressional district, county, city/town, census designated place</t>
  </si>
  <si>
    <t>city/town, census tract</t>
  </si>
  <si>
    <t>state, county, census tract, ZCTA, census county division, congressional district, legislative district, census designated place</t>
  </si>
  <si>
    <t>county, city/town</t>
  </si>
  <si>
    <t xml:space="preserve">nation, state, county, city/town, metropolitan area, micropolitan area, school district </t>
  </si>
  <si>
    <t xml:space="preserve">nation, state, county, city/town metropolitan area, micropolitan area, school district </t>
  </si>
  <si>
    <t xml:space="preserve">nation, state, county, city/town, metropolitan area, micropolitan area, minor civil division, school district </t>
  </si>
  <si>
    <t>nation, state, jurisdiction, metropolitan area, place, congressional district</t>
  </si>
  <si>
    <t>nation, region, state, county, urban area, minor civil division, city/town, CBSA, congressional district, PUMA, unified school district</t>
  </si>
  <si>
    <t>Mission Statement: Y/N ?</t>
  </si>
  <si>
    <t>Link</t>
  </si>
  <si>
    <t>Mission Statment Text</t>
  </si>
  <si>
    <t>SDC or Host Org. (Mission Statement)</t>
  </si>
  <si>
    <t>Host Type</t>
  </si>
  <si>
    <t>Number of Coordinating Agencies</t>
  </si>
  <si>
    <t>https://cber.culverhouse.ua.edu/alabama-state-data-center/</t>
  </si>
  <si>
    <t>The Alabama State Data Center (ASDC) was formed in 1978 as a partnership between the U.S. Census Bureau and the State of Alabama to empower data users throughout the state with understandable, accurate, and timely information. The main emphasis of the ASDC is disseminating information and data produced by the Census Bureau to state and local governments and the data users within our community. The Center for Business and Economic Research (CBER) is the lead data center for ASDC and coordinates the affiliate data centers throughout the state. To support the data dissemination mission, you can reach out to CBER staff or the regional ASDC affiliates with data requests, and we’ll answer questions, help you find and access data, or connect you with the Census Bureau for free. As the lead agency, CBER also pulls some relevant demographic data and houses it on our Alabama Demographics webpage for easy access.</t>
  </si>
  <si>
    <t>SDC</t>
  </si>
  <si>
    <t>University</t>
  </si>
  <si>
    <t>https://live.laborstats.alaska.gov/cen/index.html</t>
  </si>
  <si>
    <t>The Alaska Department of Labor and Workforce Development has had a cooperative agreement with the U.S. Census Bureau since 1981. We assist the Bureau with geographic programs and help Alaskans find Census Bureau data.</t>
  </si>
  <si>
    <t>Host</t>
  </si>
  <si>
    <t>State Agency</t>
  </si>
  <si>
    <t>https://www.azcommerce.com/oeo/population/arizona-state-data-center-sdc/</t>
  </si>
  <si>
    <t>The State Data Center (SDC) Program is one of the Census Bureau's longest and most successful partnerships. The partnership between the 50 states, District of Columbia, Puerto Rico, the island areas and the Census Bureau was created in 1978 to make data available locally to the public through a network of state agencies, universities, libraries, and regional and local governments.</t>
  </si>
  <si>
    <t>Other</t>
  </si>
  <si>
    <t>https://arstatedatacenter.youraedi.com/about-us/</t>
  </si>
  <si>
    <t>The Arkansas Data Center website provides a variety of Census data, both past and present, of interest to Arkansans.</t>
  </si>
  <si>
    <t>https://dof.ca.gov/forecasting/demographics/state-census-data-center/</t>
  </si>
  <si>
    <t>The State Census Data Center (SCDC) was established on January 1, 1979, to serve as the central point for the dissemination of census data in California. The SCDC program was instituted by the U.S. Census Bureau to increase and improve public access to census data products. The SCDC provides services to state and local government agencies and to the general public. The Center processes machine-readable data files; prepares customized reports; and provides user consultation, data analysis, mapping, and training workshops upon request. The SCDC library houses publications and maps from the decennial censuses, the American Community Survey, the Current Population Survey, and other special and periodic surveys.</t>
  </si>
  <si>
    <t>https://demography.dola.colorado.gov/</t>
  </si>
  <si>
    <t>The primary source for Colorado population and demographic information. The State Demography Office provides population estimates and forecasts for Colorado’s regions, counties, and municipalities developed by the State Demography Office and the U.S. Census Bureau. You can access data visualizations, data spreadsheets, data lookup applications, data spreadsheets, data links, and technical documentation by topic or geography by clicking on one of the buttons on the left.</t>
  </si>
  <si>
    <t>https://www.ctdata.org/census</t>
  </si>
  <si>
    <t>In 1978, the Census State Data Center (SDC) Program began as a cooperative agreement between the states and the U.S. Census Bureau. State Data Centers assist the Census Bureau by disseminating census and other federal statistics. As a Census State Data Center partner, CTData is the local resource to contact with questions about finding and interpreting census data. In addition to census data, we also make state public data available in an accessible format. As the CT Census State Data Center we: Provide press releases about data trends throughout Connecticut, Share tutorials on how to access census data online, Answer questions about census data, Publicize available datasets through our networks, Manage a statewide data portal with accessible data tools, Partner with local governments in maintaining proper boundary files at the Census Bureau, Advocate for accurate and timely data products</t>
  </si>
  <si>
    <t>https://stateplanning.delaware.gov/demography/index.shtml</t>
  </si>
  <si>
    <t>The Delaware Census State Data Center is a network of state, local, academic and private sector partners organized under an agreement between the State of Delaware and the U.S. Census Bureau and working together to create, share, and disseminate demographic, economic and other data for Delaware.</t>
  </si>
  <si>
    <t>https://planning.dc.gov/page/state-data-center</t>
  </si>
  <si>
    <t>The State Data Center (SDC) is a mandated function of the Office of Planning set in place by a memorandum of agreement between the Census Bureau and the District of Columbia government in 1978. The SDC is part of a network of 56 SDC lead organizations and approximately 1,800 affiliates. The mission of the SDC is to provide easy and effective access to the Census Bureau’s data and information. The main functions of the SDC are: program administration, data dissemination, data analyses, technical assistance and consultation, product development, and education and promotion of censuses and surveys.</t>
  </si>
  <si>
    <t>http://edr.state.fl.us/Content/state-data-center/index.cfm</t>
  </si>
  <si>
    <t xml:space="preserve">The Office of Economic and Demographic Research has been designated by statute as the lead for the Census Bureau's State Data Center Program. This partnership program enables the state to interact with the Census Bureau regarding new and existing products, programs, and tools. As part of this program, EDR wil be creating customized census products and assisting data users with their needs. In addition, EDR's redistricting pages provide links to current and historical US Congressional, Florida House, and Florida Senate district maps and data. These products include the following: Census Data, Census Data Tools, Census Training, Census Surveys and Programs, Income and Poverty Estimates, Census Products Developed by Other State Agencies
</t>
  </si>
  <si>
    <t>https://opb.georgia.gov/about-us</t>
  </si>
  <si>
    <t>OPB exists to serve the Governor and the state in five primary ways: Work with the Governor each year to develop a budget recommendation for the upcoming and amended fiscal years that is based on agency requests and that will be presented to the General Assembly; Provide research and analysis to the Governor’s Office and other state agencies related to budgetary items as well as to produce an efficient and effective state government;
Review the agencies’ annual operating budgets to ensure that spending plans comply with the approved appropriations act, sound fiscal stewardship, and the Governor’s goals; Develop the state’s strategic plan, outlining the Governor’s vision for the state and how agencies can best support that vision; Supply official demographic and statistical data about the state of Georgia</t>
  </si>
  <si>
    <t>https://census.hawaii.gov/home/overview/</t>
  </si>
  <si>
    <t>The Hawaii State Data Center is a local source that distributes census data; assists the public in the use of census data by providing technical advice; educates the public by providing guides and sponsoring training on census data, products and tools; and maintains a network of affiliate organizations throughout the state.</t>
  </si>
  <si>
    <t>https://www.in.gov/library/collections-and-services/isdc/</t>
  </si>
  <si>
    <t>In 1978, the State Data Center (SDC) Program began as a cooperative agreement between the states and the U.S. Census Bureau. State Data Centers assist the Census Bureau by disseminating Census and other federal statistics. The Indiana State Data Center makes the Census as well as other federal and state statistics on such topics as demographics and economics available through a statewide network of affiliates located in state agencies, universities, libraries, local planning agencies, small business development centers, and non-profit organizations. We provide data and training services to all sectors of the community including government agencies, businesses, academia, non-profit organizations, and private citizens.  Our products and services are used in marketing, economic development, community planning and analysis, grant writing, business start-ups, and much more.</t>
  </si>
  <si>
    <t>Library</t>
  </si>
  <si>
    <t>https://www.iowadatacenter.org/index.php/about/about</t>
  </si>
  <si>
    <t>The State Data Center is a unit of the State Library of Iowa. The mission of the State Data Center is to increase the availability of census data in Iowa and to help people use it. The State Data Center is an advocate for policies to improve census data about Iowa. To carry out our mission to the people of Iowa, the State Data Center provides: An official Web site of U.S. Census Bureau demographic, social, economic, and housing statistics about Iowa, Answers to quick data requests, Custom data tabulations, Thematic maps, Statistical profiles of Iowa communities and special population group, Consultations on appropriate uses of data, Referrals to quality data sources, Training on finding and using statistics about Iowa</t>
  </si>
  <si>
    <t>https://ipsr.ku.edu/sdc/about.shtml</t>
  </si>
  <si>
    <t>As the SDC lead agency, IPSR will: Identify, recruit, and manage an affiliate network of nonprofit stakeholders in the state of Kansas who have a role in economic development efforts or otherwise use diverse economic and demographic data in their efforts; Identify data and training needs; Assist in training data users and affiliates; Provide feedback to the U.S. Census Bureau on products and data; Encourage participation by businesses, local governments, and the public in data collection efforts by the Census Bureau; Reprint, extract, reformat, analyze, or otherwise prepare appropriate subsets of Census data for redistribution to data users and affiliates;</t>
  </si>
  <si>
    <t>http://ksdc.louisville.edu/</t>
  </si>
  <si>
    <t xml:space="preserve">The Kentucky State Data Center (KSDC) is the state’s lead agency in the U.S. Census Bureau’s State Data Center Program and Kentucky’s official clearinghouse for Census data.  The State Data Center program was initiated by the U.S. Census Bureau in 1978 in order to facilitate the dissemination of Census data to data users across the state and to provide a vehicle for user feedback to the Census Bureau. The Kentucky State Data Center is housed in the Department of Urban and Public Affairs in the College of Arts and Sciences at the University of Louisville. KSDC’s mission is to empower data users with comprehensive, accurate, and timely information. The Kentucky State Data Center’s Core Responsibilities are: Program administration; Data dissemination; Data analysis and technical assistance; Promotion of Census Bureau products; Training and education; Assistance with Census operations; Participation in annual meeting
</t>
  </si>
  <si>
    <t>https://www.maine.gov/dafs/economist/census-information</t>
  </si>
  <si>
    <t>The Maine State Data Center (SDC), led by the State Economist’s office, provides demographic and economic data for the state of Maine. The goal of this program, which is a partnership between the state and the U.S. Census Bureau, is to foster public access to data.</t>
  </si>
  <si>
    <t>https://planning.maryland.gov/msdc/Pages/default.aspx</t>
  </si>
  <si>
    <t>The Maryland State Data Center (SDC) is an official partner with the U.S. Census Bureau. The Maryland Department of Planning coordinates the SDC program in Maryland. SDC monitors development trends, analyzes social, economic and other characteristics and prepares population, housing, employment, labor force, and income projections, which provide the baseline for planning for growth and development in the State.​</t>
  </si>
  <si>
    <t>https://donahue.umass.edu/business-groups/economic-public-policy-research/massachusetts-state-data-center/about-us</t>
  </si>
  <si>
    <t>Staffed by members of the Economic and Public Policy Research group, the Massachusetts State Data Center is part of the national State Data Center (SDC) Network, a cooperative program between the states and the U.S. Census Bureau to make data locally accessible. The SDC program’s mission is to provide easy and efficient access to all U.S. Census Bureau data and information through agencies in each state. The SDCs are official sources of demographic, economic, and social statistics produced by the U. S. Census Bureau, such as the American Community Survey, Decennial Census, Longitudinal Employer-Household Dynamics, and County Business Patterns data sets. For those interested in accessing and using Census Bureau data, the SDC also provides training and technical assistance. The Massachusetts SDC maintains its own network of Massachusetts affiliates including state agencies, universities, libraries, and regional and local governments which it relies on to provide local knowledge and expertise. The State Data Center, as a part of the Economic &amp; Public Policy Research group, also produces a comprehensive economic overview of Massachusetts called the Socioeconomic Indicators Report for the Massachusetts State Treasurer’s Department of Debt Management, in support of bond financing initiatives. Please see our report archives for more.</t>
  </si>
  <si>
    <t>https://milmi.org/Population/index</t>
  </si>
  <si>
    <t xml:space="preserve">The Michigan Center for Data and Analytics houses Michigan's state demographer. The state demographer is Michigan’s representative to the Federal-State Cooperative for Population Estimates, the main program at the U.S. Census Bureau through which Michigan has input into the estimates for total population and population by county, city, age, sex, and other factors. The state demographer also leads the Michigan Census Data Network, which provides input into the annual population estimates and the decennial census programs. The Michigan Census Data Network also maintains a group of stakeholders throughout the state that advise the public and assist in data dissemination, collection, and analysis. Beyond serving as a liaison between the state and the U.S. Census Bureau, the state demographer assists state, county, and local government officials; nonprofits; businesses; and the general public with their demographic data needs. The state demographer is available to assist with most data requests involving Census data and to make presentations regarding those data across Michigan. </t>
  </si>
  <si>
    <t>https://mn.gov/admin/demography/about/</t>
  </si>
  <si>
    <t xml:space="preserve">The Minnesota State Demographic Center (SDC), part of the Minnesota Department of Administration, is the main provider of demographic data and analysis for the state of Minnesota. The SDC assists policymakers, state and local governments, businesses, nonprofits, the media, and all Minnesotans locate and understand the demographic data they need to make smart decisions.
</t>
  </si>
  <si>
    <t>https://sdc.olemiss.edu/</t>
  </si>
  <si>
    <t>The State Data Center (SDC) of Mississippi is a collaborative partnership between the University of Mississippi, the State of Mississippi, and the US Census Bureau that provides: Outreach and education, Technical assistance with data requests and analysis, Networking between data users and the Census Bureau, Representation for Mississippi with the Federal-State Cooperative for Population Estimates</t>
  </si>
  <si>
    <t>https://mcdc.missouri.edu/</t>
  </si>
  <si>
    <t>The Missouri Census Data Center (MCDC) is a cooperative program among state agencies in Missouri and the U.S. Bureau of the Census. Its purpose is to enhance awareness of and access to public data, especially Census Bureau products. The MCDC data archive, which includes many national collections as well as Missouri-specific data, is one of the premier sites in the country for accessing census and other public, machine-readable demographic and geographic data.</t>
  </si>
  <si>
    <t>Montana</t>
  </si>
  <si>
    <t>https://ceic.mt.gov/</t>
  </si>
  <si>
    <t>The Census and Economic Information Center provides current, easily accessible, and thorough economic and demographic analysis, data, maps, and expert assistance to meet the needs and requests of the people in the State of Montana.</t>
  </si>
  <si>
    <t>Nebraska</t>
  </si>
  <si>
    <t>https://www.unomaha.edu/college-of-public-affairs-and-community-service/center-for-public-affairs-research/about-us/about-us.php</t>
  </si>
  <si>
    <t>The Center for Public Affairs Research collaboratively produces and disseminates high-quality public scholarship about topics that impact the lives of Nebraskans. Ongoing projects from CPAR, include policy analyses for the Planning Committee of the Nebraska State Legislature, the Nebraska Rural Transit Project, governing.unomaha.edu, and designation by the U.S. Census Bureau as a statewide liaison for disseminating a range of data products.</t>
  </si>
  <si>
    <t>Nevada</t>
  </si>
  <si>
    <t>https://nsla.nv.gov/state-data-center</t>
  </si>
  <si>
    <t>The Nevada State Data Center (SDC) program was established in 1982 as a service of the Nevada State Library, Archives &amp; Public Records. The SDC provides training and technical assistance in accessing and using Census data for the planning, decision-making, administration and research needs of Nevada's state and local governments, businesses, researchers and others.</t>
  </si>
  <si>
    <t>New Hampshire</t>
  </si>
  <si>
    <t>https://www.nheconomy.com/office-of-planning-and-development/what-we-offer/state-data-center-(census-data)</t>
  </si>
  <si>
    <t>The Office of Planning and Development and the US Bureau of the Census jointly support the State Data Center to provide the public with access to census data and customized data products such as OPD's annual population estimates. The mission of the State Data Center (SDC) is: "To provide the citizens of each State with convenient access to statistical information from the US Bureau of the Census for planning research, decision making and administration in government, education, business and other areas of life and work." Established in 1978, the State Data Center is a cooperative program between the states and the US Census Bureau. Its intended purpose is to make census information available locally to the public through a network of State agencies, universities, libraries and regional/local governments. The Office of State Planning (now Office of Energy &amp; Planning) was established on February 1, 1982 as the lead agency for New Hampshire's program and has remained so for the last 20+ years. The SDC is New Hampshire's official source for population statistics. It is also the state's representative to the Federal-State Cooperative Programs for Population Estimates (FSCPE) and Population Projections (FSCPP). The SDC assists government agencies, businesses, non-profit organizations, schools and individuals, answering more than 1,700 requests for information per year.</t>
  </si>
  <si>
    <t>New Jersey</t>
  </si>
  <si>
    <t>https://www.nj.gov/labor/labormarketinformation/contact-us/NJSDC.shtml</t>
  </si>
  <si>
    <t>The New Jersey State Data Center (NJSDC) is a cooperative project of the State of New Jersey and the U.S. Bureau of the Census. the NJSDC has three main objectives as it works to serve data users in the public, private, and academic sectors: Expand access to and use of Census and other statistics, Provide technical assistance and analytical support in the use of these statistics, Provide user training on timely, Census-related topics</t>
  </si>
  <si>
    <t>New Mexico</t>
  </si>
  <si>
    <t>https://edd.newmexico.gov/about-us/</t>
  </si>
  <si>
    <t>The mission of the New Mexico Economic Development Department is to improve the lives of New Mexico families by increasing economic opportunities and providing a place for businesses to thrive.</t>
  </si>
  <si>
    <t>New York</t>
  </si>
  <si>
    <t>https://dol.ny.gov/new-york-state-data-center</t>
  </si>
  <si>
    <t>Welcome to the New York State Data Center (NYSDC), located in the Division of Research and Statistics within the New York State Department of Labor. The State Data Center operates as part of a nationwide effort to improve public access to data provided by the U.S. Census Bureau. The U.S. Census Bureau collects and tabulates data on a multitude of subjects such as population, social, economic and housing demographics, labor force data, health care, migration and transportation. These data play a critical role in understanding our local and larger surrounding communities. Census data also influence state and federal funding, aid decision making in the legislative process, and determine each state's number of congressional seats. As the lead agency in New York for the SDC program, we are here to help you navigate through the multitude of surveys and products provided by the U.S. Census Bureau.</t>
  </si>
  <si>
    <t>North Carolina</t>
  </si>
  <si>
    <t>https://www.osbm.nc.gov/facts-figures/state-data-center</t>
  </si>
  <si>
    <t>The State Data Center is a consortium of agencies cooperating with the US Bureau of the Census to provide the public with data about the state and its component geographic areas. The SDC lead agency is located in the Demographic and Economic Analysis Section of OSBM, where it provides extensive resources for retrieving statistical information.</t>
  </si>
  <si>
    <t>North Dakota</t>
  </si>
  <si>
    <t>https://www.commerce.nd.gov/economic-development-finance/state-data-center</t>
  </si>
  <si>
    <t>The North Dakota State Data Center serves as the state's liaison to the US Census Bureau and is the state repository of census information. This site contains general data for North Dakota regarding the decennial census and population estimates released since its completion. The State Data Center also serves as North Dakota's representative to the Federal-State Cooperative for Population Estimates (FSCPE) and the Federal-State Cooperative for Population Projections (FSCPP). The State Data Center serves as the lead agency in the state census network which consists of two coordinating agencies and 16 affiliates throughout the state.</t>
  </si>
  <si>
    <t>Ohio</t>
  </si>
  <si>
    <t>https://development.ohio.gov/about-us/research/2-research</t>
  </si>
  <si>
    <t>The Office of Research provides data and analysis on the economic, industrial, demographic, and program trends of the state of Ohio, its businesses, and its people. Through reports, maps, and databases, businesses and individuals can find descriptive data on the economic activities of Ohio as well as the population trends of cities, villages, townships, and counties. The Research Office also acts as the state government liaison to the U.S. Bureau of the Census.</t>
  </si>
  <si>
    <t>Oklahoma</t>
  </si>
  <si>
    <t>https://www.okcommerce.gov/doing-business/data-reports/census-2020-demographics/</t>
  </si>
  <si>
    <t>The Oklahoma Department of Commerce operates the State Data Center for the state of Oklahoma. A partner of the U.S. Census Bureau, the State Data Center ensures Oklahoma’s citizens, communities, and businesses have access to critical Census data.</t>
  </si>
  <si>
    <t>Oregon</t>
  </si>
  <si>
    <t>https://www.pdx.edu/population-research/our-mission</t>
  </si>
  <si>
    <t>The mission of PRC is to provide population data, information, and research analysis for Oregon and its communities. Resource-wise, this means providing PRC staff and students with administrative, computing, and information services that support their population-related agendas. Center staff engage in a variety of demographic activities, including the Oregon State Data Center, the Oregon Population Estimates and Projections Program, and a variety of population projects. PRC staff also teach in the Nohad A. Toulan School of Urban Studies and Planning, supporting a graduate concentration in applied demography and a graduate certificate program in applied demography.</t>
  </si>
  <si>
    <t>Pennsylvania</t>
  </si>
  <si>
    <t>https://pasdc.hbg.psu.edu/About-Us</t>
  </si>
  <si>
    <t>The availability of timely, accurate, and useful information is a key factor in economic competitiveness and survival and for day to day decision-making regardless of whether you are a business, non-profit organization or a governmental entity. If you are formulating a marketing plan, relocating or starting a business, developing a customer profile, working on a public policy initiative or just want a demographic figure, The Pennsylvania State Data Center has the information you need. The Pennsylvania State Data Center serves as Pennsylvania's official source of population and economic statistics. In addition to acting as Pennsylvania's liaison to the Census Bureau, the PaSDC is the state's representative to the Federal-State Cooperative Programs for Population Estimates and for Population Projections.</t>
  </si>
  <si>
    <t>Rhode Island</t>
  </si>
  <si>
    <t>https://planning.ri.gov/planning-areas/data-center/ri-data-center-census-data</t>
  </si>
  <si>
    <t xml:space="preserve">The Data Center provides a range of resources based on demographic data provided by the U.S. Census Bureau and other agencies. In addition to preparing tables of Census and American Community Survey (ACS) data, the Data Center also produces population projections and monthly Census Data Bulletins. </t>
  </si>
  <si>
    <t>South Carolina</t>
  </si>
  <si>
    <t>https://rfa.sc.gov/data-research/population-demographics/census-state-data-center</t>
  </si>
  <si>
    <t>The South Carolina Census State Data Center provides U.S. Census Bureau demographic, social, economic, and housing data for South Carolina. The State Data Center Program is a cooperative program between the states and the Census Bureau that was created in 1978 to make data available locally to the public through a network of state agencies, universities, libraries, and regional and local governments. State Data Centers also provide training and technical assistance in the use of Census Bureau data for research, administration, planning and decision making to local governments, the business community, researchers, and other interested data users.</t>
  </si>
  <si>
    <t>South Dakota</t>
  </si>
  <si>
    <t>https://www.sdstate.edu/school-psychology-sociology-and-rural-studies/census-data-center</t>
  </si>
  <si>
    <t>The Center assists people in successfully accessing census data for effective decision-making and sometimes just plain curiosity. We also take on special projects for organizations that have special data needs. We develop projects and seek additional funding to provide more and better data to the citizens and communities of South Dakota. Finally, we provide training to help people more effectively use the census data and presentations about our findings using the data. Our work is informed by a state-wide advisory committee.</t>
  </si>
  <si>
    <t>Tennessee</t>
  </si>
  <si>
    <t>https://tnsdc.utk.edu/about/</t>
  </si>
  <si>
    <t>Our mission is simple – to make Tennessee’s data users stronger. We are experts in accessing, understanding and disseminating data about Tennessee’s population, demographics and economy. We make data understandable and useful to citizens and agencies across the state, and will work continuously to find innovative ways to add value to Tennessee’s state and local government agencies.</t>
  </si>
  <si>
    <t>Texas</t>
  </si>
  <si>
    <t>https://demographics.texas.gov/AboutUs</t>
  </si>
  <si>
    <t>The Texas Demographic Center functions as a focal point for the production, interpretation, and distribution of demographic information for Texas. The Texas Demographic Center produces and disseminates population estimates and projections for Texas, as well as other demographic information. Special emphasis is placed on data that may be useful to policy makers in dealing with issues regarding the demand for State services.</t>
  </si>
  <si>
    <t>Utah</t>
  </si>
  <si>
    <t>https://gardner.utah.edu/demographics/</t>
  </si>
  <si>
    <t>The Gardner Policy Institute provides demographic decision support to the Utah State Legislature and Office of the Governor. We produce population estimates and projections, as well as applied demographic research focused on Utah. We represent the state in work with the Census Bureau, including the State Data Center Program and Federal State Cooperatives for Population Estimates and Projections. We work with the Census Bureau in production, distribution, and analysis of their product.</t>
  </si>
  <si>
    <t>Vermont</t>
  </si>
  <si>
    <t>https://www.uvm.edu/crs/vtsdc</t>
  </si>
  <si>
    <t>The State Data Center (SDC) Program is a cooperative program between the states and the U.S. Census Bureau to make data available locally to the public through a network of state agencies, universities, libraries, and regional and local organizations. The SDC program's mission is to provide easy and efficient access to Census data and information through a wide network of lead, coordinating and affiliate agencies in each state. The SDCs also provide training and technical assistance in accessing and using Census data for research, administration, planning and decision making by local governments, the business community, and other interested data users.</t>
  </si>
  <si>
    <t>Virginia</t>
  </si>
  <si>
    <t>Washington</t>
  </si>
  <si>
    <t>https://ofm.wa.gov/washington-data-research/about-us</t>
  </si>
  <si>
    <t>OFM Forecasting and Research is uniquely positioned as a source for data, research, and statistical analyses to inform decisions by the Governor, the legislature, other state agencies, research communities, and the public. We are home to in-house analytical research and databases ranging from health care, education, demographic characteristics, criminal justice, traffic safety, and economic trends. As data custodians, we value privacy, security, and access. We are committed to promoting diverse and inclusive research communities, reliable data sources, rigorous program evaluations, and accessible information.</t>
  </si>
  <si>
    <t>West Virginia</t>
  </si>
  <si>
    <t>Wisconsin</t>
  </si>
  <si>
    <t>https://doa.wi.gov/Pages/LocalGovtsGrants/Demographic_Services.aspx#</t>
  </si>
  <si>
    <t>Demographic Services Center (DSC) staff develop annual estimates and future projections of the population for all Wisconsin towns, villages, and cities. DSC is also a US Census Bureau State Data Center (SDC) Lead Agency​, helping people acquire and use Census Bureau data. We also review and provide access to records such as annexation petitions and ordinances on our Municipal Data System (MDS).</t>
  </si>
  <si>
    <t>Wyoming</t>
  </si>
  <si>
    <t>http://eadiv.state.wy.us/About_Us.html</t>
  </si>
  <si>
    <t>The Economic Analysis Division's core mission is to coordinate, develop, and disseminate economic &amp; demographic research and information. Central to the Division's mission is the application of economic theory using mathematical and statistical tools. Division competencies include the following: Managing the Decennial Census of Population database, Maintaining the REMI and minerals model, Forecasting the behavior of economic variables used in state revenue projections, Generating the State's biannual cost of living index, Providing quality customer service to clients via published reports, presentations, and customized information responses, Providing policy and economic analysis to state agencies.</t>
  </si>
  <si>
    <t>U.S. Virgin Islands</t>
  </si>
  <si>
    <t>https://www.uvi.edu/research/eastern-caribbean-center/social-research-institute/</t>
  </si>
  <si>
    <t>The Research Institute compiles and analyzes demographic, social and economic data, and disseminates these data into various forums and formats. The Institute also conducts scientific surveys to measure the Territory's population and housing characteristics. Its Activities includes: Management of of Statistical Studies on the Virgin Islands, Conduct of population &amp; housing surveys, Conduct of the VI Decennial Census, Production of a territorial Statistical Digest</t>
  </si>
  <si>
    <t>Commonwealth of the Northern Mariana Islands</t>
  </si>
  <si>
    <t>https://ver1.cnmicommerce.com/divisions/central-statistics/</t>
  </si>
  <si>
    <t>Our division’s main role is compiling all statistical information gathered by both the CNMI and U.S. Federal Government on the Northern Mariana Islands. CSD provides statistical information that includes the Decennial Census Reports, Economic Indicator Reports, CPI, and other surveys and censuses conducted over the years.</t>
  </si>
  <si>
    <t>https://estadisticas.pr/en/sobre-nosotros/mision-y-vision</t>
  </si>
  <si>
    <t xml:space="preserve">The Institute will be the leading entity in statistics. It will guarantee the country that it has complete, reliable statistics with rapid and universal access. It will inspire confidence, seriousness and prestige for its high methodological standards. It will objectively support government management, promote the use of universal norms and standards, and stimulate investigative capacity among the new generations of professionals. </t>
  </si>
  <si>
    <t>https://bsp.guam.gov/about-us/</t>
  </si>
  <si>
    <t>The Bureau of Statistics and Plans’ mission is to ensure Guam’s resources are effectively used for the benefit of present and future generations by ensuring consistency among various plans, policies and programs.</t>
  </si>
  <si>
    <t>American Samoa</t>
  </si>
  <si>
    <t>Tools</t>
  </si>
  <si>
    <t>Geographic level</t>
  </si>
  <si>
    <t>number of geographic level</t>
  </si>
  <si>
    <t>Data sources - Census</t>
  </si>
  <si>
    <t>first year, last year</t>
  </si>
  <si>
    <t>Zip code</t>
  </si>
  <si>
    <t>Decennial Census Demographic Profile Summary File</t>
  </si>
  <si>
    <t>Block group</t>
  </si>
  <si>
    <t>County subdivision</t>
  </si>
  <si>
    <t>Micropolitan Area</t>
  </si>
  <si>
    <t>Native village statistical area</t>
  </si>
  <si>
    <t>native regional corporation</t>
  </si>
  <si>
    <t>Census subarea</t>
  </si>
  <si>
    <t>Regional Economic Information System</t>
  </si>
  <si>
    <t>substate region</t>
  </si>
  <si>
    <t>neighborhood cluster</t>
  </si>
  <si>
    <t>township</t>
  </si>
  <si>
    <t>area development district</t>
  </si>
  <si>
    <t>borough</t>
  </si>
  <si>
    <t>incorporated place</t>
  </si>
  <si>
    <t>planning region</t>
  </si>
  <si>
    <t>prosperity region</t>
  </si>
  <si>
    <t>indian reservation</t>
  </si>
  <si>
    <t>municipality</t>
  </si>
  <si>
    <t>Advisory Neighborhood Commission</t>
  </si>
  <si>
    <t>jurisdiction</t>
  </si>
  <si>
    <t>parish</t>
  </si>
  <si>
    <t>village</t>
  </si>
  <si>
    <t xml:space="preserve">To address the question from Census, “What are state data needs?” the following search platforms were queried and data bases searched. </t>
  </si>
  <si>
    <t>Search Platform</t>
  </si>
  <si>
    <t xml:space="preserve">elicit.org - a relatively new search platform that uses natural language prompts. </t>
  </si>
  <si>
    <r>
      <rPr>
        <sz val="11"/>
        <color rgb="FF212121"/>
        <rFont val="Courier New"/>
      </rPr>
      <t>o</t>
    </r>
    <r>
      <rPr>
        <sz val="7"/>
        <color rgb="FF212121"/>
        <rFont val="Times New Roman"/>
      </rPr>
      <t xml:space="preserve">   </t>
    </r>
    <r>
      <rPr>
        <sz val="11"/>
        <color rgb="FF212121"/>
        <rFont val="Calibri"/>
      </rPr>
      <t xml:space="preserve">“What are the data needs of U.S. state and local governments?” </t>
    </r>
  </si>
  <si>
    <r>
      <rPr>
        <sz val="11"/>
        <color rgb="FF0078D7"/>
        <rFont val="Calibri"/>
      </rPr>
      <t>Why We Need Federal Statistical Data for States and Counties</t>
    </r>
    <r>
      <rPr>
        <sz val="11"/>
        <color rgb="FF212121"/>
        <rFont val="Calibri"/>
      </rPr>
      <t> (</t>
    </r>
    <r>
      <rPr>
        <sz val="11"/>
        <color rgb="FF0078D7"/>
        <rFont val="Calibri"/>
      </rPr>
      <t>Semantic Scholar)</t>
    </r>
    <r>
      <rPr>
        <sz val="11"/>
        <color rgb="FF212121"/>
        <rFont val="Calibri"/>
      </rPr>
      <t> </t>
    </r>
  </si>
  <si>
    <r>
      <rPr>
        <sz val="11"/>
        <color rgb="FF212121"/>
        <rFont val="Courier New"/>
      </rPr>
      <t>o</t>
    </r>
    <r>
      <rPr>
        <sz val="7"/>
        <color rgb="FF212121"/>
        <rFont val="Times New Roman"/>
      </rPr>
      <t xml:space="preserve">   </t>
    </r>
    <r>
      <rPr>
        <sz val="11"/>
        <color rgb="FF212121"/>
        <rFont val="Calibri"/>
      </rPr>
      <t>“What can Census do to help U.S. State Data Centers?” </t>
    </r>
  </si>
  <si>
    <r>
      <rPr>
        <sz val="11"/>
        <color rgb="FF212121"/>
        <rFont val="Courier New"/>
      </rPr>
      <t>o</t>
    </r>
    <r>
      <rPr>
        <sz val="7"/>
        <color rgb="FF212121"/>
        <rFont val="Times New Roman"/>
      </rPr>
      <t xml:space="preserve">   </t>
    </r>
    <r>
      <rPr>
        <sz val="11"/>
        <color rgb="FF212121"/>
        <rFont val="Calibri"/>
      </rPr>
      <t>“What data do U.S. local governments want?”</t>
    </r>
  </si>
  <si>
    <t>A Survey of Municipal Open Data Repositories in the U.S.</t>
  </si>
  <si>
    <r>
      <rPr>
        <sz val="11"/>
        <color rgb="FF212121"/>
        <rFont val="Courier New"/>
      </rPr>
      <t>o</t>
    </r>
    <r>
      <rPr>
        <sz val="7"/>
        <color rgb="FF212121"/>
        <rFont val="Times New Roman"/>
      </rPr>
      <t xml:space="preserve">   </t>
    </r>
    <r>
      <rPr>
        <sz val="11"/>
        <color rgb="FF212121"/>
        <rFont val="Calibri"/>
      </rPr>
      <t>“How the U.S. CENSUS can help State Data Centers?”</t>
    </r>
  </si>
  <si>
    <t>The Use of Blended Data to Improve Public Assistance Programs: Results from a Partnership between the U.S. Census Bureau, USDA, and State Program Agencies</t>
  </si>
  <si>
    <r>
      <rPr>
        <sz val="11"/>
        <color rgb="FF212121"/>
        <rFont val="Courier New"/>
      </rPr>
      <t>o</t>
    </r>
    <r>
      <rPr>
        <sz val="7"/>
        <color rgb="FF212121"/>
        <rFont val="Times New Roman"/>
      </rPr>
      <t xml:space="preserve">   </t>
    </r>
    <r>
      <rPr>
        <sz val="11"/>
        <color rgb="FF212121"/>
        <rFont val="Calibri"/>
      </rPr>
      <t>“What are United States local government data needs?”</t>
    </r>
  </si>
  <si>
    <t>The Federal Statistical System: The Local Government Perspective</t>
  </si>
  <si>
    <t>Beyond the supply side: Use and impact of municipal open data in the U.S.</t>
  </si>
  <si>
    <t>Databases</t>
  </si>
  <si>
    <t>Various iterations of the above questions were used to search the following data bases with no success.</t>
  </si>
  <si>
    <r>
      <rPr>
        <sz val="11"/>
        <color rgb="FF212121"/>
        <rFont val="Symbol"/>
      </rPr>
      <t xml:space="preserve">o  </t>
    </r>
    <r>
      <rPr>
        <u/>
        <sz val="11"/>
        <color rgb="FF212121"/>
        <rFont val="Calibri"/>
      </rPr>
      <t>Policy Commons</t>
    </r>
    <r>
      <rPr>
        <sz val="11"/>
        <color rgb="FF212121"/>
        <rFont val="Calibri"/>
      </rPr>
      <t xml:space="preserve"> (accessed through the UVA library)</t>
    </r>
  </si>
  <si>
    <r>
      <rPr>
        <sz val="11"/>
        <color rgb="FF212121"/>
        <rFont val="Symbol"/>
      </rPr>
      <t xml:space="preserve">o  </t>
    </r>
    <r>
      <rPr>
        <u/>
        <sz val="11"/>
        <color rgb="FF212121"/>
        <rFont val="Calibri"/>
      </rPr>
      <t>Policy Index File</t>
    </r>
    <r>
      <rPr>
        <sz val="11"/>
        <color rgb="FF212121"/>
        <rFont val="Calibri"/>
      </rPr>
      <t xml:space="preserve"> (accessed through the UVA library)</t>
    </r>
  </si>
  <si>
    <t>Nonprofits and Associations</t>
  </si>
  <si>
    <t>o   Urban Institute</t>
  </si>
  <si>
    <t>o   Association of Public Data Users</t>
  </si>
  <si>
    <t>o   State and Local Government Documents </t>
  </si>
  <si>
    <t>o   National Association of Counties</t>
  </si>
  <si>
    <t>o   National Conference of State Legislatures</t>
  </si>
  <si>
    <t>Mapping Platform</t>
  </si>
  <si>
    <t xml:space="preserve">Policy  Map </t>
  </si>
  <si>
    <t>o   Customer Stories</t>
  </si>
  <si>
    <t>City of Philadelphia – “The City began using PolicyMap for grant applications, but that was just the start. The Philadelphia Division of Housing and Community Development worked with PolicyMap to create a custom report that supplies up-to-date information needed for quarterly reports to HUD to meet the requirements for the Choice Neighborhood grant, which provides funding to revitalize neighborhoods with distressed public or HUD-assisted housing.” </t>
  </si>
  <si>
    <t>USDA Rural Housing Service – “RHS needed a better way to track progress of projects to stay organized and show positive impact. In 2015, the Rural Housing Service was reaching unprecedented levels of success in helping build small-town health clinics and offering successful loans to families as a result of a huge budget increase. However, with the flurry of activity within the department, the RHS needed a better way to track the progress of these projects to stay organized and show off their positive impact.”</t>
  </si>
  <si>
    <t>City of Dallas – “The City of Dallas’s Department of Planning and Urban Design found they were frequently reacting to repetitive requests for data and maps, and they needed a proactive solution, both across city government departments and to better serve public requests for information.”</t>
  </si>
  <si>
    <t>Hawaii Data Collaborative – “Finding meaningful, cohesive data about trends in Hawaii’s communities and a shared understanding of the state of Hawaii residents was challenging due to siloed information and lack of data.”</t>
  </si>
  <si>
    <t xml:space="preserve">North Carolina Housing Finance Agency – “To better inform decision-making around affordable housing strategies, NCHFA needed a platform to easily share housing data with the public. When spreadsheets of data proved too inaccessible, and a self-maintained GIS platform proved too cumbersome, NCHFA turned to an interactive, embedded, automatically updated map from PolicyMap.” </t>
  </si>
  <si>
    <t>Connecticut Housing Finance Authority -  CHFA works to alleviate the shortage of housing for low- to moderate-income families and persons in Connecticut. To communicate the impact of their investments, staff relied on analysts and complex GIS software. As requests for data pulls, quick maps, and reports grew, CHFA needed a solution for making community housing information more accessible to anyone in the organization. Staff needed the ability to explore specific geographies, perform their own impact analysis, and geocode information based on legislative districts for meetings with state legislators, community partners, and municipal planners.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</si>
</sst>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sz val="11"/>
      <color theme="1"/>
      <name val="Calibri"/>
      <family val="2"/>
      <scheme val="minor"/>
    </font>
    <font>
      <u/>
      <sz val="11"/>
      <color theme="10"/>
      <name val="Calibri"/>
      <family val="2"/>
      <scheme val="minor"/>
    </font>
    <font>
      <sz val="11"/>
      <color rgb="FF333333"/>
      <name val="Calibri"/>
      <family val="2"/>
    </font>
    <font>
      <sz val="11"/>
      <color rgb="FF000000"/>
      <name val="Calibri"/>
      <family val="2"/>
    </font>
    <font>
      <sz val="11"/>
      <color rgb="FF000000"/>
      <name val="Calibri"/>
      <family val="2"/>
      <scheme val="minor"/>
    </font>
    <font>
      <sz val="11"/>
      <color rgb="FF444444"/>
      <name val="Calibri"/>
      <family val="2"/>
      <charset val="1"/>
    </font>
    <font>
      <b/>
      <sz val="11"/>
      <color theme="1"/>
      <name val="Calibri"/>
      <family val="2"/>
      <scheme val="minor"/>
    </font>
    <font>
      <sz val="11"/>
      <color theme="1"/>
      <name val="Calibri"/>
      <family val="2"/>
    </font>
    <font>
      <sz val="11"/>
      <color rgb="FF000000"/>
      <name val="Calibri"/>
      <family val="2"/>
      <charset val="1"/>
    </font>
    <font>
      <b/>
      <sz val="11"/>
      <color rgb="FF000000"/>
      <name val="Calibri"/>
      <family val="2"/>
      <scheme val="minor"/>
    </font>
    <font>
      <sz val="11"/>
      <color rgb="FF333333"/>
      <name val="Calibri"/>
      <family val="2"/>
      <scheme val="minor"/>
    </font>
    <font>
      <sz val="11"/>
      <color theme="10"/>
      <name val="Calibri"/>
      <family val="2"/>
      <scheme val="minor"/>
    </font>
    <font>
      <sz val="12"/>
      <color theme="1"/>
      <name val="Calibri (Body)"/>
    </font>
    <font>
      <sz val="11"/>
      <color rgb="FF444444"/>
      <name val="Calibri"/>
      <family val="2"/>
    </font>
    <font>
      <sz val="11"/>
      <color theme="1"/>
      <name val="Calibri (Body)"/>
    </font>
    <font>
      <sz val="11"/>
      <color rgb="FF131313"/>
      <name val="Calibri"/>
      <family val="2"/>
      <scheme val="minor"/>
    </font>
    <font>
      <sz val="11"/>
      <color rgb="FF212121"/>
      <name val="Calibri"/>
      <family val="2"/>
    </font>
    <font>
      <sz val="11"/>
      <color rgb="FF212121"/>
      <name val="Symbol"/>
      <charset val="2"/>
    </font>
    <font>
      <sz val="11"/>
      <color rgb="FF212121"/>
      <name val="Courier New"/>
      <family val="1"/>
    </font>
    <font>
      <sz val="12"/>
      <color rgb="FF212121"/>
      <name val="Calibri"/>
      <family val="2"/>
    </font>
    <font>
      <sz val="12"/>
      <color rgb="FF000000"/>
      <name val="Calibri"/>
      <family val="2"/>
    </font>
    <font>
      <b/>
      <sz val="14"/>
      <color rgb="FF212121"/>
      <name val="Calibri"/>
      <family val="2"/>
    </font>
    <font>
      <sz val="11"/>
      <color rgb="FF212121"/>
      <name val="Calibri (Body)"/>
    </font>
    <font>
      <sz val="11"/>
      <color rgb="FF212121"/>
      <name val="Courier New"/>
    </font>
    <font>
      <sz val="7"/>
      <color rgb="FF212121"/>
      <name val="Times New Roman"/>
    </font>
    <font>
      <sz val="11"/>
      <color rgb="FF212121"/>
      <name val="Calibri"/>
    </font>
    <font>
      <sz val="11"/>
      <color rgb="FF0078D7"/>
      <name val="Calibri"/>
    </font>
    <font>
      <sz val="11"/>
      <color rgb="FF212121"/>
      <name val="Symbol"/>
    </font>
    <font>
      <u/>
      <sz val="11"/>
      <color rgb="FF212121"/>
      <name val="Calibri"/>
    </font>
  </fonts>
  <fills count="6">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2"/>
        <bgColor indexed="64"/>
      </patternFill>
    </fill>
    <fill>
      <patternFill patternType="solid">
        <fgColor rgb="FFFFFFFF"/>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style="thin">
        <color rgb="FF8EA9DB"/>
      </top>
      <bottom style="thin">
        <color rgb="FF8EA9DB"/>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00">
    <xf numFmtId="0" fontId="0" fillId="0" borderId="0" xfId="0"/>
    <xf numFmtId="0" fontId="0" fillId="0" borderId="0" xfId="0" applyAlignment="1">
      <alignment wrapText="1"/>
    </xf>
    <xf numFmtId="0" fontId="0" fillId="2" borderId="1" xfId="0" applyFill="1" applyBorder="1" applyAlignment="1">
      <alignment wrapText="1"/>
    </xf>
    <xf numFmtId="0" fontId="0" fillId="2" borderId="1" xfId="0" applyFill="1" applyBorder="1"/>
    <xf numFmtId="0" fontId="0" fillId="2" borderId="2" xfId="0" applyFill="1" applyBorder="1"/>
    <xf numFmtId="0" fontId="0" fillId="0" borderId="2" xfId="0" applyBorder="1"/>
    <xf numFmtId="0" fontId="0" fillId="0" borderId="1" xfId="0" applyBorder="1" applyAlignment="1">
      <alignment wrapText="1"/>
    </xf>
    <xf numFmtId="0" fontId="0" fillId="2" borderId="3" xfId="0" applyFill="1" applyBorder="1"/>
    <xf numFmtId="0" fontId="0" fillId="2" borderId="4" xfId="0" applyFill="1" applyBorder="1" applyAlignment="1">
      <alignment wrapText="1"/>
    </xf>
    <xf numFmtId="0" fontId="0" fillId="2" borderId="2" xfId="0" applyFill="1" applyBorder="1" applyAlignment="1">
      <alignment wrapText="1"/>
    </xf>
    <xf numFmtId="0" fontId="0" fillId="0" borderId="4" xfId="0" applyBorder="1" applyAlignment="1">
      <alignment wrapText="1"/>
    </xf>
    <xf numFmtId="0" fontId="0" fillId="3" borderId="3" xfId="0" applyFill="1" applyBorder="1"/>
    <xf numFmtId="0" fontId="0" fillId="3" borderId="1" xfId="0" applyFill="1" applyBorder="1"/>
    <xf numFmtId="0" fontId="0" fillId="0" borderId="0" xfId="0" applyAlignment="1">
      <alignment vertical="top" wrapText="1"/>
    </xf>
    <xf numFmtId="0" fontId="0" fillId="0" borderId="0" xfId="0" applyAlignment="1">
      <alignment vertical="top"/>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5" xfId="0" applyFont="1" applyBorder="1" applyAlignment="1">
      <alignment vertical="top"/>
    </xf>
    <xf numFmtId="0" fontId="2" fillId="0" borderId="0" xfId="1" applyAlignment="1">
      <alignment vertical="top"/>
    </xf>
    <xf numFmtId="0" fontId="0" fillId="4" borderId="0" xfId="0" applyFill="1"/>
    <xf numFmtId="0" fontId="6" fillId="2" borderId="0" xfId="0" applyFont="1" applyFill="1" applyAlignment="1">
      <alignment wrapText="1"/>
    </xf>
    <xf numFmtId="0" fontId="2" fillId="0" borderId="0" xfId="1" applyAlignment="1">
      <alignment wrapText="1"/>
    </xf>
    <xf numFmtId="0" fontId="7" fillId="4" borderId="1" xfId="0" applyFont="1" applyFill="1" applyBorder="1" applyAlignment="1">
      <alignment horizontal="center" vertical="center" wrapText="1"/>
    </xf>
    <xf numFmtId="0" fontId="0" fillId="0" borderId="0" xfId="0" applyAlignment="1">
      <alignment horizontal="center" vertical="center" wrapText="1"/>
    </xf>
    <xf numFmtId="0" fontId="7" fillId="4" borderId="7"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0" fillId="0" borderId="8" xfId="0" applyBorder="1" applyAlignment="1">
      <alignment horizontal="center" vertical="center" wrapText="1"/>
    </xf>
    <xf numFmtId="0" fontId="6" fillId="0" borderId="0" xfId="0" applyFont="1" applyAlignment="1">
      <alignment vertical="top"/>
    </xf>
    <xf numFmtId="0" fontId="4" fillId="0" borderId="0" xfId="0" applyFont="1" applyAlignment="1">
      <alignment wrapText="1"/>
    </xf>
    <xf numFmtId="0" fontId="4" fillId="0" borderId="5" xfId="0" applyFont="1" applyBorder="1" applyAlignment="1">
      <alignment vertical="top" wrapText="1"/>
    </xf>
    <xf numFmtId="0" fontId="5" fillId="0" borderId="0" xfId="0" applyFont="1" applyAlignment="1">
      <alignment vertical="top" wrapText="1"/>
    </xf>
    <xf numFmtId="0" fontId="2" fillId="0" borderId="0" xfId="1" applyFill="1" applyAlignment="1">
      <alignment vertical="top"/>
    </xf>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xf>
    <xf numFmtId="0" fontId="4" fillId="0" borderId="0" xfId="0" applyFont="1"/>
    <xf numFmtId="0" fontId="0" fillId="0" borderId="9" xfId="0" applyBorder="1" applyAlignment="1">
      <alignment horizontal="left" vertical="top"/>
    </xf>
    <xf numFmtId="0" fontId="0" fillId="0" borderId="9" xfId="0" applyBorder="1" applyAlignment="1">
      <alignment horizontal="left" vertical="top" wrapText="1"/>
    </xf>
    <xf numFmtId="0" fontId="5" fillId="0" borderId="0" xfId="0" applyFont="1"/>
    <xf numFmtId="0" fontId="2" fillId="0" borderId="0" xfId="1" applyBorder="1" applyAlignment="1">
      <alignment horizontal="left" vertical="top" wrapText="1"/>
    </xf>
    <xf numFmtId="0" fontId="0" fillId="0" borderId="0" xfId="0" applyAlignment="1">
      <alignment horizontal="center" vertical="center"/>
    </xf>
    <xf numFmtId="0" fontId="7" fillId="4" borderId="1" xfId="0" applyFont="1" applyFill="1" applyBorder="1" applyAlignment="1">
      <alignment horizontal="left" vertical="center"/>
    </xf>
    <xf numFmtId="0" fontId="0" fillId="0" borderId="0" xfId="0" applyAlignment="1">
      <alignment horizontal="left" vertical="center"/>
    </xf>
    <xf numFmtId="0" fontId="2" fillId="0" borderId="0" xfId="1" applyBorder="1" applyAlignment="1">
      <alignment horizontal="left" vertical="center"/>
    </xf>
    <xf numFmtId="0" fontId="0" fillId="0" borderId="8" xfId="0" applyBorder="1" applyAlignment="1">
      <alignment horizontal="left" vertical="center"/>
    </xf>
    <xf numFmtId="0" fontId="2" fillId="0" borderId="8" xfId="1" applyBorder="1" applyAlignment="1">
      <alignment horizontal="left" vertical="center"/>
    </xf>
    <xf numFmtId="0" fontId="2" fillId="0" borderId="0" xfId="1" applyAlignment="1">
      <alignment horizontal="left" vertical="center"/>
    </xf>
    <xf numFmtId="0" fontId="11" fillId="0" borderId="0" xfId="0" applyFont="1"/>
    <xf numFmtId="0" fontId="12" fillId="0" borderId="0" xfId="1" applyFont="1" applyBorder="1" applyAlignment="1">
      <alignment horizontal="left" vertical="top" wrapText="1"/>
    </xf>
    <xf numFmtId="0" fontId="5" fillId="0" borderId="0" xfId="1" applyFont="1" applyBorder="1" applyAlignment="1">
      <alignment horizontal="left" vertical="top" wrapText="1"/>
    </xf>
    <xf numFmtId="0" fontId="13" fillId="0" borderId="0" xfId="0" applyFont="1"/>
    <xf numFmtId="0" fontId="14" fillId="0" borderId="0" xfId="0" applyFont="1"/>
    <xf numFmtId="0" fontId="5" fillId="0" borderId="9" xfId="0" applyFont="1" applyBorder="1" applyAlignment="1">
      <alignment horizontal="left" vertical="top" wrapText="1"/>
    </xf>
    <xf numFmtId="0" fontId="5" fillId="0" borderId="9" xfId="0" applyFont="1" applyBorder="1" applyAlignment="1">
      <alignment horizontal="left" vertical="top"/>
    </xf>
    <xf numFmtId="0" fontId="14" fillId="0" borderId="0" xfId="0" applyFont="1" applyAlignment="1">
      <alignment wrapText="1"/>
    </xf>
    <xf numFmtId="0" fontId="0" fillId="0" borderId="0" xfId="0" applyAlignment="1">
      <alignment horizontal="center"/>
    </xf>
    <xf numFmtId="0" fontId="4" fillId="0" borderId="0" xfId="0" applyFont="1" applyAlignment="1">
      <alignment horizontal="center" vertical="center" wrapText="1"/>
    </xf>
    <xf numFmtId="0" fontId="0" fillId="4" borderId="0" xfId="0" applyFill="1" applyAlignment="1">
      <alignment horizontal="center" vertical="center"/>
    </xf>
    <xf numFmtId="0" fontId="0" fillId="4" borderId="0" xfId="0" applyFill="1" applyAlignment="1">
      <alignment horizontal="center" vertical="center" wrapText="1"/>
    </xf>
    <xf numFmtId="0" fontId="8" fillId="0" borderId="0" xfId="0" applyFont="1" applyAlignment="1">
      <alignment vertical="center"/>
    </xf>
    <xf numFmtId="0" fontId="15" fillId="0" borderId="0" xfId="0" applyFont="1"/>
    <xf numFmtId="0" fontId="15" fillId="0" borderId="0" xfId="0" applyFont="1" applyAlignment="1">
      <alignment vertical="center"/>
    </xf>
    <xf numFmtId="0" fontId="16" fillId="0" borderId="0" xfId="0" applyFont="1"/>
    <xf numFmtId="0" fontId="0" fillId="4" borderId="0" xfId="0" applyFill="1" applyAlignment="1">
      <alignment horizontal="center"/>
    </xf>
    <xf numFmtId="0" fontId="4" fillId="0" borderId="0" xfId="0" applyFont="1" applyAlignment="1">
      <alignment horizontal="center"/>
    </xf>
    <xf numFmtId="3" fontId="0" fillId="0" borderId="0" xfId="0" applyNumberFormat="1"/>
    <xf numFmtId="0" fontId="7" fillId="4" borderId="0" xfId="0" applyFont="1" applyFill="1" applyAlignment="1">
      <alignment horizontal="center" vertical="center" wrapText="1"/>
    </xf>
    <xf numFmtId="0" fontId="7" fillId="4" borderId="0" xfId="0" applyFont="1" applyFill="1" applyAlignment="1">
      <alignment horizontal="center" vertical="center"/>
    </xf>
    <xf numFmtId="0" fontId="7" fillId="4" borderId="11" xfId="0" applyFont="1" applyFill="1" applyBorder="1" applyAlignment="1">
      <alignment horizontal="center" vertical="center" wrapText="1"/>
    </xf>
    <xf numFmtId="0" fontId="7" fillId="4" borderId="11" xfId="0" applyFont="1" applyFill="1" applyBorder="1" applyAlignment="1">
      <alignment horizontal="center" vertical="center"/>
    </xf>
    <xf numFmtId="0" fontId="5" fillId="0" borderId="0" xfId="1" applyFont="1" applyAlignment="1">
      <alignment wrapText="1"/>
    </xf>
    <xf numFmtId="0" fontId="4" fillId="5" borderId="0" xfId="0" applyFont="1" applyFill="1" applyAlignment="1">
      <alignment wrapText="1"/>
    </xf>
    <xf numFmtId="0" fontId="4" fillId="0" borderId="10" xfId="0" applyFont="1" applyBorder="1" applyAlignment="1">
      <alignment wrapText="1"/>
    </xf>
    <xf numFmtId="0" fontId="4" fillId="0" borderId="0" xfId="0" quotePrefix="1" applyFont="1" applyAlignment="1">
      <alignment wrapText="1"/>
    </xf>
    <xf numFmtId="0" fontId="2" fillId="0" borderId="0" xfId="1"/>
    <xf numFmtId="0" fontId="0" fillId="0" borderId="0" xfId="0" applyAlignment="1">
      <alignment horizontal="left" vertical="top"/>
    </xf>
    <xf numFmtId="0" fontId="0" fillId="0" borderId="0" xfId="0" applyAlignment="1">
      <alignment horizontal="left" vertical="top" wrapText="1"/>
    </xf>
    <xf numFmtId="0" fontId="9" fillId="0" borderId="0" xfId="0" applyFont="1" applyAlignment="1">
      <alignment horizontal="left" vertical="top" wrapText="1"/>
    </xf>
    <xf numFmtId="0" fontId="1"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xf>
    <xf numFmtId="0" fontId="10" fillId="4" borderId="0" xfId="0" applyFont="1" applyFill="1" applyAlignment="1">
      <alignment horizontal="center" vertical="center" wrapText="1"/>
    </xf>
    <xf numFmtId="0" fontId="5" fillId="0" borderId="0" xfId="1" applyFont="1" applyBorder="1"/>
    <xf numFmtId="0" fontId="4" fillId="0" borderId="9" xfId="0" applyFont="1" applyBorder="1" applyAlignment="1">
      <alignment horizontal="left" vertical="top"/>
    </xf>
    <xf numFmtId="0" fontId="5" fillId="0" borderId="9" xfId="1" applyFont="1" applyBorder="1" applyAlignment="1">
      <alignment horizontal="left" vertical="top" wrapText="1"/>
    </xf>
    <xf numFmtId="0" fontId="2" fillId="0" borderId="9" xfId="1" applyBorder="1" applyAlignment="1">
      <alignment horizontal="left" vertical="top" wrapText="1"/>
    </xf>
    <xf numFmtId="0" fontId="22" fillId="0" borderId="0" xfId="0" applyFont="1" applyAlignment="1" applyProtection="1">
      <alignment vertical="center" wrapText="1"/>
      <protection locked="0"/>
    </xf>
    <xf numFmtId="0" fontId="17" fillId="0" borderId="0" xfId="0" applyFont="1" applyAlignment="1" applyProtection="1">
      <alignment vertical="center" wrapText="1"/>
      <protection locked="0"/>
    </xf>
    <xf numFmtId="0" fontId="2" fillId="0" borderId="0" xfId="1"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4" fillId="0" borderId="0" xfId="0" applyFont="1" applyAlignment="1" applyProtection="1">
      <alignment vertical="center" wrapText="1"/>
      <protection locked="0"/>
    </xf>
    <xf numFmtId="0" fontId="21" fillId="0" borderId="0" xfId="0" applyFont="1" applyAlignment="1" applyProtection="1">
      <alignment vertical="center" wrapText="1"/>
      <protection locked="0"/>
    </xf>
    <xf numFmtId="0" fontId="20" fillId="0" borderId="0" xfId="0" applyFont="1" applyAlignment="1" applyProtection="1">
      <alignment vertical="center" wrapText="1"/>
      <protection locked="0"/>
    </xf>
    <xf numFmtId="0" fontId="0" fillId="0" borderId="0" xfId="0" applyAlignment="1" applyProtection="1">
      <alignment wrapText="1"/>
      <protection locked="0"/>
    </xf>
    <xf numFmtId="0" fontId="23" fillId="0" borderId="0" xfId="0" applyFont="1" applyAlignment="1" applyProtection="1">
      <alignment horizontal="left" vertical="center" wrapText="1"/>
      <protection locked="0"/>
    </xf>
    <xf numFmtId="0" fontId="26" fillId="0" borderId="0" xfId="0" applyFont="1" applyAlignment="1" applyProtection="1">
      <alignment horizontal="left" vertical="center" wrapText="1"/>
      <protection locked="0"/>
    </xf>
    <xf numFmtId="0" fontId="0" fillId="4" borderId="0" xfId="0" applyFill="1" applyAlignment="1">
      <alignment horizontal="left"/>
    </xf>
    <xf numFmtId="0" fontId="0" fillId="0" borderId="9" xfId="0" applyBorder="1" applyAlignment="1">
      <alignment horizontal="center" vertical="center" wrapText="1"/>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3" Type="http://schemas.openxmlformats.org/officeDocument/2006/relationships/hyperlink" Target="https://www.arcgis.com/apps/dashboards/9b894992329f4972acd650048189558c" TargetMode="External"/><Relationship Id="rId18" Type="http://schemas.openxmlformats.org/officeDocument/2006/relationships/hyperlink" Target="https://dof.ca.gov/wp-content/uploads/sites/352/Forecasting/Demographics/Documents/2020Census_PL942020_Profile_USA.pdf" TargetMode="External"/><Relationship Id="rId26" Type="http://schemas.openxmlformats.org/officeDocument/2006/relationships/hyperlink" Target="https://www.ctdata.org/demographics-report" TargetMode="External"/><Relationship Id="rId39" Type="http://schemas.openxmlformats.org/officeDocument/2006/relationships/hyperlink" Target="https://planning.dc.gov/node/616202" TargetMode="External"/><Relationship Id="rId21" Type="http://schemas.openxmlformats.org/officeDocument/2006/relationships/hyperlink" Target="https://acs2021.ctdata.org/" TargetMode="External"/><Relationship Id="rId34" Type="http://schemas.openxmlformats.org/officeDocument/2006/relationships/hyperlink" Target="https://planning.dc.gov/sites/default/files/dc/sites/op/publication/attachments/Map%202%20-%202020%20Census%20Population%20by%20Census%20Tract%20with%20Ward%20Table.pdf" TargetMode="External"/><Relationship Id="rId42" Type="http://schemas.openxmlformats.org/officeDocument/2006/relationships/hyperlink" Target="https://planning.dc.gov/sites/default/files/dc/sites/op/publication/attachments/Neighborhood%20Cluster%20Age%2018-34.pdf" TargetMode="External"/><Relationship Id="rId47" Type="http://schemas.openxmlformats.org/officeDocument/2006/relationships/hyperlink" Target="https://extension.illinois.edu/ilcensus/population-attributes" TargetMode="External"/><Relationship Id="rId50" Type="http://schemas.openxmlformats.org/officeDocument/2006/relationships/hyperlink" Target="https://louisville.app.box.com/s/ndp7uvqbi6xtsv1sd2ylntvaer02kklq" TargetMode="External"/><Relationship Id="rId55" Type="http://schemas.openxmlformats.org/officeDocument/2006/relationships/hyperlink" Target="https://mcdc.missouri.edu/applications/population/change/" TargetMode="External"/><Relationship Id="rId7" Type="http://schemas.openxmlformats.org/officeDocument/2006/relationships/hyperlink" Target="https://data.census.gov/table?g=040XX00US15&amp;y=2021&amp;d=ACS+5-Year+Estimates+Data+Profiles" TargetMode="External"/><Relationship Id="rId2" Type="http://schemas.openxmlformats.org/officeDocument/2006/relationships/hyperlink" Target="https://data.census.gov/table?q=acs&amp;g=040XX00US10,10$0500000&amp;y=2021&amp;tid=ACSST1Y2021.S0101" TargetMode="External"/><Relationship Id="rId16" Type="http://schemas.openxmlformats.org/officeDocument/2006/relationships/hyperlink" Target="https://arstatedatacenter.youraedi.com/scripts/ACS5yrprofilelinker.php?vintage=2020&amp;type=DP05&amp;level=040&amp;geo=0400000US05" TargetMode="External"/><Relationship Id="rId29" Type="http://schemas.openxmlformats.org/officeDocument/2006/relationships/hyperlink" Target="https://www.ctdata.org/geospatial-data-tools-gis" TargetMode="External"/><Relationship Id="rId11" Type="http://schemas.openxmlformats.org/officeDocument/2006/relationships/hyperlink" Target="https://live.laborstats.alaska.gov/pop/projections/pub/popproj.pdf" TargetMode="External"/><Relationship Id="rId24" Type="http://schemas.openxmlformats.org/officeDocument/2006/relationships/hyperlink" Target="https://dmhasregions.ctdata.org/" TargetMode="External"/><Relationship Id="rId32" Type="http://schemas.openxmlformats.org/officeDocument/2006/relationships/hyperlink" Target="https://planning.dc.gov/sites/default/files/dc/sites/op/publication/attachments/Key%20Indicators%202017-2021.pdf" TargetMode="External"/><Relationship Id="rId37" Type="http://schemas.openxmlformats.org/officeDocument/2006/relationships/hyperlink" Target="https://opendata.dc.gov/datasets/DCGIS::census-blocks-in-2020/about" TargetMode="External"/><Relationship Id="rId40" Type="http://schemas.openxmlformats.org/officeDocument/2006/relationships/hyperlink" Target="https://planning.dc.gov/sites/default/files/dc/sites/op/publication/attachments/Neighborhood%20Cluster%20Age%200-4.pdf" TargetMode="External"/><Relationship Id="rId45" Type="http://schemas.openxmlformats.org/officeDocument/2006/relationships/hyperlink" Target="https://insights.georgia.gov/views/PopulationEstimates/PopulationProjectionsVisualization?%3Adisplay_count=n&amp;%3Aembed=y&amp;%3AisGuestRedirectFromVizportal=y&amp;%3Aorigin=viz_share_link&amp;%3AshowAppBanner=false&amp;%3AshowVizHome=n" TargetMode="External"/><Relationship Id="rId53" Type="http://schemas.openxmlformats.org/officeDocument/2006/relationships/hyperlink" Target="https://mcdc.missouri.edu/applications/population/trends/" TargetMode="External"/><Relationship Id="rId5" Type="http://schemas.openxmlformats.org/officeDocument/2006/relationships/hyperlink" Target="https://data.census.gov/table?g=040XX00US05&amp;d=DEC+Demographic+Profile" TargetMode="External"/><Relationship Id="rId10" Type="http://schemas.openxmlformats.org/officeDocument/2006/relationships/hyperlink" Target="https://www.census.gov/programs-surveys/popest.html" TargetMode="External"/><Relationship Id="rId19" Type="http://schemas.openxmlformats.org/officeDocument/2006/relationships/hyperlink" Target="https://dof.ca.gov/wp-content/uploads/sites/352/Forecasting/Demographics/Documents/2020Census_PL942020_Profile_CalifSTCO.pdf" TargetMode="External"/><Relationship Id="rId31" Type="http://schemas.openxmlformats.org/officeDocument/2006/relationships/hyperlink" Target="https://opdatahub.dc.gov/" TargetMode="External"/><Relationship Id="rId44" Type="http://schemas.openxmlformats.org/officeDocument/2006/relationships/hyperlink" Target="https://planning.dc.gov/sites/default/files/dc/sites/op/publication/attachments/Neighborhood%20Cluster%20Age%2065over.pdf" TargetMode="External"/><Relationship Id="rId52" Type="http://schemas.openxmlformats.org/officeDocument/2006/relationships/hyperlink" Target="https://mn.gov/admin/demography/data-by-topic/population-data/2020-decennial-census/map-tool-block/" TargetMode="External"/><Relationship Id="rId4" Type="http://schemas.openxmlformats.org/officeDocument/2006/relationships/hyperlink" Target="https://data.census.gov/table?g=040XX00US05&amp;tid=ACSDP5Y2021.DP05" TargetMode="External"/><Relationship Id="rId9" Type="http://schemas.openxmlformats.org/officeDocument/2006/relationships/hyperlink" Target="https://data.census.gov/profile?g=040XX00US22" TargetMode="External"/><Relationship Id="rId14" Type="http://schemas.openxmlformats.org/officeDocument/2006/relationships/hyperlink" Target="https://arkanstats.com/page_two.html?id=2018_1_85" TargetMode="External"/><Relationship Id="rId22" Type="http://schemas.openxmlformats.org/officeDocument/2006/relationships/hyperlink" Target="https://acs2018.ctdata.org/" TargetMode="External"/><Relationship Id="rId27" Type="http://schemas.openxmlformats.org/officeDocument/2006/relationships/hyperlink" Target="https://github.com/CT-Data-Collaborative/ct-census-tract-to-town" TargetMode="External"/><Relationship Id="rId30" Type="http://schemas.openxmlformats.org/officeDocument/2006/relationships/hyperlink" Target="https://opdatahub.dc.gov/" TargetMode="External"/><Relationship Id="rId35" Type="http://schemas.openxmlformats.org/officeDocument/2006/relationships/hyperlink" Target="https://planning.dc.gov/sites/default/files/dc/sites/op/publication/attachments/Census%20Tract%20Map%20Book%20for%20Ward%20Redistricting.pdf" TargetMode="External"/><Relationship Id="rId43" Type="http://schemas.openxmlformats.org/officeDocument/2006/relationships/hyperlink" Target="https://planning.dc.gov/sites/default/files/dc/sites/op/publication/attachments/Neighborhood%20Cluster%20Age%2035-64.pdf" TargetMode="External"/><Relationship Id="rId48" Type="http://schemas.openxmlformats.org/officeDocument/2006/relationships/hyperlink" Target="https://extension.illinois.edu/ilcensus/race-and-ethnicity" TargetMode="External"/><Relationship Id="rId8" Type="http://schemas.openxmlformats.org/officeDocument/2006/relationships/hyperlink" Target="https://data.census.gov/table?q=DP1&amp;g=040XX00US15&amp;tid=DECENNIALDP2020.DP1" TargetMode="External"/><Relationship Id="rId51" Type="http://schemas.openxmlformats.org/officeDocument/2006/relationships/hyperlink" Target="https://www.maine.gov/dafs/economist/dashboard" TargetMode="External"/><Relationship Id="rId3" Type="http://schemas.openxmlformats.org/officeDocument/2006/relationships/hyperlink" Target="https://www.census.gov/programs-surveys/popest/data/tables.html" TargetMode="External"/><Relationship Id="rId12" Type="http://schemas.openxmlformats.org/officeDocument/2006/relationships/hyperlink" Target="https://arstatedatacenter.youraedi.com/scripts/subcountyestimates.php" TargetMode="External"/><Relationship Id="rId17" Type="http://schemas.openxmlformats.org/officeDocument/2006/relationships/hyperlink" Target="https://arstatedatacenter.youraedi.com/demores/demoscripts/projections_state_2010_base.php" TargetMode="External"/><Relationship Id="rId25" Type="http://schemas.openxmlformats.org/officeDocument/2006/relationships/hyperlink" Target="https://www.ctdata.org/census-2020-explorer-page" TargetMode="External"/><Relationship Id="rId33" Type="http://schemas.openxmlformats.org/officeDocument/2006/relationships/hyperlink" Target="https://planning.dc.gov/sites/default/files/dc/sites/op/publication/attachments/Map%20-%20Population%20Change%20by%20Ward%202010-2020.pdf" TargetMode="External"/><Relationship Id="rId38" Type="http://schemas.openxmlformats.org/officeDocument/2006/relationships/hyperlink" Target="https://opendata.dc.gov/datasets/DCGIS::census-block-groups-in-2020/about" TargetMode="External"/><Relationship Id="rId46" Type="http://schemas.openxmlformats.org/officeDocument/2006/relationships/hyperlink" Target="https://dbedt.hawaii.gov/economic/datawarehouse/" TargetMode="External"/><Relationship Id="rId20" Type="http://schemas.openxmlformats.org/officeDocument/2006/relationships/hyperlink" Target="https://dof.ca.gov/forecasting/Demographics/2020-census-data/" TargetMode="External"/><Relationship Id="rId41" Type="http://schemas.openxmlformats.org/officeDocument/2006/relationships/hyperlink" Target="https://planning.dc.gov/sites/default/files/dc/sites/op/publication/attachments/Neighborhood%20Cluster%20Age%200-17.pdf" TargetMode="External"/><Relationship Id="rId54" Type="http://schemas.openxmlformats.org/officeDocument/2006/relationships/hyperlink" Target="https://mcdc.missouri.edu/applications/population/by-age/" TargetMode="External"/><Relationship Id="rId1" Type="http://schemas.openxmlformats.org/officeDocument/2006/relationships/hyperlink" Target="https://data.census.gov/table?g=050XX00US06003&amp;d=DEC+Demographic+Profile" TargetMode="External"/><Relationship Id="rId6" Type="http://schemas.openxmlformats.org/officeDocument/2006/relationships/hyperlink" Target="https://data.census.gov/table?g=040XX00US15&amp;y=2021&amp;d=ACS+1-Year+Estimates+Data+Profiles" TargetMode="External"/><Relationship Id="rId15" Type="http://schemas.openxmlformats.org/officeDocument/2006/relationships/hyperlink" Target="https://arstatedatacenter.youraedi.com/scripts/2020dp.php" TargetMode="External"/><Relationship Id="rId23" Type="http://schemas.openxmlformats.org/officeDocument/2006/relationships/hyperlink" Target="https://countystories.ctdata.org/" TargetMode="External"/><Relationship Id="rId28" Type="http://schemas.openxmlformats.org/officeDocument/2006/relationships/hyperlink" Target="https://github.com/CT-Data-Collaborative/ct-census-block-to-town" TargetMode="External"/><Relationship Id="rId36" Type="http://schemas.openxmlformats.org/officeDocument/2006/relationships/hyperlink" Target="https://opendata.dc.gov/datasets/DCGIS::census-tracts-in-2020/about" TargetMode="External"/><Relationship Id="rId49" Type="http://schemas.openxmlformats.org/officeDocument/2006/relationships/hyperlink" Target="http://www.stats.indiana.edu/pop_proj/"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ata.census.gov/table?q=ACSCP1Y2017.CP02&amp;g=040XX00US28&amp;tid=ACSCP1Y2021.CP02" TargetMode="External"/><Relationship Id="rId2" Type="http://schemas.openxmlformats.org/officeDocument/2006/relationships/hyperlink" Target="https://data.census.gov/table?q=ACSCP1Y2017.CP02&amp;g=040XX00US28&amp;tid=ACSCP1Y2021.CP02" TargetMode="External"/><Relationship Id="rId1" Type="http://schemas.openxmlformats.org/officeDocument/2006/relationships/hyperlink" Target="https://data.census.gov/table?q=S1501+&amp;g=040XX00US25$0600000,25&amp;tid=ACSST5Y2021.S1501"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mtgis-portal.geo.census.gov/arcgis/apps/MapSeries/index.html?appid=2566121a73de463995ed2b2fd7ff6eb7" TargetMode="External"/><Relationship Id="rId2" Type="http://schemas.openxmlformats.org/officeDocument/2006/relationships/hyperlink" Target="https://data.census.gov/table?y=2020&amp;d=DEC+Demographic+and+Housing+Characteristics" TargetMode="External"/><Relationship Id="rId1" Type="http://schemas.openxmlformats.org/officeDocument/2006/relationships/hyperlink" Target="https://data.census.gov/table?q=demographic+profile&amp;y=2020&amp;d=DEC+Demographic+Profile&amp;tid=DECENNIALDP2020.DP1" TargetMode="External"/><Relationship Id="rId6" Type="http://schemas.openxmlformats.org/officeDocument/2006/relationships/hyperlink" Target="https://data.census.gov/table?q=ACSCP1Y2017.CP05&amp;g=040XX00US28&amp;tid=ACSCP1Y2021.CP05" TargetMode="External"/><Relationship Id="rId5" Type="http://schemas.openxmlformats.org/officeDocument/2006/relationships/hyperlink" Target="https://data.census.gov/table?q=ACSCP1Y2017.CP04&amp;g=040XX00US28&amp;tid=ACSCP1Y2019.CP04" TargetMode="External"/><Relationship Id="rId4" Type="http://schemas.openxmlformats.org/officeDocument/2006/relationships/hyperlink" Target="https://data.census.gov/table?g=040XX00US22,22$0500000&amp;y=2020&amp;d=DEC+Redistricting+Data+(PL+94-171)&amp;tid=DECENNIALPL2020.H1"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ata.census.gov/table?q=&amp;g=040XX00US15&amp;y=2017&amp;d=ECN+Core+Statistics+Summary+Statistics+for+the+U.S.,+States,+and+Selected+Geographies:+2017&amp;n=21:N0300.21:N0400.21:N0500.21:N0600.21&amp;tid=ECNBASIC2017.EC1700BASIC" TargetMode="External"/><Relationship Id="rId13" Type="http://schemas.openxmlformats.org/officeDocument/2006/relationships/hyperlink" Target="http://factfinder2.census.gov/bkmk/navigation/1.0/en/d_people_income:INCOME_HOUSEHOLD/geography:0400000US21" TargetMode="External"/><Relationship Id="rId18" Type="http://schemas.openxmlformats.org/officeDocument/2006/relationships/hyperlink" Target="http://factfinder2.census.gov/bkmk/navigation/1.0/en/d_people_employment:LABOR_FORCE_STATUS/geography:0400000US21" TargetMode="External"/><Relationship Id="rId26" Type="http://schemas.openxmlformats.org/officeDocument/2006/relationships/hyperlink" Target="https://data.census.gov/table?q=ACSCP1Y2017.CP03&amp;g=040XX00US28&amp;tid=ACSCP1Y2019.CP03" TargetMode="External"/><Relationship Id="rId3" Type="http://schemas.openxmlformats.org/officeDocument/2006/relationships/hyperlink" Target="https://www.census.gov/data/data-tools/cbb.html" TargetMode="External"/><Relationship Id="rId21" Type="http://schemas.openxmlformats.org/officeDocument/2006/relationships/hyperlink" Target="https://data.census.gov/table?q=B19301&amp;g=040XX00US25$0600000,25&amp;tid=ACSDT1Y2021.B19301" TargetMode="External"/><Relationship Id="rId7" Type="http://schemas.openxmlformats.org/officeDocument/2006/relationships/hyperlink" Target="https://www.census.gov/programs-surveys/economic-census.html" TargetMode="External"/><Relationship Id="rId12" Type="http://schemas.openxmlformats.org/officeDocument/2006/relationships/hyperlink" Target="https://cbb.census.gov/cbb/" TargetMode="External"/><Relationship Id="rId17" Type="http://schemas.openxmlformats.org/officeDocument/2006/relationships/hyperlink" Target="http://factfinder2.census.gov/bkmk/navigation/1.0/en/d_people_income:INCOME_INDIVIDUAL/geography:0400000US21" TargetMode="External"/><Relationship Id="rId25" Type="http://schemas.openxmlformats.org/officeDocument/2006/relationships/hyperlink" Target="https://www.census.gov/programs-surveys/economic-census/data/tables.html" TargetMode="External"/><Relationship Id="rId2" Type="http://schemas.openxmlformats.org/officeDocument/2006/relationships/hyperlink" Target="https://www.census.gov/programs-surveys/economic-census/about.html" TargetMode="External"/><Relationship Id="rId16" Type="http://schemas.openxmlformats.org/officeDocument/2006/relationships/hyperlink" Target="https://www.census.gov/programs-surveys/sipp/data/datasets.html" TargetMode="External"/><Relationship Id="rId20" Type="http://schemas.openxmlformats.org/officeDocument/2006/relationships/hyperlink" Target="http://factfinder2.census.gov/bkmk/navigation/1.0/en/d_people_employment:OCCUPATION/geography:0400000US21" TargetMode="External"/><Relationship Id="rId1" Type="http://schemas.openxmlformats.org/officeDocument/2006/relationships/hyperlink" Target="https://www.census.gov/data/tables/time-series/demo/income-poverty/historical-income-households.html" TargetMode="External"/><Relationship Id="rId6" Type="http://schemas.openxmlformats.org/officeDocument/2006/relationships/hyperlink" Target="https://cbb.census.gov/rae/" TargetMode="External"/><Relationship Id="rId11" Type="http://schemas.openxmlformats.org/officeDocument/2006/relationships/hyperlink" Target="https://www.census.gov/programs-surveys/stc.html" TargetMode="External"/><Relationship Id="rId24" Type="http://schemas.openxmlformats.org/officeDocument/2006/relationships/hyperlink" Target="https://www.census.gov/data/developers/data-sets/cbp-nonemp-zbp/zbp-api.html" TargetMode="External"/><Relationship Id="rId5" Type="http://schemas.openxmlformats.org/officeDocument/2006/relationships/hyperlink" Target="https://cbb.census.gov/cbb/" TargetMode="External"/><Relationship Id="rId15" Type="http://schemas.openxmlformats.org/officeDocument/2006/relationships/hyperlink" Target="https://www.census.gov/data-tools/demo/saipe/saipe.html?s_appName=saipe&amp;map_yearSelector=2016&amp;map_geoSelector=aa_c&amp;s_state=21" TargetMode="External"/><Relationship Id="rId23" Type="http://schemas.openxmlformats.org/officeDocument/2006/relationships/hyperlink" Target="https://data.census.gov/table?q=B19083&amp;g=040XX00US25$0600000,25&amp;tid=ACSDT5Y2021.B19083" TargetMode="External"/><Relationship Id="rId10" Type="http://schemas.openxmlformats.org/officeDocument/2006/relationships/hyperlink" Target="http://www.census.gov/topics/income-poverty/poverty.html" TargetMode="External"/><Relationship Id="rId19" Type="http://schemas.openxmlformats.org/officeDocument/2006/relationships/hyperlink" Target="http://factfinder2.census.gov/bkmk/navigation/1.0/en/d_people_employment:CLASS_OF_WORKER/geography:0400000US21" TargetMode="External"/><Relationship Id="rId4" Type="http://schemas.openxmlformats.org/officeDocument/2006/relationships/hyperlink" Target="https://onthemap.ces.census.gov/" TargetMode="External"/><Relationship Id="rId9" Type="http://schemas.openxmlformats.org/officeDocument/2006/relationships/hyperlink" Target="https://data.census.gov/table?q=ECNBASIC2012.EC1200A1&amp;g=040XX00US15&amp;n=31-33:N0300.31:N0400.31:N0500.31:N0600.31&amp;tid=ECNBASIC2012.EC1200A1&amp;hidePreview=true" TargetMode="External"/><Relationship Id="rId14" Type="http://schemas.openxmlformats.org/officeDocument/2006/relationships/hyperlink" Target="http://factfinder2.census.gov/bkmk/navigation/1.0/en/d_people_income:INCOME_INDIVIDUAL/geography:0400000US21" TargetMode="External"/><Relationship Id="rId22" Type="http://schemas.openxmlformats.org/officeDocument/2006/relationships/hyperlink" Target="https://data.census.gov/table?q=Employment+Status&amp;g=040XX00US25$0600000,25&amp;tid=ACSDP5Y2021.DP03" TargetMode="External"/><Relationship Id="rId27" Type="http://schemas.openxmlformats.org/officeDocument/2006/relationships/hyperlink" Target="https://www2.census.gov/EEO_2006_201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census.gov/data/datasets/time-series/demo/popest/2020s-state-detail.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census.gov/data/datasets/time-series/demo/popest/2020s-state-detail.html"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sdstate.edu/school-psychology-sociology-and-rural-studies/census-data-center" TargetMode="External"/><Relationship Id="rId18" Type="http://schemas.openxmlformats.org/officeDocument/2006/relationships/hyperlink" Target="https://dof.ca.gov/forecasting/demographics/state-census-data-center/" TargetMode="External"/><Relationship Id="rId26" Type="http://schemas.openxmlformats.org/officeDocument/2006/relationships/hyperlink" Target="https://ipsr.ku.edu/sdc/about.shtml" TargetMode="External"/><Relationship Id="rId39" Type="http://schemas.openxmlformats.org/officeDocument/2006/relationships/hyperlink" Target="https://edd.newmexico.gov/about-us/" TargetMode="External"/><Relationship Id="rId21" Type="http://schemas.openxmlformats.org/officeDocument/2006/relationships/hyperlink" Target="https://stateplanning.delaware.gov/demography/index.shtml" TargetMode="External"/><Relationship Id="rId34" Type="http://schemas.openxmlformats.org/officeDocument/2006/relationships/hyperlink" Target="https://ceic.mt.gov/" TargetMode="External"/><Relationship Id="rId42" Type="http://schemas.openxmlformats.org/officeDocument/2006/relationships/hyperlink" Target="https://www.commerce.nd.gov/economic-development-finance/state-data-center" TargetMode="External"/><Relationship Id="rId47" Type="http://schemas.openxmlformats.org/officeDocument/2006/relationships/hyperlink" Target="https://planning.ri.gov/planning-areas/data-center/ri-data-center-census-data" TargetMode="External"/><Relationship Id="rId50" Type="http://schemas.openxmlformats.org/officeDocument/2006/relationships/hyperlink" Target="https://www.maine.gov/dafs/economist/census-information" TargetMode="External"/><Relationship Id="rId7" Type="http://schemas.openxmlformats.org/officeDocument/2006/relationships/hyperlink" Target="https://doa.wi.gov/Pages/LocalGovtsGrants/Demographic_Services.aspx" TargetMode="External"/><Relationship Id="rId2" Type="http://schemas.openxmlformats.org/officeDocument/2006/relationships/hyperlink" Target="https://www.iowadatacenter.org/index.php/about/about" TargetMode="External"/><Relationship Id="rId16" Type="http://schemas.openxmlformats.org/officeDocument/2006/relationships/hyperlink" Target="https://www.azcommerce.com/oeo/population/arizona-state-data-center-sdc/" TargetMode="External"/><Relationship Id="rId29" Type="http://schemas.openxmlformats.org/officeDocument/2006/relationships/hyperlink" Target="https://donahue.umass.edu/business-groups/economic-public-policy-research/massachusetts-state-data-center/about-us" TargetMode="External"/><Relationship Id="rId11" Type="http://schemas.openxmlformats.org/officeDocument/2006/relationships/hyperlink" Target="https://demographics.texas.gov/AboutUs" TargetMode="External"/><Relationship Id="rId24" Type="http://schemas.openxmlformats.org/officeDocument/2006/relationships/hyperlink" Target="https://planning.dc.gov/page/state-data-center" TargetMode="External"/><Relationship Id="rId32" Type="http://schemas.openxmlformats.org/officeDocument/2006/relationships/hyperlink" Target="https://sdc.olemiss.edu/" TargetMode="External"/><Relationship Id="rId37" Type="http://schemas.openxmlformats.org/officeDocument/2006/relationships/hyperlink" Target="https://www.nheconomy.com/office-of-planning-and-development/what-we-offer/state-data-center-(census-data" TargetMode="External"/><Relationship Id="rId40" Type="http://schemas.openxmlformats.org/officeDocument/2006/relationships/hyperlink" Target="https://dol.ny.gov/new-york-state-data-center" TargetMode="External"/><Relationship Id="rId45" Type="http://schemas.openxmlformats.org/officeDocument/2006/relationships/hyperlink" Target="https://www.pdx.edu/population-research/our-mission" TargetMode="External"/><Relationship Id="rId5" Type="http://schemas.openxmlformats.org/officeDocument/2006/relationships/hyperlink" Target="https://www.uvi.edu/research/eastern-caribbean-center/social-research-institute/" TargetMode="External"/><Relationship Id="rId15" Type="http://schemas.openxmlformats.org/officeDocument/2006/relationships/hyperlink" Target="https://cber.culverhouse.ua.edu/alabama-state-data-center/" TargetMode="External"/><Relationship Id="rId23" Type="http://schemas.openxmlformats.org/officeDocument/2006/relationships/hyperlink" Target="https://opb.georgia.gov/about-us" TargetMode="External"/><Relationship Id="rId28" Type="http://schemas.openxmlformats.org/officeDocument/2006/relationships/hyperlink" Target="https://planning.maryland.gov/msdc/Pages/default.aspx" TargetMode="External"/><Relationship Id="rId36" Type="http://schemas.openxmlformats.org/officeDocument/2006/relationships/hyperlink" Target="https://nsla.nv.gov/state-data-center" TargetMode="External"/><Relationship Id="rId49" Type="http://schemas.openxmlformats.org/officeDocument/2006/relationships/hyperlink" Target="https://live.laborstats.alaska.gov/cen/index.html" TargetMode="External"/><Relationship Id="rId10" Type="http://schemas.openxmlformats.org/officeDocument/2006/relationships/hyperlink" Target="https://gardner.utah.edu/demographics/" TargetMode="External"/><Relationship Id="rId19" Type="http://schemas.openxmlformats.org/officeDocument/2006/relationships/hyperlink" Target="https://demography.dola.colorado.gov/" TargetMode="External"/><Relationship Id="rId31" Type="http://schemas.openxmlformats.org/officeDocument/2006/relationships/hyperlink" Target="https://mn.gov/admin/demography/about/" TargetMode="External"/><Relationship Id="rId44" Type="http://schemas.openxmlformats.org/officeDocument/2006/relationships/hyperlink" Target="https://www.okcommerce.gov/doing-business/data-reports/census-2020-demographics/" TargetMode="External"/><Relationship Id="rId4" Type="http://schemas.openxmlformats.org/officeDocument/2006/relationships/hyperlink" Target="https://ver1.cnmicommerce.com/divisions/central-statistics/" TargetMode="External"/><Relationship Id="rId9" Type="http://schemas.openxmlformats.org/officeDocument/2006/relationships/hyperlink" Target="https://www.uvm.edu/crs/vtsdc" TargetMode="External"/><Relationship Id="rId14" Type="http://schemas.openxmlformats.org/officeDocument/2006/relationships/hyperlink" Target="https://rfa.sc.gov/data-research/population-demographics/census-state-data-center" TargetMode="External"/><Relationship Id="rId22" Type="http://schemas.openxmlformats.org/officeDocument/2006/relationships/hyperlink" Target="http://edr.state.fl.us/Content/state-data-center/index.cfm" TargetMode="External"/><Relationship Id="rId27" Type="http://schemas.openxmlformats.org/officeDocument/2006/relationships/hyperlink" Target="http://ksdc.louisville.edu/" TargetMode="External"/><Relationship Id="rId30" Type="http://schemas.openxmlformats.org/officeDocument/2006/relationships/hyperlink" Target="https://milmi.org/Population/index" TargetMode="External"/><Relationship Id="rId35" Type="http://schemas.openxmlformats.org/officeDocument/2006/relationships/hyperlink" Target="https://www.unomaha.edu/college-of-public-affairs-and-community-service/center-for-public-affairs-research/about-us/about-us.php" TargetMode="External"/><Relationship Id="rId43" Type="http://schemas.openxmlformats.org/officeDocument/2006/relationships/hyperlink" Target="https://development.ohio.gov/about-us/research/2-research" TargetMode="External"/><Relationship Id="rId48" Type="http://schemas.openxmlformats.org/officeDocument/2006/relationships/hyperlink" Target="https://bsp.guam.gov/about-us/" TargetMode="External"/><Relationship Id="rId8" Type="http://schemas.openxmlformats.org/officeDocument/2006/relationships/hyperlink" Target="https://ofm.wa.gov/washington-data-research/about-us" TargetMode="External"/><Relationship Id="rId3" Type="http://schemas.openxmlformats.org/officeDocument/2006/relationships/hyperlink" Target="https://estadisticas.pr/en/sobre-nosotros/mision-y-vision" TargetMode="External"/><Relationship Id="rId12" Type="http://schemas.openxmlformats.org/officeDocument/2006/relationships/hyperlink" Target="https://tnsdc.utk.edu/about/" TargetMode="External"/><Relationship Id="rId17" Type="http://schemas.openxmlformats.org/officeDocument/2006/relationships/hyperlink" Target="https://arstatedatacenter.youraedi.com/about-us/" TargetMode="External"/><Relationship Id="rId25" Type="http://schemas.openxmlformats.org/officeDocument/2006/relationships/hyperlink" Target="https://census.hawaii.gov/home/overview/" TargetMode="External"/><Relationship Id="rId33" Type="http://schemas.openxmlformats.org/officeDocument/2006/relationships/hyperlink" Target="https://mcdc.missouri.edu/" TargetMode="External"/><Relationship Id="rId38" Type="http://schemas.openxmlformats.org/officeDocument/2006/relationships/hyperlink" Target="https://www.nj.gov/labor/labormarketinformation/contact-us/NJSDC.shtml" TargetMode="External"/><Relationship Id="rId46" Type="http://schemas.openxmlformats.org/officeDocument/2006/relationships/hyperlink" Target="https://pasdc.hbg.psu.edu/About-Us" TargetMode="External"/><Relationship Id="rId20" Type="http://schemas.openxmlformats.org/officeDocument/2006/relationships/hyperlink" Target="https://www.ctdata.org/census" TargetMode="External"/><Relationship Id="rId41" Type="http://schemas.openxmlformats.org/officeDocument/2006/relationships/hyperlink" Target="https://www.osbm.nc.gov/facts-figures/state-data-center" TargetMode="External"/><Relationship Id="rId1" Type="http://schemas.openxmlformats.org/officeDocument/2006/relationships/hyperlink" Target="https://www.in.gov/library/collections-and-services/isdc/" TargetMode="External"/><Relationship Id="rId6" Type="http://schemas.openxmlformats.org/officeDocument/2006/relationships/hyperlink" Target="http://eadiv.state.wy.us/About_Us.html"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guides.lib.virginia.edu/datascience/gov-docs" TargetMode="External"/><Relationship Id="rId13" Type="http://schemas.openxmlformats.org/officeDocument/2006/relationships/hyperlink" Target="https://www.policymap.com/resources/customer-stories/usda-rural-housing-service" TargetMode="External"/><Relationship Id="rId3" Type="http://schemas.openxmlformats.org/officeDocument/2006/relationships/hyperlink" Target="https://elicit.org/search?q=How+the+U.S.+CENSUS+can+help+State+Data+Centers%3F&amp;token=01H6VF95XHYNCG9T1EEY4T41EM&amp;paper=a417ceac8a01d856d3e4fdd7cf09f0ad24064062&amp;column=title" TargetMode="External"/><Relationship Id="rId7" Type="http://schemas.openxmlformats.org/officeDocument/2006/relationships/hyperlink" Target="https://www.apdu.org/" TargetMode="External"/><Relationship Id="rId12" Type="http://schemas.openxmlformats.org/officeDocument/2006/relationships/hyperlink" Target="https://www.policymap.com/resources/customer-stories/city-of-philadelphia" TargetMode="External"/><Relationship Id="rId17" Type="http://schemas.openxmlformats.org/officeDocument/2006/relationships/hyperlink" Target="https://www.policymap.com/resources/customer-stories/connecticut-housing-finance-authority-chfa" TargetMode="External"/><Relationship Id="rId2" Type="http://schemas.openxmlformats.org/officeDocument/2006/relationships/hyperlink" Target="https://www.igi-global.com/viewtitle.aspx?TitleId=261846&amp;isxn=9781799807841" TargetMode="External"/><Relationship Id="rId16" Type="http://schemas.openxmlformats.org/officeDocument/2006/relationships/hyperlink" Target="https://www.policymap.com/resources/customer-stories/north-carolina-housing-finance-agency" TargetMode="External"/><Relationship Id="rId1" Type="http://schemas.openxmlformats.org/officeDocument/2006/relationships/hyperlink" Target="https://elicit.org/" TargetMode="External"/><Relationship Id="rId6" Type="http://schemas.openxmlformats.org/officeDocument/2006/relationships/hyperlink" Target="https://www.urban.org/" TargetMode="External"/><Relationship Id="rId11" Type="http://schemas.openxmlformats.org/officeDocument/2006/relationships/hyperlink" Target="https://www.policymap.com/resources/customer-stories" TargetMode="External"/><Relationship Id="rId5" Type="http://schemas.openxmlformats.org/officeDocument/2006/relationships/hyperlink" Target="https://www.sciencedirect.com/science/article/pii/S0736585320301854?via%3Dihub" TargetMode="External"/><Relationship Id="rId15" Type="http://schemas.openxmlformats.org/officeDocument/2006/relationships/hyperlink" Target="https://www.policymap.com/resources/customer-stories/hawaii-data-collaborative" TargetMode="External"/><Relationship Id="rId10" Type="http://schemas.openxmlformats.org/officeDocument/2006/relationships/hyperlink" Target="https://www.ncsl.org/" TargetMode="External"/><Relationship Id="rId4" Type="http://schemas.openxmlformats.org/officeDocument/2006/relationships/hyperlink" Target="https://journals.sagepub.com/doi/pdf/10.1177/0002716210374414?casa_token=8q6dlQ8dKloAAAAA:hc_HuZrqkD8un65O2822htXjRgvNOSJsz-MrQt7YTmwKZ3V7ztBK742_m9f0pjsagUW7Lx5Xh1tP" TargetMode="External"/><Relationship Id="rId9" Type="http://schemas.openxmlformats.org/officeDocument/2006/relationships/hyperlink" Target="https://www.naco.org/" TargetMode="External"/><Relationship Id="rId14" Type="http://schemas.openxmlformats.org/officeDocument/2006/relationships/hyperlink" Target="https://www.policymap.com/resources/customer-stories/city-of-dalla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opLeftCell="A12" workbookViewId="0">
      <selection activeCell="B17" sqref="B17"/>
    </sheetView>
  </sheetViews>
  <sheetFormatPr defaultColWidth="8.85546875" defaultRowHeight="15"/>
  <cols>
    <col min="1" max="1" width="23.7109375" customWidth="1"/>
    <col min="2" max="2" width="71" style="1" customWidth="1"/>
    <col min="3" max="3" width="27.42578125" customWidth="1"/>
  </cols>
  <sheetData>
    <row r="1" spans="1:3">
      <c r="A1" s="97" t="s">
        <v>0</v>
      </c>
      <c r="B1" s="97"/>
      <c r="C1" s="97"/>
    </row>
    <row r="3" spans="1:3" ht="32.1">
      <c r="A3" s="2" t="s">
        <v>1</v>
      </c>
      <c r="B3" s="1" t="s">
        <v>2</v>
      </c>
    </row>
    <row r="4" spans="1:3" ht="15.95">
      <c r="A4" s="3" t="s">
        <v>3</v>
      </c>
      <c r="B4" s="1" t="s">
        <v>4</v>
      </c>
    </row>
    <row r="5" spans="1:3">
      <c r="A5" s="5"/>
    </row>
    <row r="6" spans="1:3" ht="15.95">
      <c r="A6" s="11" t="s">
        <v>5</v>
      </c>
      <c r="B6" s="8" t="s">
        <v>6</v>
      </c>
    </row>
    <row r="7" spans="1:3" ht="15.95">
      <c r="A7" s="12" t="s">
        <v>7</v>
      </c>
      <c r="B7" s="6" t="s">
        <v>8</v>
      </c>
      <c r="C7" t="s">
        <v>9</v>
      </c>
    </row>
    <row r="8" spans="1:3" ht="15.95">
      <c r="A8" s="12" t="s">
        <v>10</v>
      </c>
      <c r="B8" s="6" t="s">
        <v>11</v>
      </c>
      <c r="C8" t="s">
        <v>12</v>
      </c>
    </row>
    <row r="9" spans="1:3" ht="15.95">
      <c r="A9" s="12" t="s">
        <v>13</v>
      </c>
      <c r="B9" s="6" t="s">
        <v>14</v>
      </c>
      <c r="C9" t="s">
        <v>15</v>
      </c>
    </row>
    <row r="10" spans="1:3" ht="15.95">
      <c r="A10" s="12" t="s">
        <v>16</v>
      </c>
      <c r="B10" s="6" t="s">
        <v>17</v>
      </c>
      <c r="C10" t="s">
        <v>18</v>
      </c>
    </row>
    <row r="12" spans="1:3" ht="63.95">
      <c r="A12" s="4" t="s">
        <v>19</v>
      </c>
      <c r="B12" s="6" t="s">
        <v>20</v>
      </c>
    </row>
    <row r="13" spans="1:3" ht="15.95">
      <c r="A13" s="9" t="s">
        <v>21</v>
      </c>
      <c r="B13" s="6" t="s">
        <v>22</v>
      </c>
    </row>
    <row r="14" spans="1:3" ht="32.1">
      <c r="A14" s="20" t="s">
        <v>23</v>
      </c>
      <c r="B14" s="6" t="s">
        <v>24</v>
      </c>
    </row>
    <row r="15" spans="1:3" ht="15.95">
      <c r="A15" s="4" t="s">
        <v>25</v>
      </c>
      <c r="B15" s="6" t="s">
        <v>26</v>
      </c>
    </row>
    <row r="16" spans="1:3" ht="15.95">
      <c r="A16" s="4" t="s">
        <v>27</v>
      </c>
      <c r="B16" s="6" t="s">
        <v>28</v>
      </c>
    </row>
    <row r="17" spans="1:3" ht="48">
      <c r="A17" s="4" t="s">
        <v>29</v>
      </c>
      <c r="B17" s="6" t="s">
        <v>30</v>
      </c>
    </row>
    <row r="18" spans="1:3" ht="15.95">
      <c r="A18" s="4" t="s">
        <v>31</v>
      </c>
      <c r="B18" s="6" t="s">
        <v>32</v>
      </c>
    </row>
    <row r="19" spans="1:3" ht="15.95">
      <c r="A19" s="4" t="s">
        <v>33</v>
      </c>
      <c r="B19" s="6" t="s">
        <v>34</v>
      </c>
    </row>
    <row r="20" spans="1:3" ht="32.1">
      <c r="A20" s="4" t="s">
        <v>35</v>
      </c>
      <c r="B20" s="6" t="s">
        <v>36</v>
      </c>
    </row>
    <row r="21" spans="1:3" ht="15.95">
      <c r="A21" s="4" t="s">
        <v>37</v>
      </c>
      <c r="B21" s="6" t="s">
        <v>38</v>
      </c>
    </row>
    <row r="22" spans="1:3" ht="15.95">
      <c r="A22" s="4" t="s">
        <v>39</v>
      </c>
      <c r="B22" s="6" t="s">
        <v>40</v>
      </c>
    </row>
    <row r="23" spans="1:3" ht="63.95">
      <c r="A23" s="4" t="s">
        <v>41</v>
      </c>
      <c r="B23" s="6" t="s">
        <v>42</v>
      </c>
      <c r="C23" t="s">
        <v>43</v>
      </c>
    </row>
    <row r="24" spans="1:3" ht="48">
      <c r="A24" s="7" t="s">
        <v>44</v>
      </c>
      <c r="B24" s="10" t="s">
        <v>45</v>
      </c>
      <c r="C24" t="s">
        <v>43</v>
      </c>
    </row>
    <row r="25" spans="1:3" ht="15.95">
      <c r="A25" s="3" t="s">
        <v>46</v>
      </c>
      <c r="B25" s="6" t="s">
        <v>47</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921B9-6312-4997-8756-5F92D44D814F}">
  <dimension ref="A1:Q1"/>
  <sheetViews>
    <sheetView workbookViewId="0">
      <pane ySplit="1" topLeftCell="A2" activePane="bottomLeft" state="frozen"/>
      <selection pane="bottomLeft" sqref="A1:XFD1"/>
    </sheetView>
  </sheetViews>
  <sheetFormatPr defaultColWidth="8.85546875" defaultRowHeight="15"/>
  <cols>
    <col min="1" max="1" width="10.140625" style="1" customWidth="1"/>
    <col min="2" max="2" width="15.42578125" style="1" customWidth="1"/>
    <col min="3" max="3" width="14.42578125" customWidth="1"/>
    <col min="4" max="4" width="10.42578125" customWidth="1"/>
    <col min="5" max="6" width="17.28515625" customWidth="1"/>
    <col min="7" max="7" width="16.42578125" customWidth="1"/>
    <col min="8" max="8" width="20.42578125" customWidth="1"/>
    <col min="9" max="9" width="23.28515625" customWidth="1"/>
    <col min="10" max="10" width="19.42578125" customWidth="1"/>
    <col min="11" max="11" width="16.42578125" customWidth="1"/>
    <col min="12" max="12" width="12.42578125" customWidth="1"/>
    <col min="13" max="16" width="14.42578125" customWidth="1"/>
  </cols>
  <sheetData>
    <row r="1" spans="1:17" ht="62.25" customHeight="1">
      <c r="A1" s="1" t="s">
        <v>1</v>
      </c>
      <c r="B1" s="1" t="s">
        <v>48</v>
      </c>
      <c r="C1" t="s">
        <v>49</v>
      </c>
      <c r="D1" s="1" t="s">
        <v>19</v>
      </c>
      <c r="E1" s="1" t="s">
        <v>21</v>
      </c>
      <c r="F1" s="1" t="s">
        <v>23</v>
      </c>
      <c r="G1" t="s">
        <v>25</v>
      </c>
      <c r="H1" t="s">
        <v>27</v>
      </c>
      <c r="I1" t="s">
        <v>29</v>
      </c>
      <c r="J1" t="s">
        <v>31</v>
      </c>
      <c r="K1" t="s">
        <v>33</v>
      </c>
      <c r="L1" t="s">
        <v>35</v>
      </c>
      <c r="M1" t="s">
        <v>37</v>
      </c>
      <c r="N1" t="s">
        <v>50</v>
      </c>
      <c r="O1" t="s">
        <v>41</v>
      </c>
      <c r="P1" t="s">
        <v>44</v>
      </c>
      <c r="Q1"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0762E-1E51-4EF1-AA8D-ECCB9F5FE682}">
  <dimension ref="A1:Y297"/>
  <sheetViews>
    <sheetView workbookViewId="0">
      <pane ySplit="1" topLeftCell="A78" activePane="bottomLeft" state="frozen"/>
      <selection pane="bottomLeft" activeCell="N1" sqref="N1"/>
    </sheetView>
  </sheetViews>
  <sheetFormatPr defaultColWidth="8.85546875" defaultRowHeight="15"/>
  <cols>
    <col min="2" max="2" width="11.42578125" customWidth="1"/>
    <col min="3" max="3" width="13.85546875" customWidth="1"/>
    <col min="4" max="4" width="14.42578125" style="1" customWidth="1"/>
    <col min="5" max="6" width="20.7109375" customWidth="1"/>
    <col min="7" max="7" width="27" customWidth="1"/>
    <col min="8" max="10" width="18" customWidth="1"/>
    <col min="11" max="12" width="19.140625" customWidth="1"/>
    <col min="13" max="13" width="23.7109375" customWidth="1"/>
    <col min="14" max="14" width="10.140625" customWidth="1"/>
    <col min="15" max="15" width="11" customWidth="1"/>
    <col min="16" max="16" width="9.85546875" style="1" customWidth="1"/>
    <col min="17" max="19" width="10.85546875" customWidth="1"/>
    <col min="20" max="20" width="13.42578125" customWidth="1"/>
    <col min="21" max="21" width="12.85546875" customWidth="1"/>
    <col min="22" max="22" width="10.140625" customWidth="1"/>
    <col min="23" max="23" width="13.42578125" customWidth="1"/>
  </cols>
  <sheetData>
    <row r="1" spans="1:24" s="67" customFormat="1" ht="75" customHeight="1">
      <c r="A1" s="66" t="s">
        <v>1</v>
      </c>
      <c r="B1" s="66" t="s">
        <v>48</v>
      </c>
      <c r="C1" s="67" t="s">
        <v>49</v>
      </c>
      <c r="D1" s="66" t="s">
        <v>19</v>
      </c>
      <c r="E1" s="66" t="s">
        <v>21</v>
      </c>
      <c r="F1" s="66" t="s">
        <v>51</v>
      </c>
      <c r="G1" s="66" t="s">
        <v>23</v>
      </c>
      <c r="H1" s="67" t="s">
        <v>25</v>
      </c>
      <c r="I1" s="67" t="s">
        <v>52</v>
      </c>
      <c r="J1" s="66" t="s">
        <v>53</v>
      </c>
      <c r="K1" s="67" t="s">
        <v>27</v>
      </c>
      <c r="L1" s="67" t="s">
        <v>54</v>
      </c>
      <c r="M1" s="67" t="s">
        <v>29</v>
      </c>
      <c r="N1" s="66" t="s">
        <v>31</v>
      </c>
      <c r="O1" s="67" t="s">
        <v>33</v>
      </c>
      <c r="P1" s="66" t="s">
        <v>35</v>
      </c>
      <c r="Q1" s="67" t="s">
        <v>37</v>
      </c>
      <c r="R1" s="67" t="s">
        <v>55</v>
      </c>
      <c r="S1" s="66" t="s">
        <v>56</v>
      </c>
      <c r="T1" s="67" t="s">
        <v>50</v>
      </c>
      <c r="U1" s="67" t="s">
        <v>41</v>
      </c>
      <c r="V1" s="67" t="s">
        <v>44</v>
      </c>
      <c r="W1" s="67" t="s">
        <v>46</v>
      </c>
    </row>
    <row r="2" spans="1:24" ht="76.5" customHeight="1">
      <c r="B2" t="s">
        <v>57</v>
      </c>
      <c r="C2" t="s">
        <v>58</v>
      </c>
      <c r="D2" s="1" t="s">
        <v>59</v>
      </c>
      <c r="E2" s="1" t="s">
        <v>60</v>
      </c>
      <c r="F2" s="1"/>
      <c r="G2" s="1" t="s">
        <v>61</v>
      </c>
      <c r="H2" s="1" t="s">
        <v>62</v>
      </c>
      <c r="I2" s="1" t="s">
        <v>62</v>
      </c>
      <c r="J2" s="1"/>
      <c r="K2" s="1"/>
      <c r="L2" s="1"/>
      <c r="M2" s="1" t="s">
        <v>63</v>
      </c>
      <c r="N2" s="1" t="s">
        <v>64</v>
      </c>
      <c r="O2" s="1" t="s">
        <v>64</v>
      </c>
      <c r="P2" s="1" t="s">
        <v>65</v>
      </c>
      <c r="Q2" s="1">
        <v>2022</v>
      </c>
      <c r="R2" s="1">
        <v>2022</v>
      </c>
      <c r="S2" s="1" t="s">
        <v>66</v>
      </c>
      <c r="T2" s="1" t="s">
        <v>67</v>
      </c>
      <c r="U2" s="1" t="s">
        <v>64</v>
      </c>
      <c r="V2" t="s">
        <v>68</v>
      </c>
    </row>
    <row r="3" spans="1:24" ht="102" customHeight="1">
      <c r="B3" t="s">
        <v>57</v>
      </c>
      <c r="C3" t="s">
        <v>58</v>
      </c>
      <c r="D3" s="1" t="s">
        <v>69</v>
      </c>
      <c r="E3" s="1" t="s">
        <v>70</v>
      </c>
      <c r="F3" s="1"/>
      <c r="G3" s="1" t="s">
        <v>71</v>
      </c>
      <c r="H3" s="1" t="s">
        <v>62</v>
      </c>
      <c r="I3" s="1" t="s">
        <v>62</v>
      </c>
      <c r="J3" s="1"/>
      <c r="K3" s="35" t="s">
        <v>72</v>
      </c>
      <c r="L3" s="35" t="s">
        <v>73</v>
      </c>
      <c r="M3" s="1" t="s">
        <v>74</v>
      </c>
      <c r="N3" s="1" t="s">
        <v>64</v>
      </c>
      <c r="O3" s="1" t="s">
        <v>64</v>
      </c>
      <c r="P3" s="1" t="s">
        <v>65</v>
      </c>
      <c r="Q3" s="1">
        <v>2022</v>
      </c>
      <c r="R3" s="1">
        <v>2022</v>
      </c>
      <c r="S3" s="1" t="s">
        <v>75</v>
      </c>
      <c r="T3" s="1" t="s">
        <v>67</v>
      </c>
      <c r="U3" s="1" t="s">
        <v>64</v>
      </c>
      <c r="V3" t="s">
        <v>68</v>
      </c>
    </row>
    <row r="4" spans="1:24" ht="240.75" customHeight="1">
      <c r="B4" t="s">
        <v>57</v>
      </c>
      <c r="C4" t="s">
        <v>58</v>
      </c>
      <c r="D4" s="1" t="s">
        <v>69</v>
      </c>
      <c r="E4" s="1" t="s">
        <v>76</v>
      </c>
      <c r="F4" s="1"/>
      <c r="G4" s="1" t="s">
        <v>77</v>
      </c>
      <c r="H4" s="28" t="s">
        <v>78</v>
      </c>
      <c r="I4" s="28" t="s">
        <v>79</v>
      </c>
      <c r="J4" s="28"/>
      <c r="K4" s="1" t="s">
        <v>80</v>
      </c>
      <c r="L4" s="1"/>
      <c r="M4" s="1" t="s">
        <v>81</v>
      </c>
      <c r="N4" s="1" t="s">
        <v>64</v>
      </c>
      <c r="O4" s="1" t="s">
        <v>64</v>
      </c>
      <c r="P4" s="1" t="s">
        <v>65</v>
      </c>
      <c r="Q4" s="1" t="s">
        <v>82</v>
      </c>
      <c r="R4" s="1">
        <v>2022</v>
      </c>
      <c r="S4" s="1" t="s">
        <v>75</v>
      </c>
      <c r="T4" s="1" t="s">
        <v>67</v>
      </c>
      <c r="U4" s="1" t="s">
        <v>64</v>
      </c>
      <c r="V4" s="1" t="s">
        <v>68</v>
      </c>
      <c r="W4" s="1"/>
      <c r="X4" s="1"/>
    </row>
    <row r="5" spans="1:24" ht="96">
      <c r="B5" t="s">
        <v>57</v>
      </c>
      <c r="C5" t="s">
        <v>58</v>
      </c>
      <c r="D5" s="1" t="s">
        <v>69</v>
      </c>
      <c r="E5" s="1" t="s">
        <v>83</v>
      </c>
      <c r="F5" s="1"/>
      <c r="G5" s="1" t="s">
        <v>84</v>
      </c>
      <c r="H5" s="28" t="s">
        <v>85</v>
      </c>
      <c r="I5" s="28" t="s">
        <v>79</v>
      </c>
      <c r="J5" s="28"/>
      <c r="K5" s="1" t="s">
        <v>80</v>
      </c>
      <c r="L5" s="1"/>
      <c r="M5" s="1" t="s">
        <v>81</v>
      </c>
      <c r="N5" t="s">
        <v>64</v>
      </c>
      <c r="O5" t="s">
        <v>64</v>
      </c>
      <c r="P5" s="1" t="s">
        <v>65</v>
      </c>
      <c r="Q5" s="1" t="s">
        <v>82</v>
      </c>
      <c r="R5" s="1">
        <v>2022</v>
      </c>
      <c r="S5" s="1" t="s">
        <v>86</v>
      </c>
      <c r="T5" t="s">
        <v>67</v>
      </c>
      <c r="U5" t="s">
        <v>64</v>
      </c>
      <c r="V5" t="s">
        <v>68</v>
      </c>
    </row>
    <row r="6" spans="1:24" ht="103.5" customHeight="1">
      <c r="B6" t="s">
        <v>57</v>
      </c>
      <c r="C6" t="s">
        <v>58</v>
      </c>
      <c r="D6" s="1" t="s">
        <v>69</v>
      </c>
      <c r="E6" s="1" t="s">
        <v>87</v>
      </c>
      <c r="F6" s="1"/>
      <c r="G6" s="1" t="s">
        <v>71</v>
      </c>
      <c r="H6" s="28" t="s">
        <v>85</v>
      </c>
      <c r="I6" s="28" t="s">
        <v>79</v>
      </c>
      <c r="J6" s="28"/>
      <c r="K6" s="1" t="s">
        <v>80</v>
      </c>
      <c r="L6" s="1"/>
      <c r="M6" s="1" t="s">
        <v>81</v>
      </c>
      <c r="N6" t="s">
        <v>64</v>
      </c>
      <c r="O6" t="s">
        <v>64</v>
      </c>
      <c r="P6" s="1" t="s">
        <v>65</v>
      </c>
      <c r="Q6" s="1" t="s">
        <v>82</v>
      </c>
      <c r="R6" s="1">
        <v>2022</v>
      </c>
      <c r="S6" s="1" t="s">
        <v>75</v>
      </c>
      <c r="T6" t="s">
        <v>67</v>
      </c>
      <c r="U6" t="s">
        <v>64</v>
      </c>
      <c r="V6" t="s">
        <v>68</v>
      </c>
    </row>
    <row r="7" spans="1:24" ht="135.75" customHeight="1">
      <c r="B7" t="s">
        <v>57</v>
      </c>
      <c r="C7" t="s">
        <v>58</v>
      </c>
      <c r="D7" s="1" t="s">
        <v>69</v>
      </c>
      <c r="E7" s="1" t="s">
        <v>88</v>
      </c>
      <c r="F7" s="1"/>
      <c r="G7" s="1" t="s">
        <v>89</v>
      </c>
      <c r="H7" s="28" t="s">
        <v>90</v>
      </c>
      <c r="I7" s="28" t="s">
        <v>91</v>
      </c>
      <c r="J7" s="28"/>
      <c r="K7" s="1" t="s">
        <v>80</v>
      </c>
      <c r="L7" s="1"/>
      <c r="M7" s="1" t="s">
        <v>81</v>
      </c>
      <c r="N7" t="s">
        <v>64</v>
      </c>
      <c r="O7" t="s">
        <v>64</v>
      </c>
      <c r="P7" s="1" t="s">
        <v>65</v>
      </c>
      <c r="Q7" s="1" t="s">
        <v>92</v>
      </c>
      <c r="R7" s="1">
        <v>2022</v>
      </c>
      <c r="S7" s="1" t="s">
        <v>75</v>
      </c>
      <c r="T7" t="s">
        <v>67</v>
      </c>
      <c r="U7" t="s">
        <v>64</v>
      </c>
      <c r="V7" t="s">
        <v>68</v>
      </c>
    </row>
    <row r="8" spans="1:24" ht="103.5" customHeight="1">
      <c r="B8" t="s">
        <v>57</v>
      </c>
      <c r="C8" t="s">
        <v>58</v>
      </c>
      <c r="D8" s="1" t="s">
        <v>69</v>
      </c>
      <c r="E8" s="1" t="s">
        <v>93</v>
      </c>
      <c r="F8" s="1"/>
      <c r="G8" s="1" t="s">
        <v>71</v>
      </c>
      <c r="H8" s="28" t="s">
        <v>94</v>
      </c>
      <c r="I8" s="28" t="s">
        <v>95</v>
      </c>
      <c r="J8" s="28"/>
      <c r="K8" s="1" t="s">
        <v>80</v>
      </c>
      <c r="L8" s="1"/>
      <c r="M8" s="1" t="s">
        <v>81</v>
      </c>
      <c r="N8" t="s">
        <v>64</v>
      </c>
      <c r="O8" t="s">
        <v>64</v>
      </c>
      <c r="P8" s="1" t="s">
        <v>65</v>
      </c>
      <c r="Q8" s="1" t="s">
        <v>92</v>
      </c>
      <c r="R8" s="1">
        <v>2022</v>
      </c>
      <c r="S8" s="1" t="s">
        <v>75</v>
      </c>
      <c r="T8" t="s">
        <v>67</v>
      </c>
      <c r="U8" t="s">
        <v>64</v>
      </c>
      <c r="V8" t="s">
        <v>68</v>
      </c>
    </row>
    <row r="9" spans="1:24" ht="144.75" customHeight="1">
      <c r="B9" t="s">
        <v>57</v>
      </c>
      <c r="C9" t="s">
        <v>58</v>
      </c>
      <c r="D9" s="1" t="s">
        <v>59</v>
      </c>
      <c r="E9" s="1" t="s">
        <v>96</v>
      </c>
      <c r="F9" s="1"/>
      <c r="G9" s="1" t="s">
        <v>89</v>
      </c>
      <c r="H9" s="28" t="s">
        <v>97</v>
      </c>
      <c r="I9" s="28" t="s">
        <v>98</v>
      </c>
      <c r="J9" s="28"/>
      <c r="K9" s="1" t="s">
        <v>80</v>
      </c>
      <c r="L9" s="1"/>
      <c r="M9" s="1" t="s">
        <v>81</v>
      </c>
      <c r="N9" t="s">
        <v>64</v>
      </c>
      <c r="O9" t="s">
        <v>64</v>
      </c>
      <c r="P9" s="1" t="s">
        <v>65</v>
      </c>
      <c r="Q9" s="1" t="s">
        <v>92</v>
      </c>
      <c r="R9" s="1">
        <v>2022</v>
      </c>
      <c r="S9" s="1" t="s">
        <v>75</v>
      </c>
      <c r="T9" t="s">
        <v>67</v>
      </c>
      <c r="U9" t="s">
        <v>64</v>
      </c>
      <c r="V9" t="s">
        <v>68</v>
      </c>
    </row>
    <row r="10" spans="1:24" ht="103.5" customHeight="1">
      <c r="B10" t="s">
        <v>57</v>
      </c>
      <c r="C10" t="s">
        <v>58</v>
      </c>
      <c r="D10" s="1" t="s">
        <v>59</v>
      </c>
      <c r="E10" s="1" t="s">
        <v>99</v>
      </c>
      <c r="F10" s="1"/>
      <c r="G10" s="1" t="s">
        <v>100</v>
      </c>
      <c r="H10" s="28" t="s">
        <v>101</v>
      </c>
      <c r="I10" s="28" t="s">
        <v>102</v>
      </c>
      <c r="J10" s="28"/>
      <c r="K10" s="1" t="s">
        <v>80</v>
      </c>
      <c r="L10" s="1"/>
      <c r="M10" s="1" t="s">
        <v>81</v>
      </c>
      <c r="N10" t="s">
        <v>64</v>
      </c>
      <c r="O10" t="s">
        <v>64</v>
      </c>
      <c r="P10" s="1" t="s">
        <v>65</v>
      </c>
      <c r="Q10" s="1" t="s">
        <v>92</v>
      </c>
      <c r="R10" s="1">
        <v>2022</v>
      </c>
      <c r="S10" s="1" t="s">
        <v>86</v>
      </c>
      <c r="T10" t="s">
        <v>67</v>
      </c>
      <c r="U10" t="s">
        <v>64</v>
      </c>
      <c r="V10" t="s">
        <v>68</v>
      </c>
    </row>
    <row r="11" spans="1:24" ht="103.5" customHeight="1">
      <c r="B11" t="s">
        <v>57</v>
      </c>
      <c r="C11" t="s">
        <v>58</v>
      </c>
      <c r="D11" s="1" t="s">
        <v>59</v>
      </c>
      <c r="E11" s="1" t="s">
        <v>103</v>
      </c>
      <c r="F11" s="1"/>
      <c r="G11" s="1" t="s">
        <v>100</v>
      </c>
      <c r="H11" s="28" t="s">
        <v>104</v>
      </c>
      <c r="I11" s="28" t="s">
        <v>105</v>
      </c>
      <c r="J11" s="28"/>
      <c r="K11" s="1" t="s">
        <v>80</v>
      </c>
      <c r="L11" s="1"/>
      <c r="M11" s="1" t="s">
        <v>81</v>
      </c>
      <c r="N11" t="s">
        <v>64</v>
      </c>
      <c r="O11" t="s">
        <v>64</v>
      </c>
      <c r="P11" s="1" t="s">
        <v>65</v>
      </c>
      <c r="Q11" s="1" t="s">
        <v>92</v>
      </c>
      <c r="R11" s="1">
        <v>2022</v>
      </c>
      <c r="S11" s="1" t="s">
        <v>86</v>
      </c>
      <c r="T11" t="s">
        <v>67</v>
      </c>
      <c r="U11" t="s">
        <v>64</v>
      </c>
      <c r="V11" t="s">
        <v>68</v>
      </c>
    </row>
    <row r="12" spans="1:24" ht="103.5" customHeight="1">
      <c r="B12" t="s">
        <v>57</v>
      </c>
      <c r="C12" t="s">
        <v>58</v>
      </c>
      <c r="D12" s="1" t="s">
        <v>59</v>
      </c>
      <c r="E12" s="1" t="s">
        <v>106</v>
      </c>
      <c r="F12" s="1"/>
      <c r="G12" s="1" t="s">
        <v>100</v>
      </c>
      <c r="H12" s="35" t="s">
        <v>107</v>
      </c>
      <c r="I12" s="35" t="s">
        <v>107</v>
      </c>
      <c r="J12" s="35"/>
      <c r="K12" s="1" t="s">
        <v>80</v>
      </c>
      <c r="L12" s="1"/>
      <c r="M12" s="1" t="s">
        <v>81</v>
      </c>
      <c r="N12" t="s">
        <v>64</v>
      </c>
      <c r="O12" t="s">
        <v>64</v>
      </c>
      <c r="P12" s="1" t="s">
        <v>65</v>
      </c>
      <c r="Q12" s="1" t="s">
        <v>92</v>
      </c>
      <c r="R12" s="1">
        <v>2022</v>
      </c>
      <c r="S12" s="1" t="s">
        <v>86</v>
      </c>
      <c r="T12" t="s">
        <v>67</v>
      </c>
      <c r="U12" t="s">
        <v>64</v>
      </c>
      <c r="V12" t="s">
        <v>68</v>
      </c>
    </row>
    <row r="13" spans="1:24" ht="103.5" customHeight="1">
      <c r="B13" t="s">
        <v>57</v>
      </c>
      <c r="C13" t="s">
        <v>58</v>
      </c>
      <c r="D13" s="1" t="s">
        <v>59</v>
      </c>
      <c r="E13" s="1" t="s">
        <v>108</v>
      </c>
      <c r="F13" s="1"/>
      <c r="G13" s="1" t="s">
        <v>100</v>
      </c>
      <c r="H13" s="35" t="s">
        <v>109</v>
      </c>
      <c r="I13" s="35" t="s">
        <v>109</v>
      </c>
      <c r="J13" s="35"/>
      <c r="K13" s="1" t="s">
        <v>80</v>
      </c>
      <c r="L13" s="1"/>
      <c r="M13" s="1" t="s">
        <v>81</v>
      </c>
      <c r="N13" t="s">
        <v>64</v>
      </c>
      <c r="O13" t="s">
        <v>64</v>
      </c>
      <c r="P13" s="1" t="s">
        <v>65</v>
      </c>
      <c r="Q13" s="1" t="s">
        <v>92</v>
      </c>
      <c r="R13" s="1">
        <v>2022</v>
      </c>
      <c r="S13" s="1" t="s">
        <v>86</v>
      </c>
      <c r="T13" t="s">
        <v>67</v>
      </c>
      <c r="U13" t="s">
        <v>64</v>
      </c>
      <c r="V13" t="s">
        <v>68</v>
      </c>
    </row>
    <row r="14" spans="1:24" ht="80.099999999999994">
      <c r="B14" t="s">
        <v>57</v>
      </c>
      <c r="C14" s="1" t="s">
        <v>58</v>
      </c>
      <c r="D14" s="1" t="s">
        <v>59</v>
      </c>
      <c r="E14" s="1" t="s">
        <v>110</v>
      </c>
      <c r="F14" s="1"/>
      <c r="G14" s="1" t="s">
        <v>111</v>
      </c>
      <c r="H14" s="28" t="s">
        <v>85</v>
      </c>
      <c r="I14" s="28" t="s">
        <v>79</v>
      </c>
      <c r="J14" s="28"/>
      <c r="K14" s="35" t="s">
        <v>72</v>
      </c>
      <c r="L14" s="35" t="s">
        <v>73</v>
      </c>
      <c r="M14" t="s">
        <v>68</v>
      </c>
      <c r="N14" t="s">
        <v>64</v>
      </c>
      <c r="O14" t="s">
        <v>64</v>
      </c>
      <c r="P14" s="1" t="s">
        <v>65</v>
      </c>
      <c r="Q14">
        <v>2020</v>
      </c>
      <c r="R14">
        <v>2020</v>
      </c>
      <c r="S14" t="s">
        <v>112</v>
      </c>
      <c r="T14" t="s">
        <v>67</v>
      </c>
      <c r="U14" t="s">
        <v>64</v>
      </c>
      <c r="V14" t="s">
        <v>68</v>
      </c>
    </row>
    <row r="15" spans="1:24" ht="117" customHeight="1">
      <c r="B15" t="s">
        <v>57</v>
      </c>
      <c r="C15" s="1" t="s">
        <v>58</v>
      </c>
      <c r="D15" s="1" t="s">
        <v>59</v>
      </c>
      <c r="E15" s="1" t="s">
        <v>113</v>
      </c>
      <c r="F15" s="1"/>
      <c r="G15" s="1" t="s">
        <v>114</v>
      </c>
      <c r="H15" s="28" t="s">
        <v>90</v>
      </c>
      <c r="I15" s="28" t="s">
        <v>115</v>
      </c>
      <c r="J15" s="28"/>
      <c r="K15" t="s">
        <v>72</v>
      </c>
      <c r="L15" s="35" t="s">
        <v>73</v>
      </c>
      <c r="M15" t="s">
        <v>68</v>
      </c>
      <c r="N15" t="s">
        <v>64</v>
      </c>
      <c r="O15" t="s">
        <v>64</v>
      </c>
      <c r="P15" s="1" t="s">
        <v>65</v>
      </c>
      <c r="Q15">
        <v>2020</v>
      </c>
      <c r="R15">
        <v>2020</v>
      </c>
      <c r="S15" t="s">
        <v>112</v>
      </c>
      <c r="T15" t="s">
        <v>67</v>
      </c>
      <c r="U15" t="s">
        <v>64</v>
      </c>
      <c r="V15" t="s">
        <v>68</v>
      </c>
    </row>
    <row r="16" spans="1:24" ht="102.75" customHeight="1">
      <c r="B16" t="s">
        <v>57</v>
      </c>
      <c r="C16" s="1" t="s">
        <v>58</v>
      </c>
      <c r="D16" s="1" t="s">
        <v>59</v>
      </c>
      <c r="E16" s="1" t="s">
        <v>116</v>
      </c>
      <c r="F16" s="1"/>
      <c r="G16" s="1" t="s">
        <v>114</v>
      </c>
      <c r="H16" s="28" t="s">
        <v>97</v>
      </c>
      <c r="I16" s="28" t="s">
        <v>98</v>
      </c>
      <c r="J16" s="28"/>
      <c r="K16" t="s">
        <v>72</v>
      </c>
      <c r="L16" s="35" t="s">
        <v>73</v>
      </c>
      <c r="M16" t="s">
        <v>68</v>
      </c>
      <c r="N16" t="s">
        <v>64</v>
      </c>
      <c r="O16" t="s">
        <v>64</v>
      </c>
      <c r="P16" s="1" t="s">
        <v>65</v>
      </c>
      <c r="Q16">
        <v>2020</v>
      </c>
      <c r="R16">
        <v>2020</v>
      </c>
      <c r="S16" t="s">
        <v>112</v>
      </c>
      <c r="T16" t="s">
        <v>67</v>
      </c>
      <c r="U16" t="s">
        <v>64</v>
      </c>
      <c r="V16" t="s">
        <v>68</v>
      </c>
    </row>
    <row r="17" spans="2:25" ht="80.099999999999994">
      <c r="B17" t="s">
        <v>57</v>
      </c>
      <c r="C17" s="1" t="s">
        <v>58</v>
      </c>
      <c r="D17" s="1" t="s">
        <v>59</v>
      </c>
      <c r="E17" s="1" t="s">
        <v>117</v>
      </c>
      <c r="F17" s="1"/>
      <c r="G17" s="1" t="s">
        <v>118</v>
      </c>
      <c r="H17" s="28" t="s">
        <v>119</v>
      </c>
      <c r="I17" s="28" t="s">
        <v>120</v>
      </c>
      <c r="J17" s="28"/>
      <c r="K17" t="s">
        <v>121</v>
      </c>
      <c r="L17" s="35" t="s">
        <v>73</v>
      </c>
      <c r="M17" s="28" t="s">
        <v>122</v>
      </c>
      <c r="N17" t="s">
        <v>64</v>
      </c>
      <c r="O17" t="s">
        <v>64</v>
      </c>
      <c r="P17" s="1" t="s">
        <v>65</v>
      </c>
      <c r="Q17">
        <v>2020</v>
      </c>
      <c r="R17">
        <v>2020</v>
      </c>
      <c r="S17" t="s">
        <v>112</v>
      </c>
      <c r="T17" t="s">
        <v>67</v>
      </c>
      <c r="U17" t="s">
        <v>64</v>
      </c>
      <c r="V17" t="s">
        <v>68</v>
      </c>
    </row>
    <row r="18" spans="2:25" ht="112.5" customHeight="1">
      <c r="B18" t="s">
        <v>57</v>
      </c>
      <c r="C18" s="1" t="s">
        <v>58</v>
      </c>
      <c r="D18" s="1" t="s">
        <v>59</v>
      </c>
      <c r="E18" s="1" t="s">
        <v>123</v>
      </c>
      <c r="F18" s="1"/>
      <c r="G18" s="1" t="s">
        <v>124</v>
      </c>
      <c r="H18" s="28" t="s">
        <v>125</v>
      </c>
      <c r="I18" s="28" t="s">
        <v>102</v>
      </c>
      <c r="J18" s="28"/>
      <c r="K18" t="s">
        <v>121</v>
      </c>
      <c r="L18" s="35" t="s">
        <v>73</v>
      </c>
      <c r="M18" s="28" t="s">
        <v>122</v>
      </c>
      <c r="N18" t="s">
        <v>64</v>
      </c>
      <c r="O18" t="s">
        <v>64</v>
      </c>
      <c r="P18" s="1" t="s">
        <v>65</v>
      </c>
      <c r="Q18">
        <v>2020</v>
      </c>
      <c r="R18">
        <v>2020</v>
      </c>
      <c r="S18" t="s">
        <v>112</v>
      </c>
      <c r="T18" t="s">
        <v>67</v>
      </c>
      <c r="U18" t="s">
        <v>64</v>
      </c>
      <c r="V18" t="s">
        <v>68</v>
      </c>
    </row>
    <row r="19" spans="2:25" ht="66" customHeight="1">
      <c r="B19" t="s">
        <v>57</v>
      </c>
      <c r="C19" s="1" t="s">
        <v>58</v>
      </c>
      <c r="D19" s="1" t="s">
        <v>59</v>
      </c>
      <c r="E19" s="1" t="s">
        <v>126</v>
      </c>
      <c r="F19" s="1"/>
      <c r="G19" s="1" t="s">
        <v>124</v>
      </c>
      <c r="H19" s="35" t="s">
        <v>109</v>
      </c>
      <c r="I19" s="35" t="s">
        <v>109</v>
      </c>
      <c r="J19" s="35"/>
      <c r="K19" t="s">
        <v>121</v>
      </c>
      <c r="L19" s="35" t="s">
        <v>73</v>
      </c>
      <c r="M19" t="s">
        <v>68</v>
      </c>
      <c r="N19" t="s">
        <v>64</v>
      </c>
      <c r="O19" t="s">
        <v>64</v>
      </c>
      <c r="P19" s="1" t="s">
        <v>65</v>
      </c>
      <c r="Q19">
        <v>2020</v>
      </c>
      <c r="R19">
        <v>2020</v>
      </c>
      <c r="S19" t="s">
        <v>112</v>
      </c>
      <c r="T19" t="s">
        <v>67</v>
      </c>
      <c r="U19" t="s">
        <v>64</v>
      </c>
      <c r="V19" t="s">
        <v>68</v>
      </c>
    </row>
    <row r="20" spans="2:25" ht="66" customHeight="1">
      <c r="B20" t="s">
        <v>57</v>
      </c>
      <c r="C20" s="1" t="s">
        <v>127</v>
      </c>
      <c r="D20" s="1" t="s">
        <v>128</v>
      </c>
      <c r="E20" s="1" t="s">
        <v>129</v>
      </c>
      <c r="F20" s="21" t="s">
        <v>130</v>
      </c>
      <c r="G20" s="1"/>
      <c r="H20" s="35"/>
      <c r="I20" s="35"/>
      <c r="J20" s="35"/>
    </row>
    <row r="21" spans="2:25" ht="128.1">
      <c r="B21" t="s">
        <v>57</v>
      </c>
      <c r="C21" t="s">
        <v>127</v>
      </c>
      <c r="D21" s="1" t="s">
        <v>59</v>
      </c>
      <c r="E21" s="1" t="s">
        <v>131</v>
      </c>
      <c r="F21" s="1"/>
      <c r="G21" s="1" t="s">
        <v>132</v>
      </c>
      <c r="H21" t="s">
        <v>62</v>
      </c>
      <c r="I21" t="s">
        <v>62</v>
      </c>
      <c r="M21" s="28" t="s">
        <v>122</v>
      </c>
      <c r="N21" t="s">
        <v>64</v>
      </c>
      <c r="O21" t="s">
        <v>64</v>
      </c>
      <c r="P21" s="1" t="s">
        <v>65</v>
      </c>
      <c r="Q21" t="s">
        <v>133</v>
      </c>
      <c r="R21">
        <v>2021</v>
      </c>
      <c r="S21">
        <v>2021</v>
      </c>
      <c r="T21" t="s">
        <v>68</v>
      </c>
      <c r="U21" t="s">
        <v>64</v>
      </c>
      <c r="V21" t="s">
        <v>68</v>
      </c>
    </row>
    <row r="22" spans="2:25" ht="63.95">
      <c r="B22" t="s">
        <v>57</v>
      </c>
      <c r="C22" t="s">
        <v>127</v>
      </c>
      <c r="D22" s="1" t="s">
        <v>59</v>
      </c>
      <c r="E22" s="1" t="s">
        <v>134</v>
      </c>
      <c r="F22" s="1"/>
      <c r="G22" s="28" t="s">
        <v>135</v>
      </c>
      <c r="H22" t="s">
        <v>62</v>
      </c>
      <c r="I22" t="s">
        <v>62</v>
      </c>
      <c r="M22" s="28" t="s">
        <v>122</v>
      </c>
      <c r="N22" t="s">
        <v>64</v>
      </c>
      <c r="O22" t="s">
        <v>64</v>
      </c>
      <c r="P22" s="1" t="s">
        <v>65</v>
      </c>
      <c r="Q22">
        <v>2021</v>
      </c>
      <c r="R22">
        <v>2021</v>
      </c>
      <c r="S22">
        <v>2021</v>
      </c>
      <c r="T22" t="s">
        <v>68</v>
      </c>
      <c r="U22" t="s">
        <v>64</v>
      </c>
      <c r="V22" t="s">
        <v>68</v>
      </c>
    </row>
    <row r="23" spans="2:25" ht="63.95">
      <c r="B23" t="s">
        <v>57</v>
      </c>
      <c r="C23" t="s">
        <v>127</v>
      </c>
      <c r="D23" s="1" t="s">
        <v>59</v>
      </c>
      <c r="E23" s="1" t="s">
        <v>136</v>
      </c>
      <c r="F23" s="1"/>
      <c r="G23" s="28" t="s">
        <v>135</v>
      </c>
      <c r="H23" t="s">
        <v>62</v>
      </c>
      <c r="I23" t="s">
        <v>62</v>
      </c>
      <c r="M23" s="28" t="s">
        <v>122</v>
      </c>
      <c r="N23" t="s">
        <v>64</v>
      </c>
      <c r="O23" t="s">
        <v>64</v>
      </c>
      <c r="P23" s="1" t="s">
        <v>65</v>
      </c>
      <c r="Q23">
        <v>2021</v>
      </c>
      <c r="R23">
        <v>2021</v>
      </c>
      <c r="S23">
        <v>2021</v>
      </c>
      <c r="T23" t="s">
        <v>68</v>
      </c>
      <c r="U23" t="s">
        <v>64</v>
      </c>
      <c r="V23" t="s">
        <v>68</v>
      </c>
    </row>
    <row r="24" spans="2:25" ht="63.95">
      <c r="B24" t="s">
        <v>57</v>
      </c>
      <c r="C24" t="s">
        <v>127</v>
      </c>
      <c r="D24" s="1" t="s">
        <v>59</v>
      </c>
      <c r="E24" s="28" t="s">
        <v>137</v>
      </c>
      <c r="F24" s="28"/>
      <c r="G24" s="28" t="s">
        <v>135</v>
      </c>
      <c r="H24" t="s">
        <v>62</v>
      </c>
      <c r="I24" t="s">
        <v>62</v>
      </c>
      <c r="M24" s="28" t="s">
        <v>122</v>
      </c>
      <c r="N24" t="s">
        <v>64</v>
      </c>
      <c r="O24" t="s">
        <v>64</v>
      </c>
      <c r="P24" s="1" t="s">
        <v>65</v>
      </c>
      <c r="Q24">
        <v>2021</v>
      </c>
      <c r="R24">
        <v>2021</v>
      </c>
      <c r="S24">
        <v>2021</v>
      </c>
      <c r="T24" t="s">
        <v>68</v>
      </c>
      <c r="U24" t="s">
        <v>64</v>
      </c>
      <c r="V24" t="s">
        <v>68</v>
      </c>
    </row>
    <row r="25" spans="2:25" ht="80.099999999999994">
      <c r="B25" t="s">
        <v>57</v>
      </c>
      <c r="C25" t="s">
        <v>127</v>
      </c>
      <c r="D25" s="1" t="s">
        <v>59</v>
      </c>
      <c r="E25" s="1" t="s">
        <v>138</v>
      </c>
      <c r="F25" s="1"/>
      <c r="G25" s="28" t="s">
        <v>135</v>
      </c>
      <c r="H25" t="s">
        <v>139</v>
      </c>
      <c r="I25" t="s">
        <v>139</v>
      </c>
      <c r="M25" s="28" t="s">
        <v>122</v>
      </c>
      <c r="N25" t="s">
        <v>64</v>
      </c>
      <c r="O25" t="s">
        <v>64</v>
      </c>
      <c r="P25" s="1" t="s">
        <v>65</v>
      </c>
      <c r="Q25">
        <v>2020</v>
      </c>
      <c r="R25">
        <v>2020</v>
      </c>
      <c r="S25">
        <v>2020</v>
      </c>
      <c r="T25" t="s">
        <v>68</v>
      </c>
      <c r="U25" t="s">
        <v>64</v>
      </c>
      <c r="V25" t="s">
        <v>68</v>
      </c>
    </row>
    <row r="26" spans="2:25" ht="32.1">
      <c r="B26" t="s">
        <v>57</v>
      </c>
      <c r="C26" t="s">
        <v>127</v>
      </c>
      <c r="D26" s="1" t="s">
        <v>59</v>
      </c>
      <c r="E26" s="1" t="s">
        <v>140</v>
      </c>
      <c r="F26" s="1"/>
      <c r="G26" s="28" t="s">
        <v>135</v>
      </c>
      <c r="H26" t="s">
        <v>141</v>
      </c>
      <c r="I26" t="s">
        <v>142</v>
      </c>
      <c r="M26" s="28" t="s">
        <v>122</v>
      </c>
      <c r="N26" t="s">
        <v>64</v>
      </c>
      <c r="O26" t="s">
        <v>64</v>
      </c>
      <c r="P26" s="1" t="s">
        <v>65</v>
      </c>
      <c r="Q26">
        <v>2021</v>
      </c>
      <c r="R26">
        <v>2021</v>
      </c>
      <c r="S26">
        <v>2021</v>
      </c>
      <c r="T26" t="s">
        <v>68</v>
      </c>
      <c r="U26" t="s">
        <v>64</v>
      </c>
      <c r="V26" t="s">
        <v>68</v>
      </c>
    </row>
    <row r="27" spans="2:25" ht="80.099999999999994">
      <c r="B27" t="s">
        <v>143</v>
      </c>
      <c r="C27" t="s">
        <v>58</v>
      </c>
      <c r="D27" s="1" t="s">
        <v>144</v>
      </c>
      <c r="E27" s="1" t="s">
        <v>145</v>
      </c>
      <c r="F27" s="1"/>
      <c r="G27" s="1" t="s">
        <v>146</v>
      </c>
      <c r="H27" t="s">
        <v>147</v>
      </c>
      <c r="I27" t="s">
        <v>148</v>
      </c>
      <c r="K27" s="28" t="s">
        <v>149</v>
      </c>
      <c r="L27" s="35" t="s">
        <v>73</v>
      </c>
      <c r="M27" s="1" t="s">
        <v>150</v>
      </c>
      <c r="N27" t="s">
        <v>64</v>
      </c>
      <c r="O27" t="s">
        <v>64</v>
      </c>
      <c r="P27" s="1" t="s">
        <v>65</v>
      </c>
      <c r="Q27">
        <v>2022</v>
      </c>
      <c r="R27">
        <v>2022</v>
      </c>
      <c r="S27" t="s">
        <v>86</v>
      </c>
      <c r="T27" t="s">
        <v>67</v>
      </c>
      <c r="U27" t="s">
        <v>64</v>
      </c>
      <c r="V27" t="s">
        <v>67</v>
      </c>
    </row>
    <row r="28" spans="2:25" ht="80.099999999999994">
      <c r="B28" t="s">
        <v>143</v>
      </c>
      <c r="C28" t="s">
        <v>58</v>
      </c>
      <c r="D28" s="1" t="s">
        <v>144</v>
      </c>
      <c r="E28" s="1" t="s">
        <v>151</v>
      </c>
      <c r="F28" s="1"/>
      <c r="G28" s="1" t="s">
        <v>146</v>
      </c>
      <c r="H28" s="35" t="s">
        <v>152</v>
      </c>
      <c r="I28" s="35" t="s">
        <v>153</v>
      </c>
      <c r="J28" s="35"/>
      <c r="K28" s="28" t="s">
        <v>149</v>
      </c>
      <c r="L28" s="35" t="s">
        <v>73</v>
      </c>
      <c r="M28" s="1" t="s">
        <v>150</v>
      </c>
      <c r="N28" t="s">
        <v>64</v>
      </c>
      <c r="O28" t="s">
        <v>64</v>
      </c>
      <c r="P28" s="1" t="s">
        <v>65</v>
      </c>
      <c r="Q28">
        <v>2022</v>
      </c>
      <c r="R28">
        <v>2022</v>
      </c>
      <c r="S28" t="s">
        <v>86</v>
      </c>
      <c r="T28" t="s">
        <v>67</v>
      </c>
      <c r="U28" t="s">
        <v>64</v>
      </c>
      <c r="V28" t="s">
        <v>67</v>
      </c>
    </row>
    <row r="29" spans="2:25" ht="111.95">
      <c r="B29" t="s">
        <v>143</v>
      </c>
      <c r="C29" t="s">
        <v>58</v>
      </c>
      <c r="D29" s="1" t="s">
        <v>144</v>
      </c>
      <c r="E29" s="1" t="s">
        <v>154</v>
      </c>
      <c r="F29" s="1"/>
      <c r="G29" s="1" t="s">
        <v>146</v>
      </c>
      <c r="H29" s="28" t="s">
        <v>155</v>
      </c>
      <c r="I29" s="28" t="s">
        <v>156</v>
      </c>
      <c r="J29" s="28"/>
      <c r="K29" s="28" t="s">
        <v>149</v>
      </c>
      <c r="L29" s="35" t="s">
        <v>73</v>
      </c>
      <c r="M29" s="1" t="s">
        <v>150</v>
      </c>
      <c r="N29" t="s">
        <v>64</v>
      </c>
      <c r="O29" t="s">
        <v>64</v>
      </c>
      <c r="P29" s="1" t="s">
        <v>65</v>
      </c>
      <c r="Q29">
        <v>2022</v>
      </c>
      <c r="R29">
        <v>2022</v>
      </c>
      <c r="S29" t="s">
        <v>86</v>
      </c>
      <c r="T29" t="s">
        <v>67</v>
      </c>
      <c r="U29" t="s">
        <v>64</v>
      </c>
      <c r="V29" t="s">
        <v>67</v>
      </c>
    </row>
    <row r="30" spans="2:25" ht="128.1">
      <c r="B30" t="s">
        <v>143</v>
      </c>
      <c r="C30" t="s">
        <v>58</v>
      </c>
      <c r="D30" s="1" t="s">
        <v>144</v>
      </c>
      <c r="E30" s="1" t="s">
        <v>157</v>
      </c>
      <c r="F30" s="1"/>
      <c r="G30" s="1" t="s">
        <v>158</v>
      </c>
      <c r="H30" s="1" t="s">
        <v>159</v>
      </c>
      <c r="I30" s="1" t="s">
        <v>159</v>
      </c>
      <c r="J30" s="1"/>
      <c r="K30" s="28" t="s">
        <v>149</v>
      </c>
      <c r="L30" s="35" t="s">
        <v>73</v>
      </c>
      <c r="M30" s="1"/>
      <c r="N30" t="s">
        <v>64</v>
      </c>
      <c r="O30" t="s">
        <v>64</v>
      </c>
      <c r="P30" s="1" t="s">
        <v>65</v>
      </c>
      <c r="Q30">
        <v>2022</v>
      </c>
      <c r="R30">
        <v>2022</v>
      </c>
      <c r="S30" t="s">
        <v>86</v>
      </c>
      <c r="T30" t="s">
        <v>67</v>
      </c>
      <c r="U30" t="s">
        <v>64</v>
      </c>
      <c r="V30" t="s">
        <v>67</v>
      </c>
      <c r="W30" s="1"/>
      <c r="X30" s="1"/>
      <c r="Y30" s="1"/>
    </row>
    <row r="31" spans="2:25" ht="80.099999999999994">
      <c r="B31" t="s">
        <v>143</v>
      </c>
      <c r="C31" t="s">
        <v>58</v>
      </c>
      <c r="D31" s="1" t="s">
        <v>144</v>
      </c>
      <c r="E31" s="1" t="s">
        <v>160</v>
      </c>
      <c r="F31" s="1"/>
      <c r="G31" s="1" t="s">
        <v>146</v>
      </c>
      <c r="H31" s="1" t="s">
        <v>159</v>
      </c>
      <c r="I31" s="1" t="s">
        <v>159</v>
      </c>
      <c r="J31" s="1"/>
      <c r="K31" s="28" t="s">
        <v>149</v>
      </c>
      <c r="L31" s="35" t="s">
        <v>73</v>
      </c>
      <c r="M31" s="1" t="s">
        <v>150</v>
      </c>
      <c r="N31" t="s">
        <v>64</v>
      </c>
      <c r="O31" t="s">
        <v>64</v>
      </c>
      <c r="P31" s="1" t="s">
        <v>65</v>
      </c>
      <c r="Q31">
        <v>2022</v>
      </c>
      <c r="R31">
        <v>2022</v>
      </c>
      <c r="S31" t="s">
        <v>86</v>
      </c>
      <c r="T31" t="s">
        <v>67</v>
      </c>
      <c r="U31" t="s">
        <v>64</v>
      </c>
      <c r="V31" t="s">
        <v>67</v>
      </c>
    </row>
    <row r="32" spans="2:25" ht="63.95">
      <c r="B32" t="s">
        <v>143</v>
      </c>
      <c r="C32" t="s">
        <v>58</v>
      </c>
      <c r="D32" s="1" t="s">
        <v>144</v>
      </c>
      <c r="E32" s="1" t="s">
        <v>161</v>
      </c>
      <c r="F32" s="1"/>
      <c r="G32" t="s">
        <v>162</v>
      </c>
      <c r="H32" t="s">
        <v>163</v>
      </c>
      <c r="I32" t="s">
        <v>163</v>
      </c>
      <c r="K32" s="1" t="s">
        <v>164</v>
      </c>
      <c r="L32" s="35" t="s">
        <v>165</v>
      </c>
      <c r="N32" t="s">
        <v>64</v>
      </c>
      <c r="O32" t="s">
        <v>64</v>
      </c>
      <c r="P32" s="1" t="s">
        <v>65</v>
      </c>
      <c r="Q32">
        <v>2021</v>
      </c>
      <c r="R32">
        <v>2021</v>
      </c>
      <c r="S32">
        <v>2021</v>
      </c>
      <c r="T32" t="s">
        <v>64</v>
      </c>
      <c r="U32" t="s">
        <v>64</v>
      </c>
      <c r="V32" t="s">
        <v>64</v>
      </c>
    </row>
    <row r="33" spans="2:22" ht="63.95">
      <c r="B33" t="s">
        <v>143</v>
      </c>
      <c r="C33" t="s">
        <v>127</v>
      </c>
      <c r="D33" s="1" t="s">
        <v>144</v>
      </c>
      <c r="E33" s="1" t="s">
        <v>166</v>
      </c>
      <c r="F33" s="1"/>
      <c r="G33" s="1" t="s">
        <v>167</v>
      </c>
      <c r="H33" t="s">
        <v>163</v>
      </c>
      <c r="I33" t="s">
        <v>163</v>
      </c>
      <c r="K33" s="28" t="s">
        <v>149</v>
      </c>
      <c r="L33" s="35" t="s">
        <v>73</v>
      </c>
      <c r="M33" s="1" t="s">
        <v>150</v>
      </c>
      <c r="N33" t="s">
        <v>64</v>
      </c>
      <c r="O33" t="s">
        <v>64</v>
      </c>
      <c r="P33" s="1" t="s">
        <v>65</v>
      </c>
      <c r="Q33">
        <v>2020</v>
      </c>
      <c r="R33">
        <v>2020</v>
      </c>
      <c r="S33">
        <v>2020</v>
      </c>
      <c r="T33" t="s">
        <v>67</v>
      </c>
      <c r="U33" t="s">
        <v>64</v>
      </c>
      <c r="V33" t="s">
        <v>64</v>
      </c>
    </row>
    <row r="34" spans="2:22" ht="80.099999999999994">
      <c r="B34" t="s">
        <v>143</v>
      </c>
      <c r="C34" t="s">
        <v>127</v>
      </c>
      <c r="D34" s="1" t="s">
        <v>144</v>
      </c>
      <c r="E34" s="1" t="s">
        <v>168</v>
      </c>
      <c r="F34" s="1"/>
      <c r="G34" s="1" t="s">
        <v>169</v>
      </c>
      <c r="H34" t="s">
        <v>159</v>
      </c>
      <c r="I34" t="s">
        <v>159</v>
      </c>
      <c r="K34" s="28" t="s">
        <v>149</v>
      </c>
      <c r="L34" s="35" t="s">
        <v>73</v>
      </c>
      <c r="M34" s="1" t="s">
        <v>150</v>
      </c>
      <c r="N34" t="s">
        <v>64</v>
      </c>
      <c r="O34" t="s">
        <v>64</v>
      </c>
      <c r="P34" s="1" t="s">
        <v>65</v>
      </c>
      <c r="Q34">
        <v>2017</v>
      </c>
      <c r="R34">
        <v>2017</v>
      </c>
      <c r="S34">
        <v>2017</v>
      </c>
      <c r="T34" t="s">
        <v>64</v>
      </c>
      <c r="U34" t="s">
        <v>64</v>
      </c>
      <c r="V34" t="s">
        <v>64</v>
      </c>
    </row>
    <row r="35" spans="2:22" ht="48">
      <c r="B35" t="s">
        <v>170</v>
      </c>
      <c r="C35" t="s">
        <v>58</v>
      </c>
      <c r="D35" s="1" t="s">
        <v>144</v>
      </c>
      <c r="E35" t="s">
        <v>171</v>
      </c>
      <c r="G35" t="s">
        <v>172</v>
      </c>
      <c r="H35" s="1" t="s">
        <v>173</v>
      </c>
      <c r="I35" s="1" t="s">
        <v>174</v>
      </c>
      <c r="J35" s="1"/>
      <c r="M35" s="1" t="s">
        <v>175</v>
      </c>
      <c r="N35" t="s">
        <v>67</v>
      </c>
      <c r="O35" t="s">
        <v>67</v>
      </c>
      <c r="P35" s="1" t="s">
        <v>65</v>
      </c>
      <c r="Q35">
        <v>2022</v>
      </c>
      <c r="R35">
        <v>2022</v>
      </c>
      <c r="S35">
        <v>2022</v>
      </c>
      <c r="T35" t="s">
        <v>67</v>
      </c>
      <c r="U35" t="s">
        <v>64</v>
      </c>
      <c r="V35" t="s">
        <v>64</v>
      </c>
    </row>
    <row r="36" spans="2:22" ht="63.95">
      <c r="B36" t="s">
        <v>170</v>
      </c>
      <c r="C36" t="s">
        <v>127</v>
      </c>
      <c r="D36" s="1" t="s">
        <v>59</v>
      </c>
      <c r="E36" s="1" t="s">
        <v>176</v>
      </c>
      <c r="F36" s="1"/>
      <c r="G36" t="s">
        <v>177</v>
      </c>
      <c r="H36" s="1" t="s">
        <v>178</v>
      </c>
      <c r="I36" s="1" t="s">
        <v>179</v>
      </c>
      <c r="J36" s="1"/>
      <c r="M36" s="1" t="s">
        <v>175</v>
      </c>
      <c r="N36" t="s">
        <v>64</v>
      </c>
      <c r="O36" t="s">
        <v>64</v>
      </c>
      <c r="P36" s="1" t="s">
        <v>65</v>
      </c>
      <c r="Q36">
        <v>2022</v>
      </c>
      <c r="R36">
        <v>2022</v>
      </c>
      <c r="S36">
        <v>2022</v>
      </c>
      <c r="T36" t="s">
        <v>180</v>
      </c>
      <c r="U36" t="s">
        <v>64</v>
      </c>
      <c r="V36" t="s">
        <v>180</v>
      </c>
    </row>
    <row r="37" spans="2:22" ht="111.95">
      <c r="B37" t="s">
        <v>170</v>
      </c>
      <c r="C37" t="s">
        <v>127</v>
      </c>
      <c r="D37" s="1" t="s">
        <v>59</v>
      </c>
      <c r="E37" s="1" t="s">
        <v>181</v>
      </c>
      <c r="F37" s="1"/>
      <c r="G37" s="1" t="s">
        <v>182</v>
      </c>
      <c r="H37" t="s">
        <v>183</v>
      </c>
      <c r="I37" t="s">
        <v>184</v>
      </c>
      <c r="M37" s="1" t="s">
        <v>175</v>
      </c>
      <c r="N37" t="s">
        <v>64</v>
      </c>
      <c r="O37" t="s">
        <v>64</v>
      </c>
      <c r="P37" s="1" t="s">
        <v>65</v>
      </c>
      <c r="Q37">
        <v>2022</v>
      </c>
      <c r="R37">
        <v>2022</v>
      </c>
      <c r="S37">
        <v>2022</v>
      </c>
      <c r="T37" t="s">
        <v>180</v>
      </c>
      <c r="U37" t="s">
        <v>64</v>
      </c>
      <c r="V37" t="s">
        <v>180</v>
      </c>
    </row>
    <row r="38" spans="2:22" ht="63.95">
      <c r="B38" t="s">
        <v>185</v>
      </c>
      <c r="C38" t="s">
        <v>58</v>
      </c>
      <c r="D38" s="1" t="s">
        <v>59</v>
      </c>
      <c r="E38" s="1" t="s">
        <v>186</v>
      </c>
      <c r="F38" s="1"/>
      <c r="G38" s="1" t="s">
        <v>187</v>
      </c>
      <c r="H38" t="s">
        <v>163</v>
      </c>
      <c r="I38" t="s">
        <v>163</v>
      </c>
      <c r="K38" s="28" t="s">
        <v>149</v>
      </c>
      <c r="L38" s="35" t="s">
        <v>73</v>
      </c>
      <c r="M38" s="1"/>
      <c r="N38" t="s">
        <v>64</v>
      </c>
      <c r="O38" t="s">
        <v>64</v>
      </c>
      <c r="P38" s="1" t="s">
        <v>65</v>
      </c>
      <c r="Q38">
        <v>2022</v>
      </c>
      <c r="R38">
        <v>2022</v>
      </c>
      <c r="S38" t="s">
        <v>86</v>
      </c>
      <c r="T38" t="s">
        <v>67</v>
      </c>
      <c r="U38" t="s">
        <v>64</v>
      </c>
      <c r="V38" t="s">
        <v>67</v>
      </c>
    </row>
    <row r="39" spans="2:22" ht="96">
      <c r="B39" t="s">
        <v>185</v>
      </c>
      <c r="C39" t="s">
        <v>58</v>
      </c>
      <c r="D39" s="1" t="s">
        <v>59</v>
      </c>
      <c r="E39" s="1" t="s">
        <v>188</v>
      </c>
      <c r="F39" s="1"/>
      <c r="G39" s="1" t="s">
        <v>189</v>
      </c>
      <c r="H39" t="s">
        <v>163</v>
      </c>
      <c r="I39" t="s">
        <v>163</v>
      </c>
      <c r="K39" s="28" t="s">
        <v>149</v>
      </c>
      <c r="L39" s="35" t="s">
        <v>73</v>
      </c>
      <c r="M39" s="1"/>
      <c r="N39" t="s">
        <v>64</v>
      </c>
      <c r="O39" t="s">
        <v>64</v>
      </c>
      <c r="P39" s="1" t="s">
        <v>65</v>
      </c>
      <c r="Q39">
        <v>2022</v>
      </c>
      <c r="R39">
        <v>2022</v>
      </c>
      <c r="S39" t="s">
        <v>86</v>
      </c>
      <c r="T39" t="s">
        <v>67</v>
      </c>
      <c r="U39" t="s">
        <v>64</v>
      </c>
      <c r="V39" t="s">
        <v>67</v>
      </c>
    </row>
    <row r="40" spans="2:22" ht="96">
      <c r="B40" t="s">
        <v>185</v>
      </c>
      <c r="C40" t="s">
        <v>58</v>
      </c>
      <c r="D40" s="1" t="s">
        <v>59</v>
      </c>
      <c r="E40" s="1" t="s">
        <v>190</v>
      </c>
      <c r="F40" s="1"/>
      <c r="G40" s="1" t="s">
        <v>191</v>
      </c>
      <c r="H40" t="s">
        <v>163</v>
      </c>
      <c r="I40" t="s">
        <v>163</v>
      </c>
      <c r="K40" s="28" t="s">
        <v>149</v>
      </c>
      <c r="L40" s="35" t="s">
        <v>73</v>
      </c>
      <c r="M40" s="1"/>
      <c r="N40" t="s">
        <v>64</v>
      </c>
      <c r="O40" t="s">
        <v>64</v>
      </c>
      <c r="P40" s="1" t="s">
        <v>65</v>
      </c>
      <c r="Q40">
        <v>2022</v>
      </c>
      <c r="R40">
        <v>2022</v>
      </c>
      <c r="S40" t="s">
        <v>86</v>
      </c>
      <c r="T40" t="s">
        <v>67</v>
      </c>
      <c r="U40" t="s">
        <v>64</v>
      </c>
      <c r="V40" t="s">
        <v>67</v>
      </c>
    </row>
    <row r="41" spans="2:22" ht="80.099999999999994">
      <c r="B41" t="s">
        <v>185</v>
      </c>
      <c r="C41" t="s">
        <v>58</v>
      </c>
      <c r="D41" s="1" t="s">
        <v>59</v>
      </c>
      <c r="E41" s="1" t="s">
        <v>192</v>
      </c>
      <c r="F41" s="1"/>
      <c r="G41" s="1" t="s">
        <v>193</v>
      </c>
      <c r="H41" t="s">
        <v>163</v>
      </c>
      <c r="I41" t="s">
        <v>163</v>
      </c>
      <c r="K41" s="28" t="s">
        <v>149</v>
      </c>
      <c r="L41" s="35" t="s">
        <v>73</v>
      </c>
      <c r="M41" s="1"/>
      <c r="N41" t="s">
        <v>64</v>
      </c>
      <c r="O41" t="s">
        <v>64</v>
      </c>
      <c r="P41" s="1" t="s">
        <v>65</v>
      </c>
      <c r="Q41">
        <v>2022</v>
      </c>
      <c r="R41">
        <v>2022</v>
      </c>
      <c r="S41" t="s">
        <v>86</v>
      </c>
      <c r="T41" t="s">
        <v>67</v>
      </c>
      <c r="U41" t="s">
        <v>64</v>
      </c>
      <c r="V41" t="s">
        <v>67</v>
      </c>
    </row>
    <row r="42" spans="2:22" ht="80.099999999999994">
      <c r="B42" t="s">
        <v>185</v>
      </c>
      <c r="C42" t="s">
        <v>58</v>
      </c>
      <c r="D42" s="1" t="s">
        <v>59</v>
      </c>
      <c r="E42" s="1" t="s">
        <v>194</v>
      </c>
      <c r="F42" s="1"/>
      <c r="G42" s="1" t="s">
        <v>195</v>
      </c>
      <c r="H42" t="s">
        <v>163</v>
      </c>
      <c r="I42" t="s">
        <v>163</v>
      </c>
      <c r="K42" s="28" t="s">
        <v>149</v>
      </c>
      <c r="L42" s="35" t="s">
        <v>73</v>
      </c>
      <c r="M42" s="1"/>
      <c r="N42" t="s">
        <v>64</v>
      </c>
      <c r="O42" t="s">
        <v>64</v>
      </c>
      <c r="P42" s="1" t="s">
        <v>65</v>
      </c>
      <c r="Q42">
        <v>2022</v>
      </c>
      <c r="R42">
        <v>2022</v>
      </c>
      <c r="S42" t="s">
        <v>86</v>
      </c>
      <c r="T42" t="s">
        <v>67</v>
      </c>
      <c r="U42" t="s">
        <v>64</v>
      </c>
      <c r="V42" t="s">
        <v>67</v>
      </c>
    </row>
    <row r="43" spans="2:22" ht="80.099999999999994">
      <c r="B43" t="s">
        <v>185</v>
      </c>
      <c r="C43" t="s">
        <v>58</v>
      </c>
      <c r="D43" s="1" t="s">
        <v>59</v>
      </c>
      <c r="E43" s="1" t="s">
        <v>196</v>
      </c>
      <c r="F43" s="1"/>
      <c r="G43" s="1" t="s">
        <v>197</v>
      </c>
      <c r="H43" t="s">
        <v>62</v>
      </c>
      <c r="I43" t="s">
        <v>62</v>
      </c>
      <c r="K43" s="28" t="s">
        <v>149</v>
      </c>
      <c r="L43" s="35" t="s">
        <v>73</v>
      </c>
      <c r="M43" s="1"/>
      <c r="N43" t="s">
        <v>64</v>
      </c>
      <c r="O43" t="s">
        <v>64</v>
      </c>
      <c r="P43" s="1" t="s">
        <v>65</v>
      </c>
      <c r="Q43">
        <v>2022</v>
      </c>
      <c r="R43">
        <v>2022</v>
      </c>
      <c r="S43" t="s">
        <v>86</v>
      </c>
      <c r="T43" t="s">
        <v>67</v>
      </c>
      <c r="U43" t="s">
        <v>64</v>
      </c>
      <c r="V43" t="s">
        <v>67</v>
      </c>
    </row>
    <row r="44" spans="2:22" ht="80.099999999999994">
      <c r="B44" t="s">
        <v>185</v>
      </c>
      <c r="C44" t="s">
        <v>58</v>
      </c>
      <c r="D44" s="1" t="s">
        <v>59</v>
      </c>
      <c r="E44" s="1" t="s">
        <v>198</v>
      </c>
      <c r="F44" s="1"/>
      <c r="G44" s="28" t="s">
        <v>199</v>
      </c>
      <c r="H44" t="s">
        <v>62</v>
      </c>
      <c r="I44" t="s">
        <v>62</v>
      </c>
      <c r="K44" s="28" t="s">
        <v>149</v>
      </c>
      <c r="L44" s="35" t="s">
        <v>73</v>
      </c>
      <c r="M44" s="1"/>
      <c r="N44" t="s">
        <v>64</v>
      </c>
      <c r="O44" t="s">
        <v>64</v>
      </c>
      <c r="P44" s="1" t="s">
        <v>65</v>
      </c>
      <c r="Q44">
        <v>2022</v>
      </c>
      <c r="R44">
        <v>2022</v>
      </c>
      <c r="S44" t="s">
        <v>86</v>
      </c>
      <c r="T44" t="s">
        <v>67</v>
      </c>
      <c r="U44" t="s">
        <v>64</v>
      </c>
      <c r="V44" t="s">
        <v>67</v>
      </c>
    </row>
    <row r="45" spans="2:22" ht="80.099999999999994">
      <c r="B45" t="s">
        <v>185</v>
      </c>
      <c r="C45" t="s">
        <v>58</v>
      </c>
      <c r="D45" s="1" t="s">
        <v>59</v>
      </c>
      <c r="E45" s="1" t="s">
        <v>200</v>
      </c>
      <c r="F45" s="1"/>
      <c r="G45" s="28" t="s">
        <v>201</v>
      </c>
      <c r="H45" t="s">
        <v>62</v>
      </c>
      <c r="I45" t="s">
        <v>62</v>
      </c>
      <c r="K45" s="28" t="s">
        <v>149</v>
      </c>
      <c r="L45" s="35" t="s">
        <v>73</v>
      </c>
      <c r="M45" s="1"/>
      <c r="N45" t="s">
        <v>64</v>
      </c>
      <c r="O45" t="s">
        <v>64</v>
      </c>
      <c r="P45" s="1" t="s">
        <v>65</v>
      </c>
      <c r="Q45">
        <v>2022</v>
      </c>
      <c r="R45">
        <v>2022</v>
      </c>
      <c r="S45" t="s">
        <v>86</v>
      </c>
      <c r="T45" t="s">
        <v>67</v>
      </c>
      <c r="U45" t="s">
        <v>64</v>
      </c>
      <c r="V45" t="s">
        <v>67</v>
      </c>
    </row>
    <row r="46" spans="2:22" ht="96">
      <c r="B46" t="s">
        <v>185</v>
      </c>
      <c r="C46" t="s">
        <v>58</v>
      </c>
      <c r="D46" s="1" t="s">
        <v>59</v>
      </c>
      <c r="E46" s="1" t="s">
        <v>202</v>
      </c>
      <c r="F46" s="1"/>
      <c r="G46" s="28" t="s">
        <v>203</v>
      </c>
      <c r="H46" t="s">
        <v>204</v>
      </c>
      <c r="I46" t="s">
        <v>153</v>
      </c>
      <c r="K46" s="28" t="s">
        <v>149</v>
      </c>
      <c r="L46" s="35" t="s">
        <v>73</v>
      </c>
      <c r="M46" s="1"/>
      <c r="N46" t="s">
        <v>64</v>
      </c>
      <c r="O46" t="s">
        <v>64</v>
      </c>
      <c r="P46" s="1" t="s">
        <v>65</v>
      </c>
      <c r="Q46">
        <v>2022</v>
      </c>
      <c r="R46">
        <v>2022</v>
      </c>
      <c r="S46" t="s">
        <v>86</v>
      </c>
      <c r="T46" t="s">
        <v>67</v>
      </c>
      <c r="U46" t="s">
        <v>64</v>
      </c>
      <c r="V46" t="s">
        <v>67</v>
      </c>
    </row>
    <row r="47" spans="2:22" ht="48">
      <c r="B47" t="s">
        <v>185</v>
      </c>
      <c r="C47" t="s">
        <v>58</v>
      </c>
      <c r="D47" s="1" t="s">
        <v>205</v>
      </c>
      <c r="E47" s="1" t="s">
        <v>206</v>
      </c>
      <c r="F47" s="21" t="s">
        <v>207</v>
      </c>
      <c r="G47" s="1" t="s">
        <v>208</v>
      </c>
      <c r="H47" s="1" t="s">
        <v>209</v>
      </c>
      <c r="I47" s="1" t="s">
        <v>210</v>
      </c>
      <c r="J47" s="1"/>
      <c r="K47" s="28" t="s">
        <v>149</v>
      </c>
      <c r="L47" s="35" t="s">
        <v>73</v>
      </c>
      <c r="M47" s="1"/>
      <c r="N47" t="s">
        <v>64</v>
      </c>
      <c r="O47" t="s">
        <v>64</v>
      </c>
      <c r="P47" s="1" t="s">
        <v>65</v>
      </c>
      <c r="Q47">
        <v>2022</v>
      </c>
      <c r="R47">
        <v>2022</v>
      </c>
      <c r="S47" t="s">
        <v>86</v>
      </c>
      <c r="T47" t="s">
        <v>67</v>
      </c>
      <c r="U47" t="s">
        <v>64</v>
      </c>
      <c r="V47" t="s">
        <v>67</v>
      </c>
    </row>
    <row r="48" spans="2:22" ht="63.95">
      <c r="B48" t="s">
        <v>185</v>
      </c>
      <c r="C48" t="s">
        <v>58</v>
      </c>
      <c r="D48" s="1" t="s">
        <v>205</v>
      </c>
      <c r="E48" s="1" t="s">
        <v>211</v>
      </c>
      <c r="F48" s="21" t="s">
        <v>212</v>
      </c>
      <c r="G48" s="1" t="s">
        <v>213</v>
      </c>
      <c r="H48" s="1" t="s">
        <v>163</v>
      </c>
      <c r="I48" s="1" t="s">
        <v>163</v>
      </c>
      <c r="J48" s="1"/>
      <c r="K48" s="28"/>
      <c r="L48" s="28"/>
      <c r="M48" s="1"/>
      <c r="N48" t="s">
        <v>64</v>
      </c>
      <c r="O48" t="s">
        <v>64</v>
      </c>
      <c r="P48" s="1" t="s">
        <v>65</v>
      </c>
      <c r="Q48">
        <v>2020</v>
      </c>
      <c r="R48">
        <v>2020</v>
      </c>
      <c r="S48" t="s">
        <v>214</v>
      </c>
      <c r="T48" t="s">
        <v>67</v>
      </c>
      <c r="U48" t="s">
        <v>64</v>
      </c>
      <c r="V48" t="s">
        <v>64</v>
      </c>
    </row>
    <row r="49" spans="2:22" ht="48">
      <c r="B49" t="s">
        <v>185</v>
      </c>
      <c r="C49" t="s">
        <v>58</v>
      </c>
      <c r="D49" s="1" t="s">
        <v>205</v>
      </c>
      <c r="E49" s="1" t="s">
        <v>215</v>
      </c>
      <c r="F49" s="21" t="s">
        <v>216</v>
      </c>
      <c r="G49" s="1" t="s">
        <v>217</v>
      </c>
      <c r="H49" s="1" t="s">
        <v>218</v>
      </c>
      <c r="I49" s="1" t="s">
        <v>219</v>
      </c>
      <c r="J49" s="1"/>
      <c r="K49" s="28" t="s">
        <v>220</v>
      </c>
      <c r="L49" s="35" t="s">
        <v>73</v>
      </c>
      <c r="M49" s="1"/>
      <c r="N49" t="s">
        <v>64</v>
      </c>
      <c r="O49" t="s">
        <v>64</v>
      </c>
      <c r="P49" s="1" t="s">
        <v>65</v>
      </c>
      <c r="Q49">
        <v>2022</v>
      </c>
      <c r="R49">
        <v>2022</v>
      </c>
      <c r="S49" t="s">
        <v>86</v>
      </c>
      <c r="T49" t="s">
        <v>67</v>
      </c>
      <c r="U49" t="s">
        <v>64</v>
      </c>
      <c r="V49" t="s">
        <v>180</v>
      </c>
    </row>
    <row r="50" spans="2:22" ht="111.95">
      <c r="B50" t="s">
        <v>185</v>
      </c>
      <c r="C50" t="s">
        <v>58</v>
      </c>
      <c r="D50" s="1" t="s">
        <v>205</v>
      </c>
      <c r="E50" t="s">
        <v>221</v>
      </c>
      <c r="F50" s="21" t="s">
        <v>222</v>
      </c>
      <c r="G50" s="1" t="s">
        <v>223</v>
      </c>
      <c r="H50" s="1" t="s">
        <v>224</v>
      </c>
      <c r="I50" s="1" t="s">
        <v>225</v>
      </c>
      <c r="J50" s="1"/>
      <c r="K50" s="28" t="s">
        <v>72</v>
      </c>
      <c r="L50" s="28" t="s">
        <v>73</v>
      </c>
      <c r="M50" s="1"/>
      <c r="N50" t="s">
        <v>67</v>
      </c>
      <c r="O50" s="21" t="s">
        <v>226</v>
      </c>
      <c r="P50" s="1" t="s">
        <v>65</v>
      </c>
      <c r="Q50">
        <v>2020</v>
      </c>
      <c r="R50">
        <v>2020</v>
      </c>
      <c r="S50">
        <v>2020</v>
      </c>
      <c r="T50" t="s">
        <v>64</v>
      </c>
      <c r="U50" t="s">
        <v>64</v>
      </c>
      <c r="V50" t="s">
        <v>180</v>
      </c>
    </row>
    <row r="51" spans="2:22" ht="96">
      <c r="B51" t="s">
        <v>185</v>
      </c>
      <c r="C51" t="s">
        <v>58</v>
      </c>
      <c r="D51" s="1" t="s">
        <v>205</v>
      </c>
      <c r="E51" t="s">
        <v>227</v>
      </c>
      <c r="F51" s="21" t="s">
        <v>228</v>
      </c>
      <c r="G51" s="1" t="s">
        <v>229</v>
      </c>
      <c r="H51" s="1" t="s">
        <v>230</v>
      </c>
      <c r="I51" s="1" t="s">
        <v>225</v>
      </c>
      <c r="J51" s="1"/>
      <c r="K51" s="28" t="s">
        <v>72</v>
      </c>
      <c r="L51" s="28" t="s">
        <v>73</v>
      </c>
      <c r="M51" s="1"/>
      <c r="N51" t="s">
        <v>67</v>
      </c>
      <c r="O51" s="21" t="s">
        <v>231</v>
      </c>
      <c r="P51" s="1" t="s">
        <v>65</v>
      </c>
      <c r="Q51">
        <v>2021</v>
      </c>
      <c r="R51">
        <v>2021</v>
      </c>
      <c r="S51">
        <v>2021</v>
      </c>
      <c r="T51" t="s">
        <v>67</v>
      </c>
      <c r="U51" t="s">
        <v>64</v>
      </c>
      <c r="V51" t="s">
        <v>180</v>
      </c>
    </row>
    <row r="52" spans="2:22" ht="63.95">
      <c r="B52" t="s">
        <v>185</v>
      </c>
      <c r="C52" t="s">
        <v>127</v>
      </c>
      <c r="D52" s="1" t="s">
        <v>205</v>
      </c>
      <c r="E52" t="s">
        <v>232</v>
      </c>
      <c r="F52" s="21" t="s">
        <v>233</v>
      </c>
      <c r="G52" s="1" t="s">
        <v>234</v>
      </c>
      <c r="H52" s="1" t="s">
        <v>62</v>
      </c>
      <c r="I52" s="1" t="s">
        <v>62</v>
      </c>
      <c r="J52" s="1"/>
      <c r="K52" s="28"/>
      <c r="L52" s="28"/>
      <c r="M52" s="1" t="s">
        <v>235</v>
      </c>
      <c r="N52" t="s">
        <v>64</v>
      </c>
      <c r="O52" t="s">
        <v>64</v>
      </c>
      <c r="P52" s="1" t="s">
        <v>65</v>
      </c>
      <c r="Q52">
        <v>2010</v>
      </c>
      <c r="R52">
        <v>2010</v>
      </c>
      <c r="S52">
        <v>2010</v>
      </c>
      <c r="T52" t="s">
        <v>67</v>
      </c>
      <c r="U52" t="s">
        <v>64</v>
      </c>
      <c r="V52" t="s">
        <v>67</v>
      </c>
    </row>
    <row r="53" spans="2:22" ht="48">
      <c r="B53" t="s">
        <v>185</v>
      </c>
      <c r="C53" t="s">
        <v>127</v>
      </c>
      <c r="D53" s="1" t="s">
        <v>59</v>
      </c>
      <c r="E53" s="70" t="s">
        <v>236</v>
      </c>
      <c r="F53" s="70"/>
      <c r="G53" s="28" t="s">
        <v>237</v>
      </c>
      <c r="H53" s="1" t="s">
        <v>62</v>
      </c>
      <c r="I53" s="1" t="s">
        <v>62</v>
      </c>
      <c r="J53" s="1"/>
      <c r="K53" s="28"/>
      <c r="L53" s="28"/>
      <c r="M53" s="1" t="s">
        <v>235</v>
      </c>
      <c r="N53" t="s">
        <v>64</v>
      </c>
      <c r="O53" t="s">
        <v>64</v>
      </c>
      <c r="P53" s="1" t="s">
        <v>65</v>
      </c>
      <c r="Q53">
        <v>2010</v>
      </c>
      <c r="R53">
        <v>2010</v>
      </c>
      <c r="S53">
        <v>2010</v>
      </c>
      <c r="T53" t="s">
        <v>67</v>
      </c>
      <c r="U53" t="s">
        <v>64</v>
      </c>
      <c r="V53" t="s">
        <v>67</v>
      </c>
    </row>
    <row r="54" spans="2:22" ht="32.1">
      <c r="B54" t="s">
        <v>185</v>
      </c>
      <c r="C54" s="1" t="s">
        <v>238</v>
      </c>
      <c r="D54" s="1" t="s">
        <v>59</v>
      </c>
      <c r="E54" s="28" t="s">
        <v>239</v>
      </c>
      <c r="F54" s="28"/>
      <c r="G54" s="1" t="s">
        <v>240</v>
      </c>
      <c r="H54" s="1" t="s">
        <v>163</v>
      </c>
      <c r="I54" s="1" t="s">
        <v>163</v>
      </c>
      <c r="J54" s="1"/>
      <c r="K54" s="28"/>
      <c r="L54" s="28"/>
      <c r="M54" s="1"/>
      <c r="N54" t="s">
        <v>64</v>
      </c>
      <c r="O54" t="s">
        <v>64</v>
      </c>
      <c r="P54" s="1" t="s">
        <v>65</v>
      </c>
      <c r="Q54">
        <v>2013</v>
      </c>
      <c r="R54">
        <v>2013</v>
      </c>
      <c r="S54">
        <v>2013</v>
      </c>
      <c r="T54" t="s">
        <v>67</v>
      </c>
      <c r="U54" t="s">
        <v>64</v>
      </c>
      <c r="V54" t="s">
        <v>180</v>
      </c>
    </row>
    <row r="55" spans="2:22" ht="48">
      <c r="B55" t="s">
        <v>185</v>
      </c>
      <c r="C55" s="1" t="s">
        <v>238</v>
      </c>
      <c r="D55" s="1" t="s">
        <v>59</v>
      </c>
      <c r="E55" s="70" t="s">
        <v>241</v>
      </c>
      <c r="F55" s="70"/>
      <c r="G55" s="1" t="s">
        <v>240</v>
      </c>
      <c r="H55" s="28" t="s">
        <v>242</v>
      </c>
      <c r="I55" s="28" t="s">
        <v>243</v>
      </c>
      <c r="J55" s="28"/>
      <c r="K55" s="28"/>
      <c r="L55" s="28"/>
      <c r="M55" s="1"/>
      <c r="N55" t="s">
        <v>64</v>
      </c>
      <c r="O55" t="s">
        <v>64</v>
      </c>
      <c r="P55" s="1" t="s">
        <v>65</v>
      </c>
      <c r="Q55">
        <v>2010</v>
      </c>
      <c r="R55">
        <v>2010</v>
      </c>
      <c r="S55" t="s">
        <v>112</v>
      </c>
      <c r="T55" t="s">
        <v>67</v>
      </c>
      <c r="U55" t="s">
        <v>64</v>
      </c>
      <c r="V55" t="s">
        <v>180</v>
      </c>
    </row>
    <row r="56" spans="2:22" ht="159.94999999999999">
      <c r="B56" t="s">
        <v>244</v>
      </c>
      <c r="C56" t="s">
        <v>58</v>
      </c>
      <c r="D56" s="1" t="s">
        <v>59</v>
      </c>
      <c r="E56" s="1" t="s">
        <v>245</v>
      </c>
      <c r="F56" s="1"/>
      <c r="G56" s="1" t="s">
        <v>246</v>
      </c>
      <c r="H56" s="1" t="s">
        <v>247</v>
      </c>
      <c r="I56" s="1" t="s">
        <v>248</v>
      </c>
      <c r="J56" s="1"/>
      <c r="K56" s="1" t="s">
        <v>249</v>
      </c>
      <c r="L56" s="1" t="s">
        <v>250</v>
      </c>
      <c r="N56" t="s">
        <v>64</v>
      </c>
      <c r="O56" t="s">
        <v>64</v>
      </c>
      <c r="P56" s="1" t="s">
        <v>65</v>
      </c>
      <c r="Q56">
        <v>2020</v>
      </c>
      <c r="R56">
        <v>2020</v>
      </c>
      <c r="S56" t="s">
        <v>251</v>
      </c>
      <c r="T56" t="s">
        <v>67</v>
      </c>
      <c r="U56" t="s">
        <v>64</v>
      </c>
      <c r="V56" t="s">
        <v>180</v>
      </c>
    </row>
    <row r="57" spans="2:22" ht="159.94999999999999">
      <c r="B57" t="s">
        <v>244</v>
      </c>
      <c r="C57" t="s">
        <v>58</v>
      </c>
      <c r="D57" s="1" t="s">
        <v>59</v>
      </c>
      <c r="E57" s="1" t="s">
        <v>252</v>
      </c>
      <c r="F57" s="1"/>
      <c r="G57" s="1" t="s">
        <v>253</v>
      </c>
      <c r="H57" s="1" t="s">
        <v>247</v>
      </c>
      <c r="I57" s="1" t="s">
        <v>248</v>
      </c>
      <c r="J57" s="1"/>
      <c r="K57" s="1" t="s">
        <v>249</v>
      </c>
      <c r="L57" s="1" t="s">
        <v>250</v>
      </c>
      <c r="N57" t="s">
        <v>64</v>
      </c>
      <c r="O57" t="s">
        <v>64</v>
      </c>
      <c r="P57" s="1" t="s">
        <v>65</v>
      </c>
      <c r="Q57">
        <v>2020</v>
      </c>
      <c r="R57">
        <v>2020</v>
      </c>
      <c r="S57" t="s">
        <v>251</v>
      </c>
      <c r="T57" t="s">
        <v>67</v>
      </c>
      <c r="U57" t="s">
        <v>64</v>
      </c>
      <c r="V57" t="s">
        <v>180</v>
      </c>
    </row>
    <row r="58" spans="2:22" ht="207.95">
      <c r="B58" t="s">
        <v>244</v>
      </c>
      <c r="C58" t="s">
        <v>58</v>
      </c>
      <c r="D58" s="1" t="s">
        <v>59</v>
      </c>
      <c r="E58" s="1" t="s">
        <v>254</v>
      </c>
      <c r="F58" s="1"/>
      <c r="G58" s="1" t="s">
        <v>255</v>
      </c>
      <c r="H58" s="1" t="s">
        <v>247</v>
      </c>
      <c r="I58" s="1" t="s">
        <v>248</v>
      </c>
      <c r="J58" s="1"/>
      <c r="K58" s="1" t="s">
        <v>249</v>
      </c>
      <c r="L58" s="1" t="s">
        <v>250</v>
      </c>
      <c r="N58" t="s">
        <v>64</v>
      </c>
      <c r="O58" t="s">
        <v>64</v>
      </c>
      <c r="P58" s="1" t="s">
        <v>65</v>
      </c>
      <c r="Q58">
        <v>2020</v>
      </c>
      <c r="R58">
        <v>2020</v>
      </c>
      <c r="S58" t="s">
        <v>251</v>
      </c>
      <c r="T58" t="s">
        <v>67</v>
      </c>
      <c r="U58" t="s">
        <v>64</v>
      </c>
      <c r="V58" t="s">
        <v>180</v>
      </c>
    </row>
    <row r="59" spans="2:22" ht="159.94999999999999">
      <c r="B59" t="s">
        <v>244</v>
      </c>
      <c r="C59" t="s">
        <v>58</v>
      </c>
      <c r="D59" s="1" t="s">
        <v>59</v>
      </c>
      <c r="E59" s="1" t="s">
        <v>256</v>
      </c>
      <c r="F59" s="1"/>
      <c r="G59" s="1" t="s">
        <v>246</v>
      </c>
      <c r="H59" s="1" t="s">
        <v>257</v>
      </c>
      <c r="I59" s="1" t="s">
        <v>258</v>
      </c>
      <c r="J59" s="1"/>
      <c r="K59" s="1" t="s">
        <v>249</v>
      </c>
      <c r="L59" s="1" t="s">
        <v>250</v>
      </c>
      <c r="N59" t="s">
        <v>64</v>
      </c>
      <c r="O59" t="s">
        <v>64</v>
      </c>
      <c r="P59" s="1" t="s">
        <v>65</v>
      </c>
      <c r="Q59">
        <v>2020</v>
      </c>
      <c r="R59">
        <v>2020</v>
      </c>
      <c r="S59" t="s">
        <v>251</v>
      </c>
      <c r="T59" t="s">
        <v>180</v>
      </c>
      <c r="U59" t="s">
        <v>64</v>
      </c>
      <c r="V59" t="s">
        <v>180</v>
      </c>
    </row>
    <row r="60" spans="2:22" ht="159.94999999999999">
      <c r="B60" t="s">
        <v>244</v>
      </c>
      <c r="C60" t="s">
        <v>58</v>
      </c>
      <c r="D60" s="1" t="s">
        <v>59</v>
      </c>
      <c r="E60" s="1" t="s">
        <v>259</v>
      </c>
      <c r="F60" s="1"/>
      <c r="G60" s="1" t="s">
        <v>253</v>
      </c>
      <c r="H60" s="1" t="s">
        <v>257</v>
      </c>
      <c r="I60" s="1" t="s">
        <v>258</v>
      </c>
      <c r="J60" s="1"/>
      <c r="K60" s="1" t="s">
        <v>249</v>
      </c>
      <c r="L60" s="1" t="s">
        <v>250</v>
      </c>
      <c r="N60" t="s">
        <v>64</v>
      </c>
      <c r="O60" t="s">
        <v>64</v>
      </c>
      <c r="P60" s="1" t="s">
        <v>65</v>
      </c>
      <c r="Q60">
        <v>2020</v>
      </c>
      <c r="R60">
        <v>2020</v>
      </c>
      <c r="S60" t="s">
        <v>112</v>
      </c>
      <c r="T60" t="s">
        <v>180</v>
      </c>
      <c r="U60" t="s">
        <v>64</v>
      </c>
      <c r="V60" t="s">
        <v>180</v>
      </c>
    </row>
    <row r="61" spans="2:22" ht="207.95">
      <c r="B61" t="s">
        <v>244</v>
      </c>
      <c r="C61" t="s">
        <v>58</v>
      </c>
      <c r="D61" s="1" t="s">
        <v>59</v>
      </c>
      <c r="E61" s="1" t="s">
        <v>260</v>
      </c>
      <c r="F61" s="1"/>
      <c r="G61" s="1" t="s">
        <v>255</v>
      </c>
      <c r="H61" s="1" t="s">
        <v>257</v>
      </c>
      <c r="I61" s="1" t="s">
        <v>258</v>
      </c>
      <c r="J61" s="1"/>
      <c r="K61" s="1" t="s">
        <v>249</v>
      </c>
      <c r="L61" s="1" t="s">
        <v>250</v>
      </c>
      <c r="N61" t="s">
        <v>64</v>
      </c>
      <c r="O61" t="s">
        <v>64</v>
      </c>
      <c r="P61" s="1" t="s">
        <v>65</v>
      </c>
      <c r="Q61">
        <v>2020</v>
      </c>
      <c r="R61">
        <v>2020</v>
      </c>
      <c r="S61" t="s">
        <v>112</v>
      </c>
      <c r="T61" t="s">
        <v>180</v>
      </c>
      <c r="U61" t="s">
        <v>64</v>
      </c>
      <c r="V61" t="s">
        <v>180</v>
      </c>
    </row>
    <row r="62" spans="2:22" ht="159.94999999999999">
      <c r="B62" t="s">
        <v>244</v>
      </c>
      <c r="C62" t="s">
        <v>58</v>
      </c>
      <c r="D62" s="1" t="s">
        <v>59</v>
      </c>
      <c r="E62" s="1" t="s">
        <v>261</v>
      </c>
      <c r="F62" s="1"/>
      <c r="G62" s="1" t="s">
        <v>246</v>
      </c>
      <c r="H62" s="1" t="s">
        <v>262</v>
      </c>
      <c r="I62" s="1" t="s">
        <v>263</v>
      </c>
      <c r="J62" s="1"/>
      <c r="K62" s="1" t="s">
        <v>249</v>
      </c>
      <c r="L62" s="1" t="s">
        <v>250</v>
      </c>
      <c r="N62" t="s">
        <v>64</v>
      </c>
      <c r="O62" t="s">
        <v>64</v>
      </c>
      <c r="P62" s="1" t="s">
        <v>65</v>
      </c>
      <c r="Q62">
        <v>2020</v>
      </c>
      <c r="R62">
        <v>2020</v>
      </c>
      <c r="S62" t="s">
        <v>112</v>
      </c>
      <c r="T62" t="s">
        <v>67</v>
      </c>
      <c r="U62" t="s">
        <v>64</v>
      </c>
      <c r="V62" t="s">
        <v>180</v>
      </c>
    </row>
    <row r="63" spans="2:22" ht="159.94999999999999">
      <c r="B63" t="s">
        <v>244</v>
      </c>
      <c r="C63" t="s">
        <v>58</v>
      </c>
      <c r="D63" s="1" t="s">
        <v>59</v>
      </c>
      <c r="E63" s="1" t="s">
        <v>264</v>
      </c>
      <c r="F63" s="1"/>
      <c r="G63" s="1" t="s">
        <v>253</v>
      </c>
      <c r="H63" s="1" t="s">
        <v>262</v>
      </c>
      <c r="I63" s="1" t="s">
        <v>263</v>
      </c>
      <c r="J63" s="1"/>
      <c r="K63" s="1" t="s">
        <v>249</v>
      </c>
      <c r="L63" s="1" t="s">
        <v>250</v>
      </c>
      <c r="N63" t="s">
        <v>64</v>
      </c>
      <c r="O63" t="s">
        <v>64</v>
      </c>
      <c r="P63" s="1" t="s">
        <v>65</v>
      </c>
      <c r="Q63">
        <v>2020</v>
      </c>
      <c r="R63">
        <v>2020</v>
      </c>
      <c r="S63" t="s">
        <v>112</v>
      </c>
      <c r="T63" t="s">
        <v>67</v>
      </c>
      <c r="U63" t="s">
        <v>64</v>
      </c>
      <c r="V63" t="s">
        <v>180</v>
      </c>
    </row>
    <row r="64" spans="2:22" ht="207.95">
      <c r="B64" t="s">
        <v>244</v>
      </c>
      <c r="C64" t="s">
        <v>58</v>
      </c>
      <c r="D64" s="1" t="s">
        <v>59</v>
      </c>
      <c r="E64" s="1" t="s">
        <v>265</v>
      </c>
      <c r="F64" s="1"/>
      <c r="G64" s="1" t="s">
        <v>255</v>
      </c>
      <c r="H64" s="1" t="s">
        <v>262</v>
      </c>
      <c r="I64" s="1" t="s">
        <v>263</v>
      </c>
      <c r="J64" s="1"/>
      <c r="K64" s="1" t="s">
        <v>249</v>
      </c>
      <c r="L64" s="1" t="s">
        <v>250</v>
      </c>
      <c r="N64" t="s">
        <v>64</v>
      </c>
      <c r="O64" t="s">
        <v>64</v>
      </c>
      <c r="P64" s="1" t="s">
        <v>65</v>
      </c>
      <c r="Q64">
        <v>2020</v>
      </c>
      <c r="R64">
        <v>2020</v>
      </c>
      <c r="S64" t="s">
        <v>112</v>
      </c>
      <c r="T64" t="s">
        <v>67</v>
      </c>
      <c r="U64" t="s">
        <v>64</v>
      </c>
      <c r="V64" t="s">
        <v>180</v>
      </c>
    </row>
    <row r="65" spans="2:22" ht="192">
      <c r="B65" t="s">
        <v>244</v>
      </c>
      <c r="C65" t="s">
        <v>58</v>
      </c>
      <c r="D65" s="1" t="s">
        <v>59</v>
      </c>
      <c r="E65" s="1" t="s">
        <v>266</v>
      </c>
      <c r="F65" s="1"/>
      <c r="G65" s="1" t="s">
        <v>267</v>
      </c>
      <c r="H65" s="28" t="s">
        <v>268</v>
      </c>
      <c r="I65" s="28" t="s">
        <v>148</v>
      </c>
      <c r="J65" s="28"/>
      <c r="K65" s="1" t="s">
        <v>269</v>
      </c>
      <c r="L65" s="23" t="s">
        <v>270</v>
      </c>
      <c r="N65" t="s">
        <v>64</v>
      </c>
      <c r="O65" t="s">
        <v>64</v>
      </c>
      <c r="P65" s="1" t="s">
        <v>65</v>
      </c>
      <c r="Q65">
        <v>2020</v>
      </c>
      <c r="R65">
        <v>2020</v>
      </c>
      <c r="S65" t="s">
        <v>112</v>
      </c>
      <c r="T65" t="s">
        <v>67</v>
      </c>
      <c r="U65" t="s">
        <v>64</v>
      </c>
      <c r="V65" t="s">
        <v>180</v>
      </c>
    </row>
    <row r="66" spans="2:22" ht="192">
      <c r="B66" t="s">
        <v>244</v>
      </c>
      <c r="C66" t="s">
        <v>58</v>
      </c>
      <c r="D66" s="1" t="s">
        <v>59</v>
      </c>
      <c r="E66" s="1" t="s">
        <v>271</v>
      </c>
      <c r="F66" s="1"/>
      <c r="G66" s="1" t="s">
        <v>272</v>
      </c>
      <c r="H66" s="28" t="s">
        <v>273</v>
      </c>
      <c r="I66" s="28" t="s">
        <v>274</v>
      </c>
      <c r="J66" s="28"/>
      <c r="K66" s="1" t="s">
        <v>269</v>
      </c>
      <c r="L66" s="23" t="s">
        <v>270</v>
      </c>
      <c r="N66" t="s">
        <v>64</v>
      </c>
      <c r="O66" t="s">
        <v>64</v>
      </c>
      <c r="P66" s="1" t="s">
        <v>65</v>
      </c>
      <c r="Q66">
        <v>2020</v>
      </c>
      <c r="R66">
        <v>2020</v>
      </c>
      <c r="S66" t="s">
        <v>112</v>
      </c>
      <c r="T66" t="s">
        <v>67</v>
      </c>
      <c r="U66" t="s">
        <v>64</v>
      </c>
      <c r="V66" t="s">
        <v>180</v>
      </c>
    </row>
    <row r="67" spans="2:22" ht="48">
      <c r="B67" t="s">
        <v>244</v>
      </c>
      <c r="C67" t="s">
        <v>58</v>
      </c>
      <c r="D67" s="1" t="s">
        <v>275</v>
      </c>
      <c r="E67" s="28" t="s">
        <v>276</v>
      </c>
      <c r="F67" s="28"/>
      <c r="G67" t="s">
        <v>277</v>
      </c>
      <c r="H67" t="s">
        <v>163</v>
      </c>
      <c r="I67" t="s">
        <v>163</v>
      </c>
      <c r="K67" s="1" t="s">
        <v>278</v>
      </c>
      <c r="L67" s="23" t="s">
        <v>270</v>
      </c>
      <c r="N67" t="s">
        <v>64</v>
      </c>
      <c r="O67" t="s">
        <v>64</v>
      </c>
      <c r="P67" s="1" t="s">
        <v>65</v>
      </c>
      <c r="Q67">
        <v>2020</v>
      </c>
      <c r="R67">
        <v>2020</v>
      </c>
      <c r="S67" t="s">
        <v>112</v>
      </c>
      <c r="T67" t="s">
        <v>67</v>
      </c>
      <c r="U67" t="s">
        <v>64</v>
      </c>
      <c r="V67" t="s">
        <v>180</v>
      </c>
    </row>
    <row r="68" spans="2:22" ht="32.1">
      <c r="B68" t="s">
        <v>244</v>
      </c>
      <c r="C68" t="s">
        <v>58</v>
      </c>
      <c r="D68" s="1" t="s">
        <v>275</v>
      </c>
      <c r="E68" s="1" t="s">
        <v>279</v>
      </c>
      <c r="F68" s="1"/>
      <c r="G68" t="s">
        <v>280</v>
      </c>
      <c r="H68" t="s">
        <v>163</v>
      </c>
      <c r="I68" t="s">
        <v>163</v>
      </c>
      <c r="K68" s="1" t="s">
        <v>278</v>
      </c>
      <c r="L68" s="23" t="s">
        <v>270</v>
      </c>
      <c r="N68" t="s">
        <v>64</v>
      </c>
      <c r="O68" t="s">
        <v>64</v>
      </c>
      <c r="P68" s="1" t="s">
        <v>65</v>
      </c>
      <c r="Q68">
        <v>2020</v>
      </c>
      <c r="R68">
        <v>2020</v>
      </c>
      <c r="S68" t="s">
        <v>112</v>
      </c>
      <c r="T68" t="s">
        <v>67</v>
      </c>
      <c r="U68" t="s">
        <v>64</v>
      </c>
      <c r="V68" t="s">
        <v>180</v>
      </c>
    </row>
    <row r="69" spans="2:22" ht="111.95">
      <c r="B69" t="s">
        <v>244</v>
      </c>
      <c r="C69" t="s">
        <v>58</v>
      </c>
      <c r="D69" s="1" t="s">
        <v>59</v>
      </c>
      <c r="E69" s="1" t="s">
        <v>281</v>
      </c>
      <c r="F69" s="1"/>
      <c r="G69" s="1" t="s">
        <v>282</v>
      </c>
      <c r="H69" s="1" t="s">
        <v>247</v>
      </c>
      <c r="I69" s="1" t="s">
        <v>248</v>
      </c>
      <c r="J69" s="1"/>
      <c r="K69" s="1" t="s">
        <v>283</v>
      </c>
      <c r="L69" s="23" t="s">
        <v>270</v>
      </c>
      <c r="N69" t="s">
        <v>64</v>
      </c>
      <c r="O69" t="s">
        <v>64</v>
      </c>
      <c r="P69" s="1" t="s">
        <v>65</v>
      </c>
      <c r="Q69">
        <v>2020</v>
      </c>
      <c r="R69">
        <v>2020</v>
      </c>
      <c r="S69">
        <v>2020</v>
      </c>
      <c r="T69" t="s">
        <v>180</v>
      </c>
      <c r="U69" t="s">
        <v>64</v>
      </c>
      <c r="V69" t="s">
        <v>180</v>
      </c>
    </row>
    <row r="70" spans="2:22" ht="176.1">
      <c r="B70" t="s">
        <v>244</v>
      </c>
      <c r="C70" t="s">
        <v>58</v>
      </c>
      <c r="D70" s="1" t="s">
        <v>59</v>
      </c>
      <c r="E70" s="1" t="s">
        <v>284</v>
      </c>
      <c r="F70" s="1"/>
      <c r="G70" s="1" t="s">
        <v>285</v>
      </c>
      <c r="H70" s="1" t="s">
        <v>247</v>
      </c>
      <c r="I70" s="1" t="s">
        <v>248</v>
      </c>
      <c r="J70" s="1"/>
      <c r="K70" s="1" t="s">
        <v>283</v>
      </c>
      <c r="L70" s="23" t="s">
        <v>270</v>
      </c>
      <c r="N70" t="s">
        <v>64</v>
      </c>
      <c r="O70" t="s">
        <v>64</v>
      </c>
      <c r="P70" s="1" t="s">
        <v>65</v>
      </c>
      <c r="Q70">
        <v>2020</v>
      </c>
      <c r="R70">
        <v>2020</v>
      </c>
      <c r="S70">
        <v>2020</v>
      </c>
      <c r="T70" t="s">
        <v>180</v>
      </c>
      <c r="U70" t="s">
        <v>64</v>
      </c>
      <c r="V70" t="s">
        <v>180</v>
      </c>
    </row>
    <row r="71" spans="2:22" ht="111.95">
      <c r="B71" t="s">
        <v>244</v>
      </c>
      <c r="C71" t="s">
        <v>58</v>
      </c>
      <c r="D71" s="1" t="s">
        <v>59</v>
      </c>
      <c r="E71" s="1" t="s">
        <v>286</v>
      </c>
      <c r="F71" s="1"/>
      <c r="G71" s="1" t="s">
        <v>282</v>
      </c>
      <c r="H71" s="1" t="s">
        <v>287</v>
      </c>
      <c r="I71" s="1" t="s">
        <v>288</v>
      </c>
      <c r="J71" s="1"/>
      <c r="K71" s="1" t="s">
        <v>283</v>
      </c>
      <c r="L71" s="23" t="s">
        <v>270</v>
      </c>
      <c r="N71" t="s">
        <v>64</v>
      </c>
      <c r="O71" t="s">
        <v>64</v>
      </c>
      <c r="P71" s="1" t="s">
        <v>65</v>
      </c>
      <c r="Q71">
        <v>2020</v>
      </c>
      <c r="R71">
        <v>2020</v>
      </c>
      <c r="S71">
        <v>2020</v>
      </c>
      <c r="T71" t="s">
        <v>180</v>
      </c>
      <c r="U71" t="s">
        <v>64</v>
      </c>
      <c r="V71" t="s">
        <v>180</v>
      </c>
    </row>
    <row r="72" spans="2:22" ht="111.95">
      <c r="B72" t="s">
        <v>244</v>
      </c>
      <c r="C72" t="s">
        <v>58</v>
      </c>
      <c r="D72" s="1" t="s">
        <v>59</v>
      </c>
      <c r="E72" s="1" t="s">
        <v>284</v>
      </c>
      <c r="F72" s="1"/>
      <c r="G72" s="1" t="s">
        <v>282</v>
      </c>
      <c r="H72" s="1" t="s">
        <v>287</v>
      </c>
      <c r="I72" s="1" t="s">
        <v>288</v>
      </c>
      <c r="J72" s="1"/>
      <c r="K72" s="1" t="s">
        <v>283</v>
      </c>
      <c r="L72" s="23" t="s">
        <v>270</v>
      </c>
      <c r="N72" t="s">
        <v>64</v>
      </c>
      <c r="O72" t="s">
        <v>64</v>
      </c>
      <c r="P72" s="1" t="s">
        <v>65</v>
      </c>
      <c r="Q72">
        <v>2020</v>
      </c>
      <c r="R72">
        <v>2020</v>
      </c>
      <c r="S72">
        <v>2020</v>
      </c>
      <c r="T72" t="s">
        <v>180</v>
      </c>
      <c r="U72" t="s">
        <v>64</v>
      </c>
      <c r="V72" t="s">
        <v>180</v>
      </c>
    </row>
    <row r="73" spans="2:22" ht="96">
      <c r="B73" t="s">
        <v>244</v>
      </c>
      <c r="C73" t="s">
        <v>58</v>
      </c>
      <c r="D73" s="1" t="s">
        <v>144</v>
      </c>
      <c r="E73" s="1" t="s">
        <v>289</v>
      </c>
      <c r="F73" s="21" t="s">
        <v>290</v>
      </c>
      <c r="G73" s="1" t="s">
        <v>291</v>
      </c>
      <c r="H73" t="s">
        <v>292</v>
      </c>
      <c r="I73" t="s">
        <v>293</v>
      </c>
      <c r="K73" s="1" t="s">
        <v>283</v>
      </c>
      <c r="L73" s="23" t="s">
        <v>270</v>
      </c>
      <c r="N73" t="s">
        <v>64</v>
      </c>
      <c r="O73" t="s">
        <v>64</v>
      </c>
      <c r="P73" s="1" t="s">
        <v>65</v>
      </c>
      <c r="Q73">
        <v>2020</v>
      </c>
      <c r="R73">
        <v>2020</v>
      </c>
      <c r="S73">
        <v>2020</v>
      </c>
      <c r="T73" t="s">
        <v>180</v>
      </c>
      <c r="U73" t="s">
        <v>64</v>
      </c>
      <c r="V73" t="s">
        <v>180</v>
      </c>
    </row>
    <row r="74" spans="2:22" ht="96">
      <c r="B74" t="s">
        <v>244</v>
      </c>
      <c r="C74" t="s">
        <v>58</v>
      </c>
      <c r="D74" s="1" t="s">
        <v>144</v>
      </c>
      <c r="E74" s="1" t="s">
        <v>294</v>
      </c>
      <c r="F74" s="21" t="s">
        <v>295</v>
      </c>
      <c r="G74" s="1" t="s">
        <v>291</v>
      </c>
      <c r="H74" s="1" t="s">
        <v>296</v>
      </c>
      <c r="I74" s="1" t="s">
        <v>297</v>
      </c>
      <c r="J74" s="1"/>
      <c r="K74" s="1" t="s">
        <v>283</v>
      </c>
      <c r="L74" s="23" t="s">
        <v>270</v>
      </c>
      <c r="N74" t="s">
        <v>64</v>
      </c>
      <c r="O74" t="s">
        <v>64</v>
      </c>
      <c r="P74" s="1" t="s">
        <v>65</v>
      </c>
      <c r="Q74">
        <v>2020</v>
      </c>
      <c r="R74">
        <v>2020</v>
      </c>
      <c r="S74">
        <v>2020</v>
      </c>
      <c r="T74" t="s">
        <v>180</v>
      </c>
      <c r="U74" t="s">
        <v>64</v>
      </c>
      <c r="V74" t="s">
        <v>180</v>
      </c>
    </row>
    <row r="75" spans="2:22" ht="111.95">
      <c r="B75" t="s">
        <v>244</v>
      </c>
      <c r="C75" t="s">
        <v>58</v>
      </c>
      <c r="D75" s="1" t="s">
        <v>205</v>
      </c>
      <c r="E75" s="1" t="s">
        <v>298</v>
      </c>
      <c r="F75" s="21" t="s">
        <v>299</v>
      </c>
      <c r="G75" s="1" t="s">
        <v>291</v>
      </c>
      <c r="H75" s="1" t="s">
        <v>296</v>
      </c>
      <c r="I75" s="1" t="s">
        <v>297</v>
      </c>
      <c r="J75" s="1"/>
      <c r="K75" t="s">
        <v>121</v>
      </c>
      <c r="L75" t="s">
        <v>73</v>
      </c>
      <c r="N75" t="s">
        <v>67</v>
      </c>
      <c r="O75" s="21" t="s">
        <v>300</v>
      </c>
      <c r="P75" s="1" t="s">
        <v>65</v>
      </c>
      <c r="Q75">
        <v>2020</v>
      </c>
      <c r="R75">
        <v>2020</v>
      </c>
      <c r="S75">
        <v>2020</v>
      </c>
      <c r="T75" t="s">
        <v>180</v>
      </c>
      <c r="U75" t="s">
        <v>64</v>
      </c>
      <c r="V75" t="s">
        <v>180</v>
      </c>
    </row>
    <row r="76" spans="2:22" ht="144">
      <c r="B76" t="s">
        <v>244</v>
      </c>
      <c r="C76" t="s">
        <v>58</v>
      </c>
      <c r="D76" s="1" t="s">
        <v>59</v>
      </c>
      <c r="E76" s="1" t="s">
        <v>301</v>
      </c>
      <c r="F76" s="1"/>
      <c r="G76" s="1" t="s">
        <v>302</v>
      </c>
      <c r="H76" t="s">
        <v>303</v>
      </c>
      <c r="I76" s="1" t="s">
        <v>304</v>
      </c>
      <c r="M76" s="1" t="s">
        <v>305</v>
      </c>
      <c r="N76" t="s">
        <v>64</v>
      </c>
      <c r="O76" t="s">
        <v>64</v>
      </c>
      <c r="P76" s="1" t="s">
        <v>65</v>
      </c>
      <c r="Q76">
        <v>2023</v>
      </c>
      <c r="R76">
        <v>2023</v>
      </c>
      <c r="S76">
        <v>2022</v>
      </c>
      <c r="T76" t="s">
        <v>67</v>
      </c>
      <c r="U76" t="s">
        <v>64</v>
      </c>
      <c r="V76" t="s">
        <v>67</v>
      </c>
    </row>
    <row r="77" spans="2:22" ht="144">
      <c r="B77" t="s">
        <v>244</v>
      </c>
      <c r="C77" t="s">
        <v>58</v>
      </c>
      <c r="D77" s="1" t="s">
        <v>59</v>
      </c>
      <c r="E77" s="71" t="s">
        <v>306</v>
      </c>
      <c r="F77" s="71"/>
      <c r="G77" s="1" t="s">
        <v>307</v>
      </c>
      <c r="H77" t="s">
        <v>163</v>
      </c>
      <c r="I77" t="s">
        <v>163</v>
      </c>
      <c r="M77" s="1" t="s">
        <v>305</v>
      </c>
      <c r="N77" t="s">
        <v>64</v>
      </c>
      <c r="O77" t="s">
        <v>64</v>
      </c>
      <c r="P77" s="1" t="s">
        <v>65</v>
      </c>
      <c r="Q77">
        <v>2022</v>
      </c>
      <c r="R77">
        <v>2022</v>
      </c>
      <c r="S77" t="s">
        <v>86</v>
      </c>
      <c r="T77" t="s">
        <v>67</v>
      </c>
      <c r="U77" t="s">
        <v>64</v>
      </c>
      <c r="V77" t="s">
        <v>64</v>
      </c>
    </row>
    <row r="78" spans="2:22" ht="176.1">
      <c r="B78" t="s">
        <v>244</v>
      </c>
      <c r="C78" t="s">
        <v>127</v>
      </c>
      <c r="D78" s="1" t="s">
        <v>59</v>
      </c>
      <c r="E78" s="71" t="s">
        <v>308</v>
      </c>
      <c r="F78" s="71"/>
      <c r="G78" t="s">
        <v>8</v>
      </c>
      <c r="H78" t="s">
        <v>62</v>
      </c>
      <c r="I78" t="s">
        <v>62</v>
      </c>
      <c r="K78" t="s">
        <v>309</v>
      </c>
      <c r="L78" t="s">
        <v>310</v>
      </c>
      <c r="M78" s="1" t="s">
        <v>311</v>
      </c>
      <c r="N78" t="s">
        <v>64</v>
      </c>
      <c r="O78" t="s">
        <v>64</v>
      </c>
      <c r="P78" s="1" t="s">
        <v>65</v>
      </c>
      <c r="Q78">
        <v>2020</v>
      </c>
      <c r="R78">
        <v>2020</v>
      </c>
      <c r="S78">
        <v>2020</v>
      </c>
      <c r="T78" t="s">
        <v>64</v>
      </c>
      <c r="U78" t="s">
        <v>64</v>
      </c>
      <c r="V78" t="s">
        <v>67</v>
      </c>
    </row>
    <row r="79" spans="2:22" ht="176.1">
      <c r="B79" t="s">
        <v>244</v>
      </c>
      <c r="C79" t="s">
        <v>127</v>
      </c>
      <c r="D79" s="1" t="s">
        <v>59</v>
      </c>
      <c r="E79" s="1" t="s">
        <v>312</v>
      </c>
      <c r="F79" s="1"/>
      <c r="G79" s="1" t="s">
        <v>313</v>
      </c>
      <c r="H79" t="s">
        <v>62</v>
      </c>
      <c r="I79" t="s">
        <v>62</v>
      </c>
      <c r="K79" t="s">
        <v>309</v>
      </c>
      <c r="L79" t="s">
        <v>310</v>
      </c>
      <c r="M79" s="1" t="s">
        <v>311</v>
      </c>
      <c r="N79" t="s">
        <v>64</v>
      </c>
      <c r="O79" t="s">
        <v>64</v>
      </c>
      <c r="P79" s="1" t="s">
        <v>65</v>
      </c>
      <c r="Q79">
        <v>2020</v>
      </c>
      <c r="R79">
        <v>2020</v>
      </c>
      <c r="S79">
        <v>2020</v>
      </c>
      <c r="T79" t="s">
        <v>64</v>
      </c>
      <c r="U79" t="s">
        <v>64</v>
      </c>
      <c r="V79" t="s">
        <v>67</v>
      </c>
    </row>
    <row r="80" spans="2:22" ht="176.1">
      <c r="B80" t="s">
        <v>244</v>
      </c>
      <c r="C80" t="s">
        <v>127</v>
      </c>
      <c r="D80" s="1" t="s">
        <v>59</v>
      </c>
      <c r="E80" s="1" t="s">
        <v>314</v>
      </c>
      <c r="F80" s="1"/>
      <c r="G80" s="1" t="s">
        <v>315</v>
      </c>
      <c r="H80" t="s">
        <v>62</v>
      </c>
      <c r="I80" t="s">
        <v>62</v>
      </c>
      <c r="K80" t="s">
        <v>309</v>
      </c>
      <c r="L80" t="s">
        <v>310</v>
      </c>
      <c r="M80" s="1" t="s">
        <v>311</v>
      </c>
      <c r="N80" t="s">
        <v>64</v>
      </c>
      <c r="O80" t="s">
        <v>64</v>
      </c>
      <c r="P80" s="1" t="s">
        <v>65</v>
      </c>
      <c r="Q80">
        <v>2020</v>
      </c>
      <c r="R80">
        <v>2020</v>
      </c>
      <c r="S80">
        <v>2020</v>
      </c>
      <c r="T80" t="s">
        <v>64</v>
      </c>
      <c r="U80" t="s">
        <v>64</v>
      </c>
      <c r="V80" t="s">
        <v>67</v>
      </c>
    </row>
    <row r="81" spans="2:22" ht="176.1">
      <c r="B81" t="s">
        <v>244</v>
      </c>
      <c r="C81" t="s">
        <v>127</v>
      </c>
      <c r="D81" s="1" t="s">
        <v>59</v>
      </c>
      <c r="E81" s="1" t="s">
        <v>316</v>
      </c>
      <c r="F81" s="1"/>
      <c r="G81" t="s">
        <v>8</v>
      </c>
      <c r="H81" t="s">
        <v>163</v>
      </c>
      <c r="I81" t="s">
        <v>163</v>
      </c>
      <c r="K81" t="s">
        <v>309</v>
      </c>
      <c r="L81" t="s">
        <v>310</v>
      </c>
      <c r="M81" s="1" t="s">
        <v>311</v>
      </c>
      <c r="N81" t="s">
        <v>64</v>
      </c>
      <c r="O81" t="s">
        <v>64</v>
      </c>
      <c r="P81" s="1" t="s">
        <v>65</v>
      </c>
      <c r="Q81">
        <v>2020</v>
      </c>
      <c r="R81">
        <v>2020</v>
      </c>
      <c r="S81">
        <v>2020</v>
      </c>
      <c r="T81" t="s">
        <v>64</v>
      </c>
      <c r="U81" t="s">
        <v>64</v>
      </c>
      <c r="V81" t="s">
        <v>67</v>
      </c>
    </row>
    <row r="82" spans="2:22" ht="176.1">
      <c r="B82" t="s">
        <v>244</v>
      </c>
      <c r="C82" t="s">
        <v>127</v>
      </c>
      <c r="D82" s="1" t="s">
        <v>59</v>
      </c>
      <c r="E82" s="1" t="s">
        <v>317</v>
      </c>
      <c r="F82" s="1"/>
      <c r="G82" s="1" t="s">
        <v>313</v>
      </c>
      <c r="H82" t="s">
        <v>163</v>
      </c>
      <c r="I82" t="s">
        <v>163</v>
      </c>
      <c r="K82" t="s">
        <v>309</v>
      </c>
      <c r="L82" t="s">
        <v>310</v>
      </c>
      <c r="M82" s="1" t="s">
        <v>311</v>
      </c>
      <c r="N82" t="s">
        <v>64</v>
      </c>
      <c r="O82" t="s">
        <v>64</v>
      </c>
      <c r="P82" s="1" t="s">
        <v>65</v>
      </c>
      <c r="Q82">
        <v>2020</v>
      </c>
      <c r="R82">
        <v>2020</v>
      </c>
      <c r="S82">
        <v>2020</v>
      </c>
      <c r="T82" t="s">
        <v>64</v>
      </c>
      <c r="U82" t="s">
        <v>64</v>
      </c>
      <c r="V82" t="s">
        <v>67</v>
      </c>
    </row>
    <row r="83" spans="2:22" ht="176.1">
      <c r="B83" t="s">
        <v>244</v>
      </c>
      <c r="C83" t="s">
        <v>127</v>
      </c>
      <c r="D83" s="1" t="s">
        <v>59</v>
      </c>
      <c r="E83" s="1" t="s">
        <v>318</v>
      </c>
      <c r="F83" s="1"/>
      <c r="G83" s="1" t="s">
        <v>315</v>
      </c>
      <c r="H83" t="s">
        <v>163</v>
      </c>
      <c r="I83" t="s">
        <v>163</v>
      </c>
      <c r="K83" t="s">
        <v>309</v>
      </c>
      <c r="L83" t="s">
        <v>310</v>
      </c>
      <c r="M83" s="1" t="s">
        <v>311</v>
      </c>
      <c r="N83" t="s">
        <v>64</v>
      </c>
      <c r="O83" t="s">
        <v>64</v>
      </c>
      <c r="P83" s="1" t="s">
        <v>65</v>
      </c>
      <c r="Q83">
        <v>2020</v>
      </c>
      <c r="R83">
        <v>2020</v>
      </c>
      <c r="S83">
        <v>2020</v>
      </c>
      <c r="T83" t="s">
        <v>64</v>
      </c>
      <c r="U83" t="s">
        <v>64</v>
      </c>
      <c r="V83" t="s">
        <v>67</v>
      </c>
    </row>
    <row r="84" spans="2:22" ht="176.1">
      <c r="B84" t="s">
        <v>244</v>
      </c>
      <c r="C84" t="s">
        <v>127</v>
      </c>
      <c r="D84" s="1" t="s">
        <v>59</v>
      </c>
      <c r="E84" s="1" t="s">
        <v>319</v>
      </c>
      <c r="F84" s="1"/>
      <c r="G84" s="1" t="s">
        <v>320</v>
      </c>
      <c r="H84" t="s">
        <v>297</v>
      </c>
      <c r="I84" t="s">
        <v>297</v>
      </c>
      <c r="K84" t="s">
        <v>309</v>
      </c>
      <c r="L84" t="s">
        <v>310</v>
      </c>
      <c r="M84" s="1" t="s">
        <v>311</v>
      </c>
      <c r="N84" t="s">
        <v>64</v>
      </c>
      <c r="O84" t="s">
        <v>64</v>
      </c>
      <c r="P84" s="1" t="s">
        <v>65</v>
      </c>
      <c r="Q84">
        <v>2020</v>
      </c>
      <c r="R84">
        <v>2020</v>
      </c>
      <c r="S84">
        <v>2020</v>
      </c>
      <c r="T84" t="s">
        <v>64</v>
      </c>
      <c r="U84" t="s">
        <v>64</v>
      </c>
      <c r="V84" t="s">
        <v>67</v>
      </c>
    </row>
    <row r="85" spans="2:22" ht="176.1">
      <c r="B85" t="s">
        <v>244</v>
      </c>
      <c r="C85" t="s">
        <v>127</v>
      </c>
      <c r="D85" s="1" t="s">
        <v>59</v>
      </c>
      <c r="E85" s="1" t="s">
        <v>321</v>
      </c>
      <c r="F85" s="1"/>
      <c r="G85" s="1" t="s">
        <v>322</v>
      </c>
      <c r="H85" t="s">
        <v>297</v>
      </c>
      <c r="I85" t="s">
        <v>297</v>
      </c>
      <c r="K85" t="s">
        <v>309</v>
      </c>
      <c r="L85" t="s">
        <v>310</v>
      </c>
      <c r="M85" s="1" t="s">
        <v>311</v>
      </c>
      <c r="N85" t="s">
        <v>64</v>
      </c>
      <c r="O85" t="s">
        <v>64</v>
      </c>
      <c r="P85" s="1" t="s">
        <v>65</v>
      </c>
      <c r="Q85">
        <v>2020</v>
      </c>
      <c r="R85">
        <v>2020</v>
      </c>
      <c r="S85">
        <v>2020</v>
      </c>
      <c r="T85" t="s">
        <v>64</v>
      </c>
      <c r="U85" t="s">
        <v>64</v>
      </c>
      <c r="V85" t="s">
        <v>67</v>
      </c>
    </row>
    <row r="86" spans="2:22" ht="176.1">
      <c r="B86" t="s">
        <v>244</v>
      </c>
      <c r="C86" t="s">
        <v>127</v>
      </c>
      <c r="D86" s="1" t="s">
        <v>59</v>
      </c>
      <c r="E86" s="1" t="s">
        <v>323</v>
      </c>
      <c r="F86" s="1"/>
      <c r="G86" s="1" t="s">
        <v>324</v>
      </c>
      <c r="H86" t="s">
        <v>325</v>
      </c>
      <c r="I86" t="s">
        <v>297</v>
      </c>
      <c r="K86" t="s">
        <v>309</v>
      </c>
      <c r="L86" t="s">
        <v>310</v>
      </c>
      <c r="M86" s="1" t="s">
        <v>311</v>
      </c>
      <c r="N86" t="s">
        <v>64</v>
      </c>
      <c r="O86" t="s">
        <v>64</v>
      </c>
      <c r="P86" s="1" t="s">
        <v>65</v>
      </c>
      <c r="Q86">
        <v>2020</v>
      </c>
      <c r="R86">
        <v>2020</v>
      </c>
      <c r="S86">
        <v>2020</v>
      </c>
      <c r="T86" t="s">
        <v>64</v>
      </c>
      <c r="U86" t="s">
        <v>64</v>
      </c>
      <c r="V86" t="s">
        <v>67</v>
      </c>
    </row>
    <row r="87" spans="2:22" ht="176.1">
      <c r="B87" t="s">
        <v>244</v>
      </c>
      <c r="C87" t="s">
        <v>127</v>
      </c>
      <c r="D87" s="1" t="s">
        <v>59</v>
      </c>
      <c r="E87" s="1" t="s">
        <v>326</v>
      </c>
      <c r="F87" s="1"/>
      <c r="G87" s="1" t="s">
        <v>327</v>
      </c>
      <c r="H87" t="s">
        <v>325</v>
      </c>
      <c r="I87" t="s">
        <v>297</v>
      </c>
      <c r="K87" t="s">
        <v>309</v>
      </c>
      <c r="L87" t="s">
        <v>310</v>
      </c>
      <c r="M87" s="1" t="s">
        <v>311</v>
      </c>
      <c r="N87" t="s">
        <v>64</v>
      </c>
      <c r="O87" t="s">
        <v>64</v>
      </c>
      <c r="P87" s="1" t="s">
        <v>65</v>
      </c>
      <c r="Q87">
        <v>2020</v>
      </c>
      <c r="R87">
        <v>2020</v>
      </c>
      <c r="S87">
        <v>2020</v>
      </c>
      <c r="T87" t="s">
        <v>64</v>
      </c>
      <c r="U87" t="s">
        <v>64</v>
      </c>
      <c r="V87" t="s">
        <v>67</v>
      </c>
    </row>
    <row r="88" spans="2:22" ht="80.099999999999994">
      <c r="B88" t="s">
        <v>244</v>
      </c>
      <c r="C88" t="s">
        <v>127</v>
      </c>
      <c r="D88" s="1" t="s">
        <v>59</v>
      </c>
      <c r="E88" s="1" t="s">
        <v>328</v>
      </c>
      <c r="F88" s="1"/>
      <c r="G88" t="s">
        <v>329</v>
      </c>
      <c r="H88" t="s">
        <v>325</v>
      </c>
      <c r="I88" t="s">
        <v>297</v>
      </c>
      <c r="M88" s="1" t="s">
        <v>330</v>
      </c>
      <c r="N88" t="s">
        <v>64</v>
      </c>
      <c r="O88" t="s">
        <v>64</v>
      </c>
      <c r="P88" s="1" t="s">
        <v>65</v>
      </c>
      <c r="Q88">
        <v>2022</v>
      </c>
      <c r="R88">
        <v>2022</v>
      </c>
      <c r="S88">
        <v>2022</v>
      </c>
      <c r="T88" t="s">
        <v>64</v>
      </c>
      <c r="U88" t="s">
        <v>64</v>
      </c>
      <c r="V88" t="s">
        <v>67</v>
      </c>
    </row>
    <row r="89" spans="2:22" ht="128.1">
      <c r="B89" t="s">
        <v>331</v>
      </c>
      <c r="C89" t="s">
        <v>58</v>
      </c>
      <c r="D89" s="1" t="s">
        <v>59</v>
      </c>
      <c r="E89" s="1" t="s">
        <v>332</v>
      </c>
      <c r="F89" s="1"/>
      <c r="G89" t="s">
        <v>171</v>
      </c>
      <c r="H89" s="1" t="s">
        <v>333</v>
      </c>
      <c r="I89" s="1" t="s">
        <v>334</v>
      </c>
      <c r="J89" s="1"/>
      <c r="M89" s="1" t="s">
        <v>335</v>
      </c>
      <c r="N89" t="s">
        <v>64</v>
      </c>
      <c r="O89" t="s">
        <v>64</v>
      </c>
      <c r="P89" s="1" t="s">
        <v>65</v>
      </c>
      <c r="Q89">
        <v>2021</v>
      </c>
      <c r="R89">
        <v>2021</v>
      </c>
      <c r="S89">
        <v>2021</v>
      </c>
      <c r="T89" t="s">
        <v>67</v>
      </c>
      <c r="U89" t="s">
        <v>64</v>
      </c>
      <c r="V89" t="s">
        <v>64</v>
      </c>
    </row>
    <row r="90" spans="2:22" ht="128.1">
      <c r="B90" t="s">
        <v>331</v>
      </c>
      <c r="C90" t="s">
        <v>58</v>
      </c>
      <c r="D90" s="1" t="s">
        <v>59</v>
      </c>
      <c r="E90" s="1" t="s">
        <v>336</v>
      </c>
      <c r="F90" s="1"/>
      <c r="G90" s="72" t="s">
        <v>337</v>
      </c>
      <c r="H90" t="s">
        <v>338</v>
      </c>
      <c r="I90" t="s">
        <v>338</v>
      </c>
      <c r="M90" s="1" t="s">
        <v>335</v>
      </c>
      <c r="N90" t="s">
        <v>64</v>
      </c>
      <c r="O90" t="s">
        <v>64</v>
      </c>
      <c r="P90" s="1" t="s">
        <v>65</v>
      </c>
      <c r="Q90">
        <v>2021</v>
      </c>
      <c r="R90">
        <v>2020</v>
      </c>
      <c r="S90" t="s">
        <v>339</v>
      </c>
      <c r="T90" t="s">
        <v>67</v>
      </c>
      <c r="U90" t="s">
        <v>64</v>
      </c>
      <c r="V90" t="s">
        <v>64</v>
      </c>
    </row>
    <row r="91" spans="2:22" ht="128.1">
      <c r="B91" t="s">
        <v>331</v>
      </c>
      <c r="C91" t="s">
        <v>58</v>
      </c>
      <c r="D91" s="1" t="s">
        <v>59</v>
      </c>
      <c r="E91" s="28" t="s">
        <v>340</v>
      </c>
      <c r="F91" s="28"/>
      <c r="G91" s="1" t="s">
        <v>341</v>
      </c>
      <c r="H91" t="s">
        <v>338</v>
      </c>
      <c r="I91" t="s">
        <v>338</v>
      </c>
      <c r="M91" s="1" t="s">
        <v>335</v>
      </c>
      <c r="N91" t="s">
        <v>64</v>
      </c>
      <c r="O91" t="s">
        <v>64</v>
      </c>
      <c r="P91" s="1" t="s">
        <v>65</v>
      </c>
      <c r="Q91">
        <v>2020</v>
      </c>
      <c r="R91">
        <v>2020</v>
      </c>
      <c r="S91" t="s">
        <v>112</v>
      </c>
      <c r="T91" t="s">
        <v>67</v>
      </c>
      <c r="U91" t="s">
        <v>64</v>
      </c>
      <c r="V91" t="s">
        <v>64</v>
      </c>
    </row>
    <row r="92" spans="2:22" ht="128.1">
      <c r="B92" t="s">
        <v>331</v>
      </c>
      <c r="C92" t="s">
        <v>58</v>
      </c>
      <c r="D92" s="1" t="s">
        <v>59</v>
      </c>
      <c r="E92" s="28" t="s">
        <v>342</v>
      </c>
      <c r="F92" s="28"/>
      <c r="G92" s="1" t="s">
        <v>341</v>
      </c>
      <c r="H92" t="s">
        <v>338</v>
      </c>
      <c r="I92" t="s">
        <v>338</v>
      </c>
      <c r="M92" s="1" t="s">
        <v>335</v>
      </c>
      <c r="N92" t="s">
        <v>64</v>
      </c>
      <c r="O92" t="s">
        <v>64</v>
      </c>
      <c r="P92" s="1" t="s">
        <v>65</v>
      </c>
      <c r="Q92">
        <v>2021</v>
      </c>
      <c r="R92">
        <v>2021</v>
      </c>
      <c r="S92" t="s">
        <v>343</v>
      </c>
      <c r="T92" t="s">
        <v>67</v>
      </c>
      <c r="U92" t="s">
        <v>64</v>
      </c>
      <c r="V92" t="s">
        <v>64</v>
      </c>
    </row>
    <row r="93" spans="2:22" ht="159.94999999999999">
      <c r="B93" t="s">
        <v>331</v>
      </c>
      <c r="C93" t="s">
        <v>58</v>
      </c>
      <c r="D93" s="1" t="s">
        <v>59</v>
      </c>
      <c r="E93" s="28" t="s">
        <v>344</v>
      </c>
      <c r="F93" s="28"/>
      <c r="G93" t="s">
        <v>345</v>
      </c>
      <c r="H93" t="s">
        <v>338</v>
      </c>
      <c r="I93" t="s">
        <v>338</v>
      </c>
      <c r="K93" s="1" t="s">
        <v>346</v>
      </c>
      <c r="L93" s="1" t="s">
        <v>347</v>
      </c>
      <c r="N93" t="s">
        <v>64</v>
      </c>
      <c r="O93" t="s">
        <v>64</v>
      </c>
      <c r="P93" s="1" t="s">
        <v>65</v>
      </c>
      <c r="Q93">
        <v>2021</v>
      </c>
      <c r="R93">
        <v>2021</v>
      </c>
      <c r="S93">
        <v>2021</v>
      </c>
      <c r="T93" t="s">
        <v>64</v>
      </c>
      <c r="U93" t="s">
        <v>64</v>
      </c>
      <c r="V93" t="s">
        <v>64</v>
      </c>
    </row>
    <row r="94" spans="2:22" ht="159.94999999999999">
      <c r="B94" t="s">
        <v>331</v>
      </c>
      <c r="C94" t="s">
        <v>127</v>
      </c>
      <c r="D94" s="1" t="s">
        <v>59</v>
      </c>
      <c r="E94" s="1" t="s">
        <v>348</v>
      </c>
      <c r="F94" s="1"/>
      <c r="G94" s="1" t="s">
        <v>349</v>
      </c>
      <c r="H94" s="1" t="s">
        <v>333</v>
      </c>
      <c r="I94" s="1" t="s">
        <v>334</v>
      </c>
      <c r="J94" s="1"/>
      <c r="K94" s="1" t="s">
        <v>346</v>
      </c>
      <c r="L94" s="1" t="s">
        <v>347</v>
      </c>
      <c r="N94" t="s">
        <v>64</v>
      </c>
      <c r="O94" t="s">
        <v>64</v>
      </c>
      <c r="P94" s="1" t="s">
        <v>65</v>
      </c>
      <c r="Q94">
        <v>2021</v>
      </c>
      <c r="R94">
        <v>2021</v>
      </c>
      <c r="S94">
        <v>2021</v>
      </c>
      <c r="T94" t="s">
        <v>64</v>
      </c>
      <c r="U94" t="s">
        <v>64</v>
      </c>
      <c r="V94" t="s">
        <v>64</v>
      </c>
    </row>
    <row r="95" spans="2:22" ht="159.94999999999999">
      <c r="B95" t="s">
        <v>331</v>
      </c>
      <c r="C95" t="s">
        <v>127</v>
      </c>
      <c r="D95" s="1" t="s">
        <v>59</v>
      </c>
      <c r="E95" s="1" t="s">
        <v>350</v>
      </c>
      <c r="F95" s="1"/>
      <c r="G95" s="1" t="s">
        <v>351</v>
      </c>
      <c r="H95" s="1" t="s">
        <v>333</v>
      </c>
      <c r="I95" s="1" t="s">
        <v>334</v>
      </c>
      <c r="J95" s="1"/>
      <c r="K95" s="1" t="s">
        <v>346</v>
      </c>
      <c r="L95" s="1" t="s">
        <v>347</v>
      </c>
      <c r="N95" t="s">
        <v>64</v>
      </c>
      <c r="O95" t="s">
        <v>64</v>
      </c>
      <c r="P95" s="1" t="s">
        <v>65</v>
      </c>
      <c r="Q95">
        <v>2021</v>
      </c>
      <c r="R95">
        <v>2021</v>
      </c>
      <c r="S95">
        <v>2021</v>
      </c>
      <c r="T95" t="s">
        <v>64</v>
      </c>
      <c r="U95" t="s">
        <v>64</v>
      </c>
      <c r="V95" t="s">
        <v>64</v>
      </c>
    </row>
    <row r="96" spans="2:22" ht="48">
      <c r="B96" t="s">
        <v>331</v>
      </c>
      <c r="C96" t="s">
        <v>58</v>
      </c>
      <c r="D96" s="1" t="s">
        <v>59</v>
      </c>
      <c r="E96" s="1" t="s">
        <v>352</v>
      </c>
      <c r="F96" s="1"/>
      <c r="G96" s="1" t="s">
        <v>353</v>
      </c>
      <c r="H96" t="s">
        <v>163</v>
      </c>
      <c r="I96" t="s">
        <v>163</v>
      </c>
      <c r="M96" s="1" t="s">
        <v>354</v>
      </c>
      <c r="N96" t="s">
        <v>64</v>
      </c>
      <c r="O96" t="s">
        <v>64</v>
      </c>
      <c r="P96" s="1" t="s">
        <v>65</v>
      </c>
      <c r="Q96">
        <v>2021</v>
      </c>
      <c r="R96">
        <v>2021</v>
      </c>
      <c r="S96" t="s">
        <v>355</v>
      </c>
      <c r="T96" t="s">
        <v>67</v>
      </c>
      <c r="U96" t="s">
        <v>64</v>
      </c>
      <c r="V96" t="s">
        <v>180</v>
      </c>
    </row>
    <row r="97" spans="2:22" ht="272.10000000000002">
      <c r="B97" t="s">
        <v>331</v>
      </c>
      <c r="C97" t="s">
        <v>58</v>
      </c>
      <c r="D97" s="1" t="s">
        <v>59</v>
      </c>
      <c r="E97" s="1" t="s">
        <v>356</v>
      </c>
      <c r="F97" s="1"/>
      <c r="G97" s="1" t="s">
        <v>357</v>
      </c>
      <c r="H97" t="s">
        <v>163</v>
      </c>
      <c r="I97" t="s">
        <v>163</v>
      </c>
      <c r="M97" s="1" t="s">
        <v>354</v>
      </c>
      <c r="N97" t="s">
        <v>64</v>
      </c>
      <c r="O97" t="s">
        <v>64</v>
      </c>
      <c r="P97" s="1" t="s">
        <v>65</v>
      </c>
      <c r="Q97">
        <v>2021</v>
      </c>
      <c r="R97">
        <v>2021</v>
      </c>
      <c r="S97">
        <v>2021</v>
      </c>
      <c r="T97" t="s">
        <v>180</v>
      </c>
      <c r="U97" t="s">
        <v>64</v>
      </c>
      <c r="V97" t="s">
        <v>180</v>
      </c>
    </row>
    <row r="98" spans="2:22" ht="96">
      <c r="B98" t="s">
        <v>331</v>
      </c>
      <c r="C98" t="s">
        <v>58</v>
      </c>
      <c r="D98" s="1" t="s">
        <v>59</v>
      </c>
      <c r="E98" s="1" t="s">
        <v>358</v>
      </c>
      <c r="F98" s="1"/>
      <c r="G98" s="1" t="s">
        <v>359</v>
      </c>
      <c r="H98" t="s">
        <v>163</v>
      </c>
      <c r="I98" t="s">
        <v>163</v>
      </c>
      <c r="M98" s="1"/>
      <c r="N98" t="s">
        <v>64</v>
      </c>
      <c r="O98" t="s">
        <v>64</v>
      </c>
      <c r="P98" s="1" t="s">
        <v>65</v>
      </c>
      <c r="Q98">
        <v>2021</v>
      </c>
      <c r="R98">
        <v>2021</v>
      </c>
      <c r="S98">
        <v>2021</v>
      </c>
      <c r="T98" t="s">
        <v>180</v>
      </c>
      <c r="U98" t="s">
        <v>64</v>
      </c>
      <c r="V98" t="s">
        <v>180</v>
      </c>
    </row>
    <row r="99" spans="2:22" ht="32.1">
      <c r="B99" t="s">
        <v>331</v>
      </c>
      <c r="C99" t="s">
        <v>58</v>
      </c>
      <c r="D99" s="1" t="s">
        <v>59</v>
      </c>
      <c r="E99" s="1" t="s">
        <v>360</v>
      </c>
      <c r="F99" s="1"/>
      <c r="G99" t="s">
        <v>361</v>
      </c>
      <c r="H99" t="s">
        <v>163</v>
      </c>
      <c r="I99" t="s">
        <v>163</v>
      </c>
      <c r="M99" s="1" t="s">
        <v>354</v>
      </c>
      <c r="N99" t="s">
        <v>64</v>
      </c>
      <c r="O99" t="s">
        <v>64</v>
      </c>
      <c r="P99" s="1" t="s">
        <v>65</v>
      </c>
      <c r="Q99">
        <v>2019</v>
      </c>
      <c r="R99">
        <v>2019</v>
      </c>
      <c r="S99">
        <v>2019</v>
      </c>
      <c r="T99" t="s">
        <v>180</v>
      </c>
      <c r="U99" t="s">
        <v>64</v>
      </c>
      <c r="V99" t="s">
        <v>180</v>
      </c>
    </row>
    <row r="100" spans="2:22" ht="128.1">
      <c r="B100" t="s">
        <v>331</v>
      </c>
      <c r="C100" t="s">
        <v>58</v>
      </c>
      <c r="D100" s="1" t="s">
        <v>59</v>
      </c>
      <c r="E100" s="1" t="s">
        <v>362</v>
      </c>
      <c r="F100" s="1"/>
      <c r="G100" s="72" t="s">
        <v>363</v>
      </c>
      <c r="H100" t="s">
        <v>163</v>
      </c>
      <c r="I100" t="s">
        <v>163</v>
      </c>
      <c r="M100" s="72" t="s">
        <v>335</v>
      </c>
      <c r="N100" t="s">
        <v>64</v>
      </c>
      <c r="O100" t="s">
        <v>64</v>
      </c>
      <c r="P100" s="1" t="s">
        <v>65</v>
      </c>
      <c r="Q100">
        <v>2021</v>
      </c>
      <c r="R100">
        <v>2021</v>
      </c>
      <c r="S100" t="s">
        <v>364</v>
      </c>
      <c r="T100" t="s">
        <v>67</v>
      </c>
      <c r="U100" t="s">
        <v>64</v>
      </c>
      <c r="V100" t="s">
        <v>180</v>
      </c>
    </row>
    <row r="101" spans="2:22" ht="63.95">
      <c r="B101" t="s">
        <v>331</v>
      </c>
      <c r="C101" t="s">
        <v>58</v>
      </c>
      <c r="D101" s="1" t="s">
        <v>59</v>
      </c>
      <c r="E101" s="1" t="s">
        <v>365</v>
      </c>
      <c r="F101" s="1"/>
      <c r="G101" s="1" t="s">
        <v>366</v>
      </c>
      <c r="H101" t="s">
        <v>163</v>
      </c>
      <c r="I101" t="s">
        <v>163</v>
      </c>
      <c r="M101" s="1" t="s">
        <v>354</v>
      </c>
      <c r="N101" t="s">
        <v>64</v>
      </c>
      <c r="O101" t="s">
        <v>64</v>
      </c>
      <c r="P101" s="1" t="s">
        <v>65</v>
      </c>
      <c r="Q101">
        <v>2020</v>
      </c>
      <c r="R101">
        <v>2020</v>
      </c>
      <c r="S101" t="s">
        <v>112</v>
      </c>
      <c r="T101" t="s">
        <v>67</v>
      </c>
      <c r="U101" t="s">
        <v>64</v>
      </c>
      <c r="V101" t="s">
        <v>180</v>
      </c>
    </row>
    <row r="102" spans="2:22" ht="80.099999999999994">
      <c r="B102" t="s">
        <v>331</v>
      </c>
      <c r="C102" t="s">
        <v>58</v>
      </c>
      <c r="D102" s="1" t="s">
        <v>59</v>
      </c>
      <c r="E102" s="1" t="s">
        <v>367</v>
      </c>
      <c r="F102" s="1"/>
      <c r="G102" s="1" t="s">
        <v>366</v>
      </c>
      <c r="H102" t="s">
        <v>163</v>
      </c>
      <c r="I102" t="s">
        <v>163</v>
      </c>
      <c r="M102" s="1" t="s">
        <v>354</v>
      </c>
      <c r="N102" t="s">
        <v>64</v>
      </c>
      <c r="O102" t="s">
        <v>64</v>
      </c>
      <c r="P102" s="1" t="s">
        <v>65</v>
      </c>
      <c r="Q102">
        <v>2021</v>
      </c>
      <c r="R102">
        <v>2021</v>
      </c>
      <c r="S102" t="s">
        <v>343</v>
      </c>
      <c r="T102" t="s">
        <v>67</v>
      </c>
      <c r="U102" t="s">
        <v>64</v>
      </c>
      <c r="V102" t="s">
        <v>180</v>
      </c>
    </row>
    <row r="103" spans="2:22" ht="159.94999999999999">
      <c r="B103" t="s">
        <v>331</v>
      </c>
      <c r="C103" t="s">
        <v>58</v>
      </c>
      <c r="D103" s="1" t="s">
        <v>59</v>
      </c>
      <c r="E103" s="1" t="s">
        <v>368</v>
      </c>
      <c r="F103" s="1"/>
      <c r="G103" s="1" t="s">
        <v>369</v>
      </c>
      <c r="H103" t="s">
        <v>163</v>
      </c>
      <c r="I103" t="s">
        <v>163</v>
      </c>
      <c r="K103" s="72" t="s">
        <v>346</v>
      </c>
      <c r="L103" s="1" t="s">
        <v>347</v>
      </c>
      <c r="N103" t="s">
        <v>64</v>
      </c>
      <c r="O103" t="s">
        <v>64</v>
      </c>
      <c r="P103" s="1" t="s">
        <v>65</v>
      </c>
      <c r="Q103">
        <v>2021</v>
      </c>
      <c r="R103">
        <v>2021</v>
      </c>
      <c r="S103">
        <v>2021</v>
      </c>
      <c r="T103" t="s">
        <v>180</v>
      </c>
      <c r="U103" t="s">
        <v>64</v>
      </c>
      <c r="V103" t="s">
        <v>180</v>
      </c>
    </row>
    <row r="104" spans="2:22" ht="48">
      <c r="B104" t="s">
        <v>331</v>
      </c>
      <c r="C104" t="s">
        <v>58</v>
      </c>
      <c r="D104" s="1" t="s">
        <v>59</v>
      </c>
      <c r="E104" s="1" t="s">
        <v>370</v>
      </c>
      <c r="F104" s="1"/>
      <c r="G104" s="1" t="s">
        <v>371</v>
      </c>
      <c r="H104" t="s">
        <v>297</v>
      </c>
      <c r="I104" t="s">
        <v>297</v>
      </c>
      <c r="N104" t="s">
        <v>64</v>
      </c>
      <c r="O104" t="s">
        <v>64</v>
      </c>
      <c r="P104" s="1" t="s">
        <v>65</v>
      </c>
      <c r="Q104">
        <v>2020</v>
      </c>
      <c r="R104">
        <v>2020</v>
      </c>
      <c r="S104">
        <v>2020</v>
      </c>
      <c r="T104" t="s">
        <v>180</v>
      </c>
      <c r="U104" t="s">
        <v>64</v>
      </c>
      <c r="V104" t="s">
        <v>180</v>
      </c>
    </row>
    <row r="105" spans="2:22" ht="63.95">
      <c r="B105" t="s">
        <v>331</v>
      </c>
      <c r="C105" t="s">
        <v>127</v>
      </c>
      <c r="D105" s="1" t="s">
        <v>59</v>
      </c>
      <c r="E105" s="1" t="s">
        <v>372</v>
      </c>
      <c r="F105" s="1"/>
      <c r="G105" s="1" t="s">
        <v>373</v>
      </c>
      <c r="H105" t="s">
        <v>297</v>
      </c>
      <c r="I105" t="s">
        <v>297</v>
      </c>
      <c r="M105" s="1" t="s">
        <v>354</v>
      </c>
      <c r="N105" t="s">
        <v>64</v>
      </c>
      <c r="O105" t="s">
        <v>64</v>
      </c>
      <c r="P105" s="1" t="s">
        <v>65</v>
      </c>
      <c r="Q105">
        <v>2021</v>
      </c>
      <c r="R105">
        <v>2021</v>
      </c>
      <c r="S105">
        <v>2021</v>
      </c>
      <c r="T105" t="s">
        <v>180</v>
      </c>
      <c r="U105" t="s">
        <v>64</v>
      </c>
      <c r="V105" t="s">
        <v>180</v>
      </c>
    </row>
    <row r="106" spans="2:22" ht="48">
      <c r="B106" t="s">
        <v>331</v>
      </c>
      <c r="C106" t="s">
        <v>127</v>
      </c>
      <c r="D106" s="1" t="s">
        <v>59</v>
      </c>
      <c r="E106" s="1" t="s">
        <v>374</v>
      </c>
      <c r="F106" s="1"/>
      <c r="G106" s="1" t="s">
        <v>375</v>
      </c>
      <c r="H106" t="s">
        <v>297</v>
      </c>
      <c r="I106" t="s">
        <v>297</v>
      </c>
      <c r="M106" s="1" t="s">
        <v>354</v>
      </c>
      <c r="N106" t="s">
        <v>64</v>
      </c>
      <c r="O106" t="s">
        <v>64</v>
      </c>
      <c r="P106" s="1" t="s">
        <v>65</v>
      </c>
      <c r="Q106">
        <v>2021</v>
      </c>
      <c r="R106">
        <v>2021</v>
      </c>
      <c r="S106">
        <v>2021</v>
      </c>
      <c r="T106" t="s">
        <v>180</v>
      </c>
      <c r="U106" t="s">
        <v>64</v>
      </c>
      <c r="V106" t="s">
        <v>180</v>
      </c>
    </row>
    <row r="107" spans="2:22" ht="48">
      <c r="B107" t="s">
        <v>331</v>
      </c>
      <c r="C107" t="s">
        <v>58</v>
      </c>
      <c r="D107" s="1" t="s">
        <v>59</v>
      </c>
      <c r="E107" s="1" t="s">
        <v>376</v>
      </c>
      <c r="F107" s="1"/>
      <c r="G107" s="1" t="s">
        <v>377</v>
      </c>
      <c r="H107" s="1" t="s">
        <v>378</v>
      </c>
      <c r="I107" s="1" t="s">
        <v>378</v>
      </c>
      <c r="J107" s="1"/>
      <c r="M107" s="1" t="s">
        <v>354</v>
      </c>
      <c r="N107" t="s">
        <v>64</v>
      </c>
      <c r="O107" t="s">
        <v>64</v>
      </c>
      <c r="P107" s="1" t="s">
        <v>65</v>
      </c>
      <c r="Q107">
        <v>2021</v>
      </c>
      <c r="R107">
        <v>2021</v>
      </c>
      <c r="S107" t="s">
        <v>355</v>
      </c>
      <c r="T107" t="s">
        <v>67</v>
      </c>
      <c r="U107" t="s">
        <v>64</v>
      </c>
      <c r="V107" t="s">
        <v>180</v>
      </c>
    </row>
    <row r="108" spans="2:22" ht="48">
      <c r="B108" t="s">
        <v>331</v>
      </c>
      <c r="C108" t="s">
        <v>58</v>
      </c>
      <c r="D108" s="1" t="s">
        <v>59</v>
      </c>
      <c r="E108" s="1" t="s">
        <v>379</v>
      </c>
      <c r="F108" s="1"/>
      <c r="G108" s="1" t="s">
        <v>380</v>
      </c>
      <c r="H108" s="1" t="s">
        <v>378</v>
      </c>
      <c r="I108" s="1" t="s">
        <v>378</v>
      </c>
      <c r="J108" s="1"/>
      <c r="M108" s="1" t="s">
        <v>354</v>
      </c>
      <c r="N108" t="s">
        <v>64</v>
      </c>
      <c r="O108" t="s">
        <v>64</v>
      </c>
      <c r="P108" s="1" t="s">
        <v>65</v>
      </c>
      <c r="Q108">
        <v>2021</v>
      </c>
      <c r="R108">
        <v>2021</v>
      </c>
      <c r="S108" t="s">
        <v>343</v>
      </c>
      <c r="T108" t="s">
        <v>180</v>
      </c>
      <c r="U108" t="s">
        <v>64</v>
      </c>
      <c r="V108" t="s">
        <v>180</v>
      </c>
    </row>
    <row r="109" spans="2:22" ht="128.1">
      <c r="B109" t="s">
        <v>331</v>
      </c>
      <c r="C109" t="s">
        <v>58</v>
      </c>
      <c r="D109" s="1" t="s">
        <v>59</v>
      </c>
      <c r="E109" s="1" t="s">
        <v>381</v>
      </c>
      <c r="F109" s="1"/>
      <c r="G109" s="28" t="s">
        <v>382</v>
      </c>
      <c r="H109" s="1" t="s">
        <v>378</v>
      </c>
      <c r="I109" s="1" t="s">
        <v>378</v>
      </c>
      <c r="J109" s="1"/>
      <c r="M109" s="72" t="s">
        <v>335</v>
      </c>
      <c r="N109" t="s">
        <v>64</v>
      </c>
      <c r="O109" t="s">
        <v>64</v>
      </c>
      <c r="P109" s="1" t="s">
        <v>65</v>
      </c>
      <c r="Q109">
        <v>2021</v>
      </c>
      <c r="R109">
        <v>2021</v>
      </c>
      <c r="S109" t="s">
        <v>383</v>
      </c>
      <c r="T109" t="s">
        <v>67</v>
      </c>
      <c r="U109" t="s">
        <v>64</v>
      </c>
      <c r="V109" t="s">
        <v>180</v>
      </c>
    </row>
    <row r="110" spans="2:22" ht="128.1">
      <c r="B110" t="s">
        <v>331</v>
      </c>
      <c r="C110" t="s">
        <v>58</v>
      </c>
      <c r="D110" s="1" t="s">
        <v>59</v>
      </c>
      <c r="E110" s="1" t="s">
        <v>384</v>
      </c>
      <c r="F110" s="1"/>
      <c r="G110" s="28" t="s">
        <v>385</v>
      </c>
      <c r="H110" s="1" t="s">
        <v>378</v>
      </c>
      <c r="I110" s="1" t="s">
        <v>378</v>
      </c>
      <c r="J110" s="1"/>
      <c r="M110" s="72" t="s">
        <v>335</v>
      </c>
      <c r="N110" t="s">
        <v>64</v>
      </c>
      <c r="O110" t="s">
        <v>64</v>
      </c>
      <c r="P110" s="1" t="s">
        <v>65</v>
      </c>
      <c r="Q110">
        <v>2021</v>
      </c>
      <c r="R110">
        <v>2021</v>
      </c>
      <c r="S110" t="s">
        <v>355</v>
      </c>
      <c r="T110" t="s">
        <v>67</v>
      </c>
      <c r="U110" t="s">
        <v>64</v>
      </c>
      <c r="V110" t="s">
        <v>180</v>
      </c>
    </row>
    <row r="111" spans="2:22" ht="128.1">
      <c r="B111" t="s">
        <v>331</v>
      </c>
      <c r="C111" t="s">
        <v>58</v>
      </c>
      <c r="D111" s="1" t="s">
        <v>59</v>
      </c>
      <c r="E111" s="1" t="s">
        <v>386</v>
      </c>
      <c r="F111" s="1"/>
      <c r="G111" s="1" t="s">
        <v>387</v>
      </c>
      <c r="H111" s="1" t="s">
        <v>378</v>
      </c>
      <c r="I111" s="1" t="s">
        <v>378</v>
      </c>
      <c r="J111" s="1"/>
      <c r="M111" s="72" t="s">
        <v>335</v>
      </c>
      <c r="N111" t="s">
        <v>64</v>
      </c>
      <c r="O111" t="s">
        <v>64</v>
      </c>
      <c r="P111" s="1" t="s">
        <v>65</v>
      </c>
      <c r="Q111">
        <v>2010</v>
      </c>
      <c r="R111">
        <v>2010</v>
      </c>
      <c r="S111" t="s">
        <v>388</v>
      </c>
      <c r="T111" t="s">
        <v>67</v>
      </c>
      <c r="U111" t="s">
        <v>64</v>
      </c>
      <c r="V111" t="s">
        <v>180</v>
      </c>
    </row>
    <row r="112" spans="2:22" ht="48">
      <c r="B112" t="s">
        <v>389</v>
      </c>
      <c r="C112" t="s">
        <v>58</v>
      </c>
      <c r="D112" s="1" t="s">
        <v>144</v>
      </c>
      <c r="E112" s="1" t="s">
        <v>390</v>
      </c>
      <c r="F112" s="1"/>
      <c r="G112" t="s">
        <v>391</v>
      </c>
      <c r="H112" t="s">
        <v>297</v>
      </c>
      <c r="I112" t="s">
        <v>297</v>
      </c>
      <c r="K112" t="s">
        <v>392</v>
      </c>
      <c r="L112" s="35" t="s">
        <v>73</v>
      </c>
      <c r="N112" t="s">
        <v>64</v>
      </c>
      <c r="O112" t="s">
        <v>64</v>
      </c>
      <c r="P112" s="1" t="s">
        <v>65</v>
      </c>
      <c r="Q112">
        <v>2019</v>
      </c>
      <c r="R112">
        <v>2019</v>
      </c>
      <c r="S112">
        <v>2019</v>
      </c>
      <c r="T112" t="s">
        <v>67</v>
      </c>
      <c r="U112" t="s">
        <v>64</v>
      </c>
      <c r="V112" t="s">
        <v>180</v>
      </c>
    </row>
    <row r="113" spans="2:22" ht="48">
      <c r="B113" t="s">
        <v>389</v>
      </c>
      <c r="C113" t="s">
        <v>58</v>
      </c>
      <c r="D113" s="1" t="s">
        <v>144</v>
      </c>
      <c r="E113" s="1" t="s">
        <v>393</v>
      </c>
      <c r="F113" s="1"/>
      <c r="G113" t="s">
        <v>391</v>
      </c>
      <c r="H113" t="s">
        <v>394</v>
      </c>
      <c r="I113" t="s">
        <v>395</v>
      </c>
      <c r="K113" t="s">
        <v>392</v>
      </c>
      <c r="L113" s="35" t="s">
        <v>73</v>
      </c>
      <c r="N113" t="s">
        <v>64</v>
      </c>
      <c r="O113" t="s">
        <v>64</v>
      </c>
      <c r="P113" s="1" t="s">
        <v>65</v>
      </c>
      <c r="Q113">
        <v>2019</v>
      </c>
      <c r="R113">
        <v>2019</v>
      </c>
      <c r="S113">
        <v>2019</v>
      </c>
      <c r="T113" t="s">
        <v>67</v>
      </c>
      <c r="U113" t="s">
        <v>64</v>
      </c>
      <c r="V113" t="s">
        <v>180</v>
      </c>
    </row>
    <row r="114" spans="2:22" ht="48">
      <c r="B114" t="s">
        <v>389</v>
      </c>
      <c r="C114" t="s">
        <v>58</v>
      </c>
      <c r="D114" s="1" t="s">
        <v>144</v>
      </c>
      <c r="E114" s="1" t="s">
        <v>396</v>
      </c>
      <c r="F114" s="1"/>
      <c r="G114" s="1" t="s">
        <v>397</v>
      </c>
      <c r="H114" t="s">
        <v>297</v>
      </c>
      <c r="I114" t="s">
        <v>297</v>
      </c>
      <c r="K114" t="s">
        <v>392</v>
      </c>
      <c r="L114" s="35" t="s">
        <v>73</v>
      </c>
      <c r="N114" t="s">
        <v>64</v>
      </c>
      <c r="O114" t="s">
        <v>64</v>
      </c>
      <c r="P114" s="1" t="s">
        <v>65</v>
      </c>
      <c r="Q114">
        <v>2010</v>
      </c>
      <c r="R114">
        <v>2010</v>
      </c>
      <c r="S114">
        <v>2010</v>
      </c>
      <c r="T114" t="s">
        <v>67</v>
      </c>
      <c r="U114" t="s">
        <v>64</v>
      </c>
      <c r="V114" t="s">
        <v>180</v>
      </c>
    </row>
    <row r="115" spans="2:22" ht="48">
      <c r="B115" t="s">
        <v>389</v>
      </c>
      <c r="C115" t="s">
        <v>58</v>
      </c>
      <c r="D115" s="1" t="s">
        <v>144</v>
      </c>
      <c r="E115" s="1" t="s">
        <v>398</v>
      </c>
      <c r="F115" s="1"/>
      <c r="G115" s="1" t="s">
        <v>397</v>
      </c>
      <c r="H115" t="s">
        <v>394</v>
      </c>
      <c r="I115" t="s">
        <v>395</v>
      </c>
      <c r="K115" t="s">
        <v>392</v>
      </c>
      <c r="L115" s="35" t="s">
        <v>73</v>
      </c>
      <c r="N115" t="s">
        <v>64</v>
      </c>
      <c r="O115" t="s">
        <v>64</v>
      </c>
      <c r="P115" s="1" t="s">
        <v>65</v>
      </c>
      <c r="Q115">
        <v>2010</v>
      </c>
      <c r="R115">
        <v>2010</v>
      </c>
      <c r="S115">
        <v>2010</v>
      </c>
      <c r="T115" t="s">
        <v>67</v>
      </c>
      <c r="U115" t="s">
        <v>64</v>
      </c>
      <c r="V115" t="s">
        <v>180</v>
      </c>
    </row>
    <row r="116" spans="2:22" ht="48">
      <c r="B116" t="s">
        <v>389</v>
      </c>
      <c r="C116" t="s">
        <v>58</v>
      </c>
      <c r="D116" s="1" t="s">
        <v>144</v>
      </c>
      <c r="E116" s="1" t="s">
        <v>399</v>
      </c>
      <c r="F116" s="1"/>
      <c r="G116" s="1" t="s">
        <v>400</v>
      </c>
      <c r="H116" t="s">
        <v>297</v>
      </c>
      <c r="I116" t="s">
        <v>297</v>
      </c>
      <c r="M116" s="1" t="s">
        <v>401</v>
      </c>
      <c r="N116" t="s">
        <v>64</v>
      </c>
      <c r="O116" t="s">
        <v>64</v>
      </c>
      <c r="P116" s="1" t="s">
        <v>65</v>
      </c>
      <c r="Q116">
        <v>2019</v>
      </c>
      <c r="R116">
        <v>2019</v>
      </c>
      <c r="S116">
        <v>2019</v>
      </c>
      <c r="T116" t="s">
        <v>67</v>
      </c>
      <c r="U116" t="s">
        <v>64</v>
      </c>
      <c r="V116" t="s">
        <v>180</v>
      </c>
    </row>
    <row r="117" spans="2:22" ht="48">
      <c r="B117" t="s">
        <v>389</v>
      </c>
      <c r="C117" t="s">
        <v>58</v>
      </c>
      <c r="D117" s="1" t="s">
        <v>144</v>
      </c>
      <c r="E117" s="1" t="s">
        <v>402</v>
      </c>
      <c r="F117" s="1"/>
      <c r="G117" s="1" t="s">
        <v>400</v>
      </c>
      <c r="H117" t="s">
        <v>394</v>
      </c>
      <c r="I117" t="s">
        <v>395</v>
      </c>
      <c r="M117" s="1" t="s">
        <v>401</v>
      </c>
      <c r="N117" t="s">
        <v>64</v>
      </c>
      <c r="O117" t="s">
        <v>64</v>
      </c>
      <c r="P117" s="1" t="s">
        <v>65</v>
      </c>
      <c r="Q117">
        <v>2019</v>
      </c>
      <c r="R117">
        <v>2019</v>
      </c>
      <c r="S117">
        <v>2019</v>
      </c>
      <c r="T117" t="s">
        <v>67</v>
      </c>
      <c r="U117" t="s">
        <v>64</v>
      </c>
      <c r="V117" t="s">
        <v>180</v>
      </c>
    </row>
    <row r="118" spans="2:22" ht="48">
      <c r="B118" t="s">
        <v>389</v>
      </c>
      <c r="C118" t="s">
        <v>58</v>
      </c>
      <c r="D118" s="1" t="s">
        <v>144</v>
      </c>
      <c r="E118" s="1" t="s">
        <v>403</v>
      </c>
      <c r="F118" s="1"/>
      <c r="G118" s="1" t="s">
        <v>404</v>
      </c>
      <c r="H118" t="s">
        <v>297</v>
      </c>
      <c r="I118" t="s">
        <v>297</v>
      </c>
      <c r="K118" t="s">
        <v>392</v>
      </c>
      <c r="L118" s="35" t="s">
        <v>73</v>
      </c>
      <c r="N118" t="s">
        <v>64</v>
      </c>
      <c r="O118" t="s">
        <v>64</v>
      </c>
      <c r="P118" s="1" t="s">
        <v>65</v>
      </c>
      <c r="Q118" t="s">
        <v>405</v>
      </c>
      <c r="R118">
        <v>2018</v>
      </c>
      <c r="S118">
        <v>2018</v>
      </c>
      <c r="T118" t="s">
        <v>67</v>
      </c>
      <c r="U118" t="s">
        <v>64</v>
      </c>
      <c r="V118" t="s">
        <v>180</v>
      </c>
    </row>
    <row r="119" spans="2:22" ht="48">
      <c r="B119" t="s">
        <v>389</v>
      </c>
      <c r="C119" t="s">
        <v>58</v>
      </c>
      <c r="D119" s="1" t="s">
        <v>144</v>
      </c>
      <c r="E119" s="1" t="s">
        <v>406</v>
      </c>
      <c r="F119" s="1"/>
      <c r="G119" s="1" t="s">
        <v>407</v>
      </c>
      <c r="H119" t="s">
        <v>394</v>
      </c>
      <c r="I119" t="s">
        <v>395</v>
      </c>
      <c r="K119" t="s">
        <v>392</v>
      </c>
      <c r="L119" s="35" t="s">
        <v>73</v>
      </c>
      <c r="N119" t="s">
        <v>64</v>
      </c>
      <c r="O119" t="s">
        <v>64</v>
      </c>
      <c r="P119" s="1" t="s">
        <v>65</v>
      </c>
      <c r="Q119" t="s">
        <v>408</v>
      </c>
      <c r="R119">
        <v>2020</v>
      </c>
      <c r="S119">
        <v>2020</v>
      </c>
      <c r="T119" t="s">
        <v>67</v>
      </c>
      <c r="U119" t="s">
        <v>64</v>
      </c>
      <c r="V119" t="s">
        <v>180</v>
      </c>
    </row>
    <row r="120" spans="2:22" ht="48">
      <c r="B120" t="s">
        <v>389</v>
      </c>
      <c r="C120" t="s">
        <v>58</v>
      </c>
      <c r="D120" s="1" t="s">
        <v>144</v>
      </c>
      <c r="E120" s="1" t="s">
        <v>409</v>
      </c>
      <c r="F120" s="1"/>
      <c r="G120" s="28" t="s">
        <v>410</v>
      </c>
      <c r="H120" t="s">
        <v>297</v>
      </c>
      <c r="I120" t="s">
        <v>297</v>
      </c>
      <c r="K120" t="s">
        <v>392</v>
      </c>
      <c r="L120" s="35" t="s">
        <v>73</v>
      </c>
      <c r="N120" t="s">
        <v>64</v>
      </c>
      <c r="O120" t="s">
        <v>64</v>
      </c>
      <c r="P120" s="1" t="s">
        <v>65</v>
      </c>
      <c r="Q120" t="s">
        <v>411</v>
      </c>
      <c r="R120">
        <v>2019</v>
      </c>
      <c r="S120">
        <v>2019</v>
      </c>
      <c r="T120" t="s">
        <v>67</v>
      </c>
      <c r="U120" t="s">
        <v>64</v>
      </c>
      <c r="V120" t="s">
        <v>180</v>
      </c>
    </row>
    <row r="121" spans="2:22" ht="48">
      <c r="B121" t="s">
        <v>389</v>
      </c>
      <c r="C121" t="s">
        <v>58</v>
      </c>
      <c r="D121" s="1" t="s">
        <v>144</v>
      </c>
      <c r="E121" s="1" t="s">
        <v>412</v>
      </c>
      <c r="F121" s="1"/>
      <c r="G121" s="28" t="s">
        <v>413</v>
      </c>
      <c r="H121" t="s">
        <v>394</v>
      </c>
      <c r="I121" t="s">
        <v>395</v>
      </c>
      <c r="K121" t="s">
        <v>392</v>
      </c>
      <c r="L121" s="35" t="s">
        <v>73</v>
      </c>
      <c r="N121" t="s">
        <v>64</v>
      </c>
      <c r="O121" t="s">
        <v>64</v>
      </c>
      <c r="P121" s="1" t="s">
        <v>65</v>
      </c>
      <c r="Q121" t="s">
        <v>408</v>
      </c>
      <c r="R121">
        <v>2020</v>
      </c>
      <c r="S121">
        <v>2020</v>
      </c>
      <c r="T121" t="s">
        <v>67</v>
      </c>
      <c r="U121" t="s">
        <v>64</v>
      </c>
      <c r="V121" t="s">
        <v>180</v>
      </c>
    </row>
    <row r="122" spans="2:22" ht="45" customHeight="1">
      <c r="B122" t="s">
        <v>389</v>
      </c>
      <c r="C122" t="s">
        <v>58</v>
      </c>
      <c r="D122" s="1" t="s">
        <v>144</v>
      </c>
      <c r="E122" t="s">
        <v>414</v>
      </c>
      <c r="G122" s="1" t="s">
        <v>415</v>
      </c>
      <c r="H122" t="s">
        <v>297</v>
      </c>
      <c r="I122" t="s">
        <v>297</v>
      </c>
      <c r="K122" t="s">
        <v>392</v>
      </c>
      <c r="L122" s="35" t="s">
        <v>73</v>
      </c>
      <c r="N122" t="s">
        <v>64</v>
      </c>
      <c r="O122" t="s">
        <v>64</v>
      </c>
      <c r="P122" s="1" t="s">
        <v>65</v>
      </c>
      <c r="Q122" t="s">
        <v>411</v>
      </c>
      <c r="R122">
        <v>2019</v>
      </c>
      <c r="S122">
        <v>2019</v>
      </c>
      <c r="T122" t="s">
        <v>67</v>
      </c>
      <c r="U122" t="s">
        <v>64</v>
      </c>
      <c r="V122" t="s">
        <v>180</v>
      </c>
    </row>
    <row r="123" spans="2:22" ht="45.75" customHeight="1">
      <c r="B123" t="s">
        <v>389</v>
      </c>
      <c r="C123" t="s">
        <v>58</v>
      </c>
      <c r="D123" s="1" t="s">
        <v>144</v>
      </c>
      <c r="E123" t="s">
        <v>416</v>
      </c>
      <c r="G123" s="1" t="s">
        <v>415</v>
      </c>
      <c r="H123" t="s">
        <v>394</v>
      </c>
      <c r="I123" t="s">
        <v>395</v>
      </c>
      <c r="K123" t="s">
        <v>392</v>
      </c>
      <c r="L123" s="35" t="s">
        <v>73</v>
      </c>
      <c r="N123" t="s">
        <v>64</v>
      </c>
      <c r="O123" t="s">
        <v>64</v>
      </c>
      <c r="P123" s="1" t="s">
        <v>65</v>
      </c>
      <c r="Q123" t="s">
        <v>417</v>
      </c>
      <c r="R123">
        <v>2021</v>
      </c>
      <c r="S123">
        <v>2021</v>
      </c>
      <c r="T123" t="s">
        <v>67</v>
      </c>
      <c r="U123" t="s">
        <v>64</v>
      </c>
      <c r="V123" t="s">
        <v>180</v>
      </c>
    </row>
    <row r="124" spans="2:22" ht="48">
      <c r="B124" t="s">
        <v>389</v>
      </c>
      <c r="C124" t="s">
        <v>58</v>
      </c>
      <c r="D124" s="1" t="s">
        <v>144</v>
      </c>
      <c r="E124" t="s">
        <v>418</v>
      </c>
      <c r="G124" s="1" t="s">
        <v>419</v>
      </c>
      <c r="H124" t="s">
        <v>394</v>
      </c>
      <c r="I124" t="s">
        <v>395</v>
      </c>
      <c r="K124" t="s">
        <v>392</v>
      </c>
      <c r="L124" s="35" t="s">
        <v>73</v>
      </c>
      <c r="N124" t="s">
        <v>64</v>
      </c>
      <c r="O124" t="s">
        <v>64</v>
      </c>
      <c r="P124" s="1" t="s">
        <v>65</v>
      </c>
      <c r="Q124" t="s">
        <v>417</v>
      </c>
      <c r="R124">
        <v>2021</v>
      </c>
      <c r="S124">
        <v>2021</v>
      </c>
      <c r="T124" t="s">
        <v>67</v>
      </c>
      <c r="U124" t="s">
        <v>64</v>
      </c>
      <c r="V124" t="s">
        <v>180</v>
      </c>
    </row>
    <row r="125" spans="2:22" ht="44.25" customHeight="1">
      <c r="B125" t="s">
        <v>389</v>
      </c>
      <c r="C125" t="s">
        <v>58</v>
      </c>
      <c r="D125" s="1" t="s">
        <v>144</v>
      </c>
      <c r="E125" t="s">
        <v>420</v>
      </c>
      <c r="G125" t="s">
        <v>421</v>
      </c>
      <c r="H125" t="s">
        <v>394</v>
      </c>
      <c r="I125" t="s">
        <v>395</v>
      </c>
      <c r="K125" t="s">
        <v>392</v>
      </c>
      <c r="L125" s="35" t="s">
        <v>73</v>
      </c>
      <c r="N125" t="s">
        <v>64</v>
      </c>
      <c r="O125" t="s">
        <v>64</v>
      </c>
      <c r="P125" s="1" t="s">
        <v>65</v>
      </c>
      <c r="Q125">
        <v>2020</v>
      </c>
      <c r="R125">
        <v>2020</v>
      </c>
      <c r="S125">
        <v>2020</v>
      </c>
      <c r="T125" t="s">
        <v>67</v>
      </c>
      <c r="U125" t="s">
        <v>64</v>
      </c>
      <c r="V125" t="s">
        <v>180</v>
      </c>
    </row>
    <row r="126" spans="2:22" ht="48">
      <c r="B126" t="s">
        <v>389</v>
      </c>
      <c r="C126" t="s">
        <v>127</v>
      </c>
      <c r="D126" s="1" t="s">
        <v>144</v>
      </c>
      <c r="E126" s="1" t="s">
        <v>422</v>
      </c>
      <c r="F126" s="1"/>
      <c r="G126" s="1" t="s">
        <v>423</v>
      </c>
      <c r="H126" t="s">
        <v>297</v>
      </c>
      <c r="I126" t="s">
        <v>297</v>
      </c>
      <c r="M126" s="35" t="s">
        <v>424</v>
      </c>
      <c r="N126" t="s">
        <v>64</v>
      </c>
      <c r="O126" t="s">
        <v>64</v>
      </c>
      <c r="P126" s="1" t="s">
        <v>65</v>
      </c>
      <c r="U126" t="s">
        <v>64</v>
      </c>
      <c r="V126" t="s">
        <v>180</v>
      </c>
    </row>
    <row r="127" spans="2:22" ht="48">
      <c r="B127" t="s">
        <v>389</v>
      </c>
      <c r="C127" t="s">
        <v>127</v>
      </c>
      <c r="D127" s="1" t="s">
        <v>144</v>
      </c>
      <c r="E127" s="1" t="s">
        <v>425</v>
      </c>
      <c r="F127" s="1"/>
      <c r="G127" s="1" t="s">
        <v>423</v>
      </c>
      <c r="H127" t="s">
        <v>394</v>
      </c>
      <c r="I127" t="s">
        <v>395</v>
      </c>
      <c r="M127" s="35" t="s">
        <v>424</v>
      </c>
      <c r="N127" t="s">
        <v>64</v>
      </c>
      <c r="O127" t="s">
        <v>64</v>
      </c>
      <c r="P127" s="1" t="s">
        <v>65</v>
      </c>
      <c r="U127" t="s">
        <v>64</v>
      </c>
      <c r="V127" t="s">
        <v>180</v>
      </c>
    </row>
    <row r="128" spans="2:22" ht="192">
      <c r="B128" t="s">
        <v>389</v>
      </c>
      <c r="C128" t="s">
        <v>58</v>
      </c>
      <c r="D128" s="1" t="s">
        <v>426</v>
      </c>
      <c r="E128" t="s">
        <v>427</v>
      </c>
      <c r="F128" s="21" t="s">
        <v>428</v>
      </c>
      <c r="G128" s="1" t="s">
        <v>429</v>
      </c>
      <c r="H128" t="s">
        <v>430</v>
      </c>
      <c r="I128" t="s">
        <v>431</v>
      </c>
      <c r="K128" s="1" t="s">
        <v>432</v>
      </c>
      <c r="L128" s="1" t="s">
        <v>433</v>
      </c>
      <c r="N128" t="s">
        <v>67</v>
      </c>
      <c r="O128" t="s">
        <v>67</v>
      </c>
      <c r="P128" s="1" t="s">
        <v>65</v>
      </c>
      <c r="Q128">
        <v>2021</v>
      </c>
      <c r="R128">
        <v>2021</v>
      </c>
      <c r="S128">
        <v>2021</v>
      </c>
      <c r="T128" t="s">
        <v>67</v>
      </c>
      <c r="U128" t="s">
        <v>64</v>
      </c>
      <c r="V128" t="s">
        <v>180</v>
      </c>
    </row>
    <row r="129" spans="2:22" ht="111.95">
      <c r="B129" t="s">
        <v>389</v>
      </c>
      <c r="C129" t="s">
        <v>58</v>
      </c>
      <c r="D129" s="1" t="s">
        <v>426</v>
      </c>
      <c r="E129" t="s">
        <v>434</v>
      </c>
      <c r="F129" s="21" t="s">
        <v>435</v>
      </c>
      <c r="G129" s="1" t="s">
        <v>436</v>
      </c>
      <c r="H129" s="1" t="s">
        <v>437</v>
      </c>
      <c r="I129" s="1" t="s">
        <v>438</v>
      </c>
      <c r="J129" s="1"/>
      <c r="K129" s="1" t="s">
        <v>439</v>
      </c>
      <c r="L129" s="1" t="s">
        <v>433</v>
      </c>
      <c r="N129" t="s">
        <v>64</v>
      </c>
      <c r="O129" t="s">
        <v>180</v>
      </c>
      <c r="P129" s="1" t="s">
        <v>65</v>
      </c>
      <c r="Q129">
        <v>2018</v>
      </c>
      <c r="R129">
        <v>2018</v>
      </c>
      <c r="S129">
        <v>2018</v>
      </c>
      <c r="T129" t="s">
        <v>64</v>
      </c>
      <c r="U129" t="s">
        <v>64</v>
      </c>
      <c r="V129" t="s">
        <v>64</v>
      </c>
    </row>
    <row r="130" spans="2:22" ht="32.1">
      <c r="B130" t="s">
        <v>389</v>
      </c>
      <c r="C130" t="s">
        <v>58</v>
      </c>
      <c r="D130" s="1" t="s">
        <v>440</v>
      </c>
      <c r="E130" t="s">
        <v>441</v>
      </c>
      <c r="F130" s="21" t="s">
        <v>442</v>
      </c>
      <c r="H130" t="s">
        <v>163</v>
      </c>
      <c r="I130" t="s">
        <v>163</v>
      </c>
      <c r="M130" t="s">
        <v>443</v>
      </c>
      <c r="N130" t="s">
        <v>64</v>
      </c>
      <c r="O130" t="s">
        <v>180</v>
      </c>
      <c r="P130" s="1" t="s">
        <v>65</v>
      </c>
      <c r="Q130" t="s">
        <v>68</v>
      </c>
      <c r="R130" t="s">
        <v>68</v>
      </c>
      <c r="S130" t="s">
        <v>68</v>
      </c>
      <c r="T130" t="s">
        <v>64</v>
      </c>
      <c r="U130" t="s">
        <v>64</v>
      </c>
      <c r="V130" t="s">
        <v>64</v>
      </c>
    </row>
    <row r="131" spans="2:22" ht="32.1">
      <c r="B131" t="s">
        <v>389</v>
      </c>
      <c r="C131" t="s">
        <v>58</v>
      </c>
      <c r="D131" s="1" t="s">
        <v>440</v>
      </c>
      <c r="E131" t="s">
        <v>444</v>
      </c>
      <c r="F131" s="21" t="s">
        <v>445</v>
      </c>
      <c r="H131" t="s">
        <v>446</v>
      </c>
      <c r="I131" t="s">
        <v>447</v>
      </c>
      <c r="M131" t="s">
        <v>443</v>
      </c>
      <c r="N131" t="s">
        <v>64</v>
      </c>
      <c r="O131" t="s">
        <v>180</v>
      </c>
      <c r="P131" s="1" t="s">
        <v>65</v>
      </c>
      <c r="Q131" t="s">
        <v>68</v>
      </c>
      <c r="R131" t="s">
        <v>68</v>
      </c>
      <c r="S131" t="s">
        <v>68</v>
      </c>
      <c r="T131" t="s">
        <v>64</v>
      </c>
      <c r="U131" t="s">
        <v>64</v>
      </c>
      <c r="V131" t="s">
        <v>64</v>
      </c>
    </row>
    <row r="132" spans="2:22" ht="48">
      <c r="B132" t="s">
        <v>389</v>
      </c>
      <c r="C132" t="s">
        <v>58</v>
      </c>
      <c r="D132" s="1" t="s">
        <v>426</v>
      </c>
      <c r="E132" t="s">
        <v>448</v>
      </c>
      <c r="F132" s="21" t="s">
        <v>449</v>
      </c>
      <c r="G132" s="1" t="s">
        <v>450</v>
      </c>
      <c r="H132" t="s">
        <v>430</v>
      </c>
      <c r="I132" s="35" t="s">
        <v>431</v>
      </c>
      <c r="K132" t="s">
        <v>392</v>
      </c>
      <c r="L132" s="35" t="s">
        <v>73</v>
      </c>
      <c r="N132" t="s">
        <v>64</v>
      </c>
      <c r="O132" t="s">
        <v>64</v>
      </c>
      <c r="P132" s="1" t="s">
        <v>65</v>
      </c>
      <c r="Q132">
        <v>2020</v>
      </c>
      <c r="R132">
        <v>2020</v>
      </c>
      <c r="S132" t="s">
        <v>112</v>
      </c>
      <c r="T132" t="s">
        <v>67</v>
      </c>
      <c r="U132" t="s">
        <v>64</v>
      </c>
      <c r="V132" t="s">
        <v>180</v>
      </c>
    </row>
    <row r="133" spans="2:22" ht="48">
      <c r="B133" t="s">
        <v>389</v>
      </c>
      <c r="C133" t="s">
        <v>58</v>
      </c>
      <c r="D133" s="1" t="s">
        <v>128</v>
      </c>
      <c r="E133" t="s">
        <v>451</v>
      </c>
      <c r="F133" s="21" t="s">
        <v>452</v>
      </c>
      <c r="G133" s="1" t="s">
        <v>453</v>
      </c>
    </row>
    <row r="134" spans="2:22" ht="48">
      <c r="B134" t="s">
        <v>389</v>
      </c>
      <c r="C134" t="s">
        <v>58</v>
      </c>
      <c r="D134" s="1" t="s">
        <v>59</v>
      </c>
      <c r="E134" s="1" t="s">
        <v>454</v>
      </c>
      <c r="F134" s="1"/>
      <c r="G134" s="1" t="s">
        <v>455</v>
      </c>
      <c r="H134" s="1" t="s">
        <v>456</v>
      </c>
      <c r="I134" s="1" t="s">
        <v>457</v>
      </c>
      <c r="J134" s="1"/>
      <c r="Q134">
        <v>2020</v>
      </c>
      <c r="R134">
        <v>2020</v>
      </c>
      <c r="S134">
        <v>2020</v>
      </c>
    </row>
    <row r="135" spans="2:22" ht="48">
      <c r="B135" t="s">
        <v>389</v>
      </c>
      <c r="C135" t="s">
        <v>58</v>
      </c>
      <c r="D135" s="1" t="s">
        <v>458</v>
      </c>
      <c r="E135" t="s">
        <v>459</v>
      </c>
      <c r="F135" s="21" t="s">
        <v>460</v>
      </c>
      <c r="N135" t="s">
        <v>64</v>
      </c>
      <c r="O135" t="s">
        <v>64</v>
      </c>
      <c r="P135" s="1" t="s">
        <v>65</v>
      </c>
      <c r="Q135">
        <v>2020</v>
      </c>
      <c r="R135">
        <v>2020</v>
      </c>
      <c r="S135">
        <v>2020</v>
      </c>
      <c r="T135" t="s">
        <v>67</v>
      </c>
      <c r="U135" t="s">
        <v>67</v>
      </c>
      <c r="V135" t="s">
        <v>180</v>
      </c>
    </row>
    <row r="136" spans="2:22" ht="48">
      <c r="B136" t="s">
        <v>389</v>
      </c>
      <c r="C136" t="s">
        <v>58</v>
      </c>
      <c r="D136" s="1" t="s">
        <v>458</v>
      </c>
      <c r="E136" t="s">
        <v>461</v>
      </c>
      <c r="F136" s="21" t="s">
        <v>462</v>
      </c>
      <c r="N136" t="s">
        <v>64</v>
      </c>
      <c r="O136" t="s">
        <v>64</v>
      </c>
      <c r="P136" s="1" t="s">
        <v>65</v>
      </c>
      <c r="Q136">
        <v>2020</v>
      </c>
      <c r="R136">
        <v>2020</v>
      </c>
      <c r="S136">
        <v>2020</v>
      </c>
      <c r="T136" t="s">
        <v>67</v>
      </c>
      <c r="U136" t="s">
        <v>67</v>
      </c>
      <c r="V136" t="s">
        <v>180</v>
      </c>
    </row>
    <row r="137" spans="2:22" ht="32.1">
      <c r="B137" t="s">
        <v>389</v>
      </c>
      <c r="C137" t="s">
        <v>58</v>
      </c>
      <c r="D137" s="1" t="s">
        <v>458</v>
      </c>
      <c r="E137" t="s">
        <v>463</v>
      </c>
      <c r="F137" s="21" t="s">
        <v>464</v>
      </c>
      <c r="N137" t="s">
        <v>64</v>
      </c>
      <c r="O137" t="s">
        <v>64</v>
      </c>
      <c r="P137" s="1" t="s">
        <v>65</v>
      </c>
      <c r="Q137">
        <v>2020</v>
      </c>
      <c r="R137">
        <v>2020</v>
      </c>
      <c r="S137">
        <v>2020</v>
      </c>
      <c r="T137" t="s">
        <v>67</v>
      </c>
      <c r="U137" t="s">
        <v>67</v>
      </c>
      <c r="V137" t="s">
        <v>180</v>
      </c>
    </row>
    <row r="138" spans="2:22" ht="32.1">
      <c r="B138" t="s">
        <v>389</v>
      </c>
      <c r="C138" t="s">
        <v>58</v>
      </c>
      <c r="D138" s="1" t="s">
        <v>458</v>
      </c>
      <c r="E138" s="1" t="s">
        <v>465</v>
      </c>
      <c r="F138" s="1"/>
      <c r="N138" t="s">
        <v>64</v>
      </c>
      <c r="O138" t="s">
        <v>64</v>
      </c>
      <c r="P138" s="1" t="s">
        <v>65</v>
      </c>
      <c r="Q138">
        <v>2010</v>
      </c>
      <c r="R138">
        <v>2010</v>
      </c>
      <c r="S138">
        <v>2010</v>
      </c>
      <c r="T138" t="s">
        <v>67</v>
      </c>
      <c r="U138" t="s">
        <v>67</v>
      </c>
      <c r="V138" t="s">
        <v>180</v>
      </c>
    </row>
    <row r="139" spans="2:22" ht="80.099999999999994">
      <c r="B139" s="1" t="s">
        <v>466</v>
      </c>
      <c r="C139" t="s">
        <v>58</v>
      </c>
      <c r="D139" s="1" t="s">
        <v>440</v>
      </c>
      <c r="E139" t="s">
        <v>467</v>
      </c>
      <c r="F139" s="21" t="s">
        <v>468</v>
      </c>
      <c r="G139" s="1" t="s">
        <v>469</v>
      </c>
      <c r="H139" t="s">
        <v>470</v>
      </c>
      <c r="I139" t="s">
        <v>471</v>
      </c>
      <c r="K139" s="1" t="s">
        <v>472</v>
      </c>
      <c r="L139" s="1" t="s">
        <v>433</v>
      </c>
    </row>
    <row r="140" spans="2:22" ht="255.95">
      <c r="B140" s="1" t="s">
        <v>466</v>
      </c>
      <c r="C140" t="s">
        <v>58</v>
      </c>
      <c r="D140" s="1" t="s">
        <v>440</v>
      </c>
      <c r="E140" s="1" t="s">
        <v>473</v>
      </c>
      <c r="F140" s="21" t="s">
        <v>468</v>
      </c>
      <c r="G140" s="1" t="s">
        <v>474</v>
      </c>
      <c r="H140" t="s">
        <v>475</v>
      </c>
      <c r="I140" t="s">
        <v>476</v>
      </c>
      <c r="K140" s="1" t="s">
        <v>472</v>
      </c>
      <c r="L140" s="1" t="s">
        <v>433</v>
      </c>
      <c r="N140" t="s">
        <v>64</v>
      </c>
      <c r="O140" t="s">
        <v>64</v>
      </c>
      <c r="P140" s="1" t="s">
        <v>65</v>
      </c>
      <c r="Q140">
        <v>2021</v>
      </c>
      <c r="R140">
        <v>2021</v>
      </c>
      <c r="S140">
        <v>2021</v>
      </c>
      <c r="T140" t="s">
        <v>64</v>
      </c>
      <c r="U140" t="s">
        <v>64</v>
      </c>
      <c r="V140" t="s">
        <v>64</v>
      </c>
    </row>
    <row r="141" spans="2:22" ht="240">
      <c r="B141" s="1" t="s">
        <v>466</v>
      </c>
      <c r="C141" t="s">
        <v>58</v>
      </c>
      <c r="D141" s="1" t="s">
        <v>128</v>
      </c>
      <c r="E141" s="1" t="s">
        <v>477</v>
      </c>
      <c r="F141" s="21" t="s">
        <v>478</v>
      </c>
      <c r="G141" s="1" t="s">
        <v>479</v>
      </c>
      <c r="H141" t="s">
        <v>480</v>
      </c>
      <c r="I141" t="s">
        <v>481</v>
      </c>
      <c r="K141" s="1" t="s">
        <v>482</v>
      </c>
      <c r="L141" s="35" t="s">
        <v>165</v>
      </c>
      <c r="N141" t="s">
        <v>64</v>
      </c>
      <c r="O141" t="s">
        <v>64</v>
      </c>
      <c r="P141" s="1" t="s">
        <v>65</v>
      </c>
      <c r="Q141">
        <v>2021</v>
      </c>
      <c r="R141">
        <v>2021</v>
      </c>
      <c r="S141">
        <v>2021</v>
      </c>
      <c r="T141" t="s">
        <v>64</v>
      </c>
      <c r="U141" t="s">
        <v>64</v>
      </c>
      <c r="V141" t="s">
        <v>64</v>
      </c>
    </row>
    <row r="142" spans="2:22" ht="111.95">
      <c r="B142" s="1" t="s">
        <v>466</v>
      </c>
      <c r="C142" t="s">
        <v>58</v>
      </c>
      <c r="D142" s="1" t="s">
        <v>275</v>
      </c>
      <c r="E142" s="1" t="s">
        <v>483</v>
      </c>
      <c r="F142" s="21" t="s">
        <v>484</v>
      </c>
      <c r="G142" s="1" t="s">
        <v>485</v>
      </c>
      <c r="H142" t="s">
        <v>486</v>
      </c>
      <c r="I142" t="s">
        <v>486</v>
      </c>
      <c r="K142" s="1" t="s">
        <v>487</v>
      </c>
      <c r="L142" s="23" t="s">
        <v>488</v>
      </c>
      <c r="N142" t="s">
        <v>64</v>
      </c>
      <c r="O142" t="s">
        <v>64</v>
      </c>
      <c r="P142" s="1" t="s">
        <v>65</v>
      </c>
      <c r="Q142">
        <v>2020</v>
      </c>
      <c r="R142">
        <v>2020</v>
      </c>
      <c r="S142" t="s">
        <v>112</v>
      </c>
      <c r="T142" t="s">
        <v>67</v>
      </c>
      <c r="U142" t="s">
        <v>64</v>
      </c>
      <c r="V142" t="s">
        <v>64</v>
      </c>
    </row>
    <row r="143" spans="2:22" ht="128.1">
      <c r="B143" s="1" t="s">
        <v>466</v>
      </c>
      <c r="C143" t="s">
        <v>58</v>
      </c>
      <c r="D143" s="1" t="s">
        <v>275</v>
      </c>
      <c r="E143" s="1" t="s">
        <v>489</v>
      </c>
      <c r="F143" s="21" t="s">
        <v>490</v>
      </c>
      <c r="G143" t="s">
        <v>491</v>
      </c>
      <c r="H143" t="s">
        <v>492</v>
      </c>
      <c r="I143" t="s">
        <v>476</v>
      </c>
      <c r="K143" s="1" t="s">
        <v>487</v>
      </c>
      <c r="L143" s="23" t="s">
        <v>488</v>
      </c>
      <c r="N143" t="s">
        <v>64</v>
      </c>
      <c r="O143" t="s">
        <v>64</v>
      </c>
      <c r="P143" s="1" t="s">
        <v>65</v>
      </c>
      <c r="Q143">
        <v>2020</v>
      </c>
      <c r="R143">
        <v>2020</v>
      </c>
      <c r="S143">
        <v>2020</v>
      </c>
      <c r="T143" t="s">
        <v>64</v>
      </c>
      <c r="U143" t="s">
        <v>64</v>
      </c>
      <c r="V143" t="s">
        <v>67</v>
      </c>
    </row>
    <row r="144" spans="2:22" ht="111.95">
      <c r="B144" s="1" t="s">
        <v>466</v>
      </c>
      <c r="C144" t="s">
        <v>58</v>
      </c>
      <c r="D144" s="1" t="s">
        <v>275</v>
      </c>
      <c r="E144" s="1" t="s">
        <v>493</v>
      </c>
      <c r="F144" s="21" t="s">
        <v>494</v>
      </c>
      <c r="G144" t="s">
        <v>495</v>
      </c>
      <c r="H144" t="s">
        <v>492</v>
      </c>
      <c r="I144" t="s">
        <v>476</v>
      </c>
      <c r="K144" s="1" t="s">
        <v>487</v>
      </c>
      <c r="L144" s="23" t="s">
        <v>488</v>
      </c>
      <c r="N144" t="s">
        <v>64</v>
      </c>
      <c r="O144" t="s">
        <v>64</v>
      </c>
      <c r="P144" s="1" t="s">
        <v>65</v>
      </c>
      <c r="Q144">
        <v>2020</v>
      </c>
      <c r="R144">
        <v>2020</v>
      </c>
      <c r="S144">
        <v>2020</v>
      </c>
      <c r="T144" t="s">
        <v>64</v>
      </c>
      <c r="U144" t="s">
        <v>64</v>
      </c>
      <c r="V144" t="s">
        <v>67</v>
      </c>
    </row>
    <row r="145" spans="2:22" ht="80.099999999999994">
      <c r="B145" s="1" t="s">
        <v>466</v>
      </c>
      <c r="C145" t="s">
        <v>58</v>
      </c>
      <c r="D145" s="1" t="s">
        <v>59</v>
      </c>
      <c r="E145" s="1" t="s">
        <v>496</v>
      </c>
      <c r="F145" s="1"/>
      <c r="G145" s="1" t="s">
        <v>485</v>
      </c>
      <c r="H145" t="s">
        <v>486</v>
      </c>
      <c r="I145" t="s">
        <v>486</v>
      </c>
      <c r="K145" s="1" t="s">
        <v>497</v>
      </c>
      <c r="L145" s="23" t="s">
        <v>488</v>
      </c>
      <c r="N145" t="s">
        <v>64</v>
      </c>
      <c r="O145" t="s">
        <v>64</v>
      </c>
      <c r="P145" s="1" t="s">
        <v>65</v>
      </c>
      <c r="Q145">
        <v>2020</v>
      </c>
      <c r="R145">
        <v>2020</v>
      </c>
      <c r="S145" t="s">
        <v>112</v>
      </c>
      <c r="T145" t="s">
        <v>67</v>
      </c>
      <c r="U145" t="s">
        <v>64</v>
      </c>
      <c r="V145" t="s">
        <v>64</v>
      </c>
    </row>
    <row r="146" spans="2:22" ht="96">
      <c r="B146" s="1" t="s">
        <v>466</v>
      </c>
      <c r="C146" t="s">
        <v>58</v>
      </c>
      <c r="D146" s="1" t="s">
        <v>59</v>
      </c>
      <c r="E146" s="1" t="s">
        <v>498</v>
      </c>
      <c r="F146" s="1"/>
      <c r="G146" s="1" t="s">
        <v>499</v>
      </c>
      <c r="H146" t="s">
        <v>500</v>
      </c>
      <c r="I146" t="s">
        <v>501</v>
      </c>
      <c r="K146" s="1" t="s">
        <v>497</v>
      </c>
      <c r="L146" s="23" t="s">
        <v>488</v>
      </c>
      <c r="N146" t="s">
        <v>64</v>
      </c>
      <c r="O146" t="s">
        <v>64</v>
      </c>
      <c r="P146" s="1" t="s">
        <v>65</v>
      </c>
      <c r="Q146">
        <v>2020</v>
      </c>
      <c r="R146">
        <v>2020</v>
      </c>
      <c r="S146" t="s">
        <v>112</v>
      </c>
      <c r="T146" t="s">
        <v>67</v>
      </c>
      <c r="U146" t="s">
        <v>64</v>
      </c>
      <c r="V146" t="s">
        <v>64</v>
      </c>
    </row>
    <row r="147" spans="2:22" ht="80.099999999999994">
      <c r="B147" s="1" t="s">
        <v>466</v>
      </c>
      <c r="C147" t="s">
        <v>58</v>
      </c>
      <c r="D147" s="1" t="s">
        <v>59</v>
      </c>
      <c r="E147" s="1" t="s">
        <v>502</v>
      </c>
      <c r="F147" s="1"/>
      <c r="G147" s="28" t="s">
        <v>503</v>
      </c>
      <c r="H147" t="s">
        <v>470</v>
      </c>
      <c r="I147" t="s">
        <v>471</v>
      </c>
      <c r="K147" s="1" t="s">
        <v>504</v>
      </c>
      <c r="L147" s="1" t="s">
        <v>505</v>
      </c>
      <c r="N147" t="s">
        <v>64</v>
      </c>
      <c r="O147" t="s">
        <v>64</v>
      </c>
      <c r="P147" s="1" t="s">
        <v>65</v>
      </c>
      <c r="Q147">
        <v>2020</v>
      </c>
      <c r="R147">
        <v>2020</v>
      </c>
      <c r="S147" t="s">
        <v>112</v>
      </c>
      <c r="T147" t="s">
        <v>67</v>
      </c>
      <c r="U147" t="s">
        <v>64</v>
      </c>
      <c r="V147" t="s">
        <v>64</v>
      </c>
    </row>
    <row r="148" spans="2:22" ht="63.95">
      <c r="B148" s="1" t="s">
        <v>466</v>
      </c>
      <c r="C148" t="s">
        <v>58</v>
      </c>
      <c r="D148" s="1" t="s">
        <v>59</v>
      </c>
      <c r="E148" s="1" t="s">
        <v>506</v>
      </c>
      <c r="F148" s="1"/>
      <c r="G148" t="s">
        <v>507</v>
      </c>
      <c r="H148" t="s">
        <v>470</v>
      </c>
      <c r="I148" t="s">
        <v>471</v>
      </c>
      <c r="K148" s="1" t="s">
        <v>487</v>
      </c>
      <c r="L148" s="23" t="s">
        <v>488</v>
      </c>
      <c r="N148" t="s">
        <v>64</v>
      </c>
      <c r="O148" t="s">
        <v>64</v>
      </c>
      <c r="P148" s="1" t="s">
        <v>65</v>
      </c>
      <c r="Q148">
        <v>2020</v>
      </c>
      <c r="R148">
        <v>2020</v>
      </c>
      <c r="S148">
        <v>2020</v>
      </c>
      <c r="T148" t="s">
        <v>64</v>
      </c>
      <c r="U148" t="s">
        <v>64</v>
      </c>
      <c r="V148" t="s">
        <v>67</v>
      </c>
    </row>
    <row r="149" spans="2:22" ht="63.95">
      <c r="B149" s="1" t="s">
        <v>466</v>
      </c>
      <c r="C149" t="s">
        <v>58</v>
      </c>
      <c r="D149" s="1" t="s">
        <v>59</v>
      </c>
      <c r="E149" s="1" t="s">
        <v>508</v>
      </c>
      <c r="F149" s="1"/>
      <c r="G149" s="1" t="s">
        <v>509</v>
      </c>
      <c r="H149" t="s">
        <v>500</v>
      </c>
      <c r="I149" t="s">
        <v>501</v>
      </c>
      <c r="K149" t="s">
        <v>121</v>
      </c>
      <c r="L149" s="23" t="s">
        <v>73</v>
      </c>
      <c r="N149" t="s">
        <v>64</v>
      </c>
      <c r="O149" t="s">
        <v>64</v>
      </c>
      <c r="P149" s="1" t="s">
        <v>65</v>
      </c>
      <c r="Q149">
        <v>2020</v>
      </c>
      <c r="R149">
        <v>2020</v>
      </c>
      <c r="S149" t="s">
        <v>510</v>
      </c>
      <c r="T149" t="s">
        <v>67</v>
      </c>
      <c r="U149" t="s">
        <v>64</v>
      </c>
      <c r="V149" t="s">
        <v>64</v>
      </c>
    </row>
    <row r="150" spans="2:22" ht="176.1">
      <c r="B150" s="1" t="s">
        <v>466</v>
      </c>
      <c r="C150" t="s">
        <v>58</v>
      </c>
      <c r="D150" s="1" t="s">
        <v>59</v>
      </c>
      <c r="E150" s="1" t="s">
        <v>511</v>
      </c>
      <c r="F150" s="1"/>
      <c r="G150" s="1" t="s">
        <v>512</v>
      </c>
      <c r="H150" t="s">
        <v>470</v>
      </c>
      <c r="I150" t="s">
        <v>471</v>
      </c>
      <c r="K150" s="1" t="s">
        <v>487</v>
      </c>
      <c r="L150" s="23" t="s">
        <v>488</v>
      </c>
      <c r="N150" t="s">
        <v>64</v>
      </c>
      <c r="O150" t="s">
        <v>64</v>
      </c>
      <c r="P150" s="1" t="s">
        <v>65</v>
      </c>
      <c r="Q150">
        <v>2020</v>
      </c>
      <c r="R150">
        <v>2020</v>
      </c>
      <c r="S150">
        <v>2020</v>
      </c>
      <c r="T150" t="s">
        <v>64</v>
      </c>
      <c r="U150" t="s">
        <v>64</v>
      </c>
      <c r="V150" t="s">
        <v>64</v>
      </c>
    </row>
    <row r="151" spans="2:22" ht="63.95">
      <c r="B151" s="1" t="s">
        <v>466</v>
      </c>
      <c r="C151" t="s">
        <v>58</v>
      </c>
      <c r="D151" s="1" t="s">
        <v>59</v>
      </c>
      <c r="E151" s="1" t="s">
        <v>513</v>
      </c>
      <c r="F151" s="1"/>
      <c r="G151" s="73" t="s">
        <v>514</v>
      </c>
      <c r="H151" t="s">
        <v>470</v>
      </c>
      <c r="I151" t="s">
        <v>471</v>
      </c>
      <c r="K151" t="s">
        <v>515</v>
      </c>
      <c r="L151" s="35" t="s">
        <v>516</v>
      </c>
      <c r="N151" t="s">
        <v>64</v>
      </c>
      <c r="O151" t="s">
        <v>64</v>
      </c>
      <c r="P151" s="1" t="s">
        <v>65</v>
      </c>
      <c r="Q151">
        <v>2020</v>
      </c>
      <c r="R151">
        <v>2020</v>
      </c>
      <c r="S151">
        <v>2020</v>
      </c>
      <c r="T151" t="s">
        <v>64</v>
      </c>
      <c r="U151" t="s">
        <v>64</v>
      </c>
      <c r="V151" t="s">
        <v>67</v>
      </c>
    </row>
    <row r="152" spans="2:22" ht="63.95">
      <c r="B152" s="1" t="s">
        <v>466</v>
      </c>
      <c r="C152" t="s">
        <v>58</v>
      </c>
      <c r="D152" s="1" t="s">
        <v>59</v>
      </c>
      <c r="E152" s="1" t="s">
        <v>517</v>
      </c>
      <c r="F152" s="1"/>
      <c r="G152" s="73" t="s">
        <v>514</v>
      </c>
      <c r="H152" t="s">
        <v>518</v>
      </c>
      <c r="I152" t="s">
        <v>519</v>
      </c>
      <c r="K152" t="s">
        <v>515</v>
      </c>
      <c r="L152" s="35" t="s">
        <v>516</v>
      </c>
      <c r="N152" t="s">
        <v>64</v>
      </c>
      <c r="O152" t="s">
        <v>64</v>
      </c>
      <c r="P152" s="1" t="s">
        <v>65</v>
      </c>
      <c r="Q152">
        <v>2020</v>
      </c>
      <c r="R152">
        <v>2020</v>
      </c>
      <c r="S152">
        <v>2020</v>
      </c>
      <c r="T152" t="s">
        <v>64</v>
      </c>
      <c r="U152" t="s">
        <v>64</v>
      </c>
      <c r="V152" t="s">
        <v>67</v>
      </c>
    </row>
    <row r="153" spans="2:22" ht="63.95">
      <c r="B153" s="1" t="s">
        <v>466</v>
      </c>
      <c r="C153" t="s">
        <v>58</v>
      </c>
      <c r="D153" s="1" t="s">
        <v>59</v>
      </c>
      <c r="E153" s="1" t="s">
        <v>520</v>
      </c>
      <c r="F153" s="1"/>
      <c r="G153" s="73" t="s">
        <v>514</v>
      </c>
      <c r="H153" t="s">
        <v>521</v>
      </c>
      <c r="I153" t="s">
        <v>522</v>
      </c>
      <c r="K153" t="s">
        <v>515</v>
      </c>
      <c r="L153" s="35" t="s">
        <v>516</v>
      </c>
      <c r="N153" t="s">
        <v>64</v>
      </c>
      <c r="O153" t="s">
        <v>64</v>
      </c>
      <c r="P153" s="1" t="s">
        <v>65</v>
      </c>
      <c r="Q153">
        <v>2020</v>
      </c>
      <c r="R153">
        <v>2020</v>
      </c>
      <c r="S153">
        <v>2020</v>
      </c>
      <c r="T153" t="s">
        <v>64</v>
      </c>
      <c r="U153" t="s">
        <v>64</v>
      </c>
      <c r="V153" t="s">
        <v>67</v>
      </c>
    </row>
    <row r="154" spans="2:22" ht="48">
      <c r="B154" s="1" t="s">
        <v>466</v>
      </c>
      <c r="C154" t="s">
        <v>58</v>
      </c>
      <c r="D154" s="1" t="s">
        <v>523</v>
      </c>
      <c r="E154" t="s">
        <v>524</v>
      </c>
      <c r="F154" s="21" t="s">
        <v>525</v>
      </c>
      <c r="H154" t="s">
        <v>526</v>
      </c>
      <c r="I154" t="s">
        <v>527</v>
      </c>
      <c r="K154" t="s">
        <v>515</v>
      </c>
      <c r="L154" s="35" t="s">
        <v>516</v>
      </c>
      <c r="N154" t="s">
        <v>64</v>
      </c>
      <c r="O154" t="s">
        <v>64</v>
      </c>
      <c r="P154" s="1" t="s">
        <v>65</v>
      </c>
      <c r="Q154">
        <v>2020</v>
      </c>
      <c r="R154">
        <v>2020</v>
      </c>
      <c r="S154">
        <v>2020</v>
      </c>
      <c r="T154" t="s">
        <v>64</v>
      </c>
      <c r="U154" t="s">
        <v>64</v>
      </c>
      <c r="V154" t="s">
        <v>64</v>
      </c>
    </row>
    <row r="155" spans="2:22" ht="48">
      <c r="B155" s="1" t="s">
        <v>466</v>
      </c>
      <c r="C155" t="s">
        <v>58</v>
      </c>
      <c r="D155" s="1" t="s">
        <v>523</v>
      </c>
      <c r="E155" t="s">
        <v>528</v>
      </c>
      <c r="F155" s="21" t="s">
        <v>529</v>
      </c>
      <c r="H155" t="s">
        <v>530</v>
      </c>
      <c r="I155" t="s">
        <v>531</v>
      </c>
      <c r="K155" t="s">
        <v>515</v>
      </c>
      <c r="L155" s="35" t="s">
        <v>516</v>
      </c>
      <c r="N155" t="s">
        <v>64</v>
      </c>
      <c r="O155" t="s">
        <v>64</v>
      </c>
      <c r="P155" s="1" t="s">
        <v>65</v>
      </c>
      <c r="Q155">
        <v>2020</v>
      </c>
      <c r="R155">
        <v>2020</v>
      </c>
      <c r="S155">
        <v>2020</v>
      </c>
      <c r="T155" t="s">
        <v>64</v>
      </c>
      <c r="U155" t="s">
        <v>64</v>
      </c>
      <c r="V155" t="s">
        <v>64</v>
      </c>
    </row>
    <row r="156" spans="2:22" ht="63.95">
      <c r="B156" s="1" t="s">
        <v>466</v>
      </c>
      <c r="C156" t="s">
        <v>58</v>
      </c>
      <c r="D156" s="1" t="s">
        <v>523</v>
      </c>
      <c r="E156" t="s">
        <v>532</v>
      </c>
      <c r="F156" s="21" t="s">
        <v>533</v>
      </c>
      <c r="H156" s="1" t="s">
        <v>534</v>
      </c>
      <c r="I156" s="1" t="s">
        <v>535</v>
      </c>
      <c r="J156" s="1"/>
      <c r="K156" t="s">
        <v>515</v>
      </c>
      <c r="L156" s="35" t="s">
        <v>516</v>
      </c>
      <c r="N156" t="s">
        <v>64</v>
      </c>
      <c r="O156" t="s">
        <v>64</v>
      </c>
      <c r="P156" s="1" t="s">
        <v>65</v>
      </c>
      <c r="Q156">
        <v>2020</v>
      </c>
      <c r="R156">
        <v>2020</v>
      </c>
      <c r="S156">
        <v>2020</v>
      </c>
      <c r="T156" t="s">
        <v>64</v>
      </c>
      <c r="U156" t="s">
        <v>64</v>
      </c>
      <c r="V156" t="s">
        <v>64</v>
      </c>
    </row>
    <row r="157" spans="2:22" ht="32.1">
      <c r="B157" s="1" t="s">
        <v>466</v>
      </c>
      <c r="C157" t="s">
        <v>58</v>
      </c>
      <c r="D157" s="1" t="s">
        <v>128</v>
      </c>
      <c r="E157" t="s">
        <v>536</v>
      </c>
      <c r="F157" s="21" t="s">
        <v>537</v>
      </c>
      <c r="N157" t="s">
        <v>64</v>
      </c>
      <c r="O157" t="s">
        <v>64</v>
      </c>
      <c r="P157" s="1" t="s">
        <v>65</v>
      </c>
      <c r="Q157">
        <v>2023</v>
      </c>
      <c r="R157">
        <v>2023</v>
      </c>
      <c r="S157">
        <v>2023</v>
      </c>
      <c r="T157" t="s">
        <v>67</v>
      </c>
      <c r="U157" t="s">
        <v>64</v>
      </c>
      <c r="V157" t="s">
        <v>64</v>
      </c>
    </row>
    <row r="158" spans="2:22" ht="80.099999999999994">
      <c r="B158" s="1" t="s">
        <v>466</v>
      </c>
      <c r="C158" t="s">
        <v>127</v>
      </c>
      <c r="D158" s="1" t="s">
        <v>59</v>
      </c>
      <c r="E158" s="1" t="s">
        <v>538</v>
      </c>
      <c r="F158" s="1"/>
      <c r="G158" s="1" t="s">
        <v>539</v>
      </c>
      <c r="H158" s="28" t="s">
        <v>540</v>
      </c>
      <c r="I158" s="28" t="s">
        <v>540</v>
      </c>
      <c r="J158" s="28"/>
      <c r="K158" t="s">
        <v>392</v>
      </c>
      <c r="L158" s="35" t="s">
        <v>73</v>
      </c>
      <c r="M158" s="1" t="s">
        <v>541</v>
      </c>
      <c r="N158" t="s">
        <v>64</v>
      </c>
      <c r="O158" t="s">
        <v>64</v>
      </c>
      <c r="P158" s="1" t="s">
        <v>65</v>
      </c>
      <c r="T158" t="s">
        <v>64</v>
      </c>
      <c r="U158" t="s">
        <v>64</v>
      </c>
      <c r="V158" t="s">
        <v>64</v>
      </c>
    </row>
    <row r="159" spans="2:22" ht="80.099999999999994">
      <c r="B159" s="1" t="s">
        <v>466</v>
      </c>
      <c r="C159" t="s">
        <v>127</v>
      </c>
      <c r="D159" s="1" t="s">
        <v>59</v>
      </c>
      <c r="E159" s="1" t="s">
        <v>542</v>
      </c>
      <c r="F159" s="1"/>
      <c r="G159" s="1" t="s">
        <v>543</v>
      </c>
      <c r="H159" s="28" t="s">
        <v>540</v>
      </c>
      <c r="I159" s="28" t="s">
        <v>540</v>
      </c>
      <c r="J159" s="28"/>
      <c r="K159" t="s">
        <v>392</v>
      </c>
      <c r="L159" s="35" t="s">
        <v>73</v>
      </c>
      <c r="M159" s="1" t="s">
        <v>541</v>
      </c>
      <c r="N159" t="s">
        <v>64</v>
      </c>
      <c r="O159" t="s">
        <v>64</v>
      </c>
      <c r="P159" s="1" t="s">
        <v>65</v>
      </c>
      <c r="T159" t="s">
        <v>64</v>
      </c>
      <c r="U159" t="s">
        <v>64</v>
      </c>
      <c r="V159" t="s">
        <v>64</v>
      </c>
    </row>
    <row r="160" spans="2:22" ht="80.099999999999994">
      <c r="B160" s="1" t="s">
        <v>466</v>
      </c>
      <c r="C160" t="s">
        <v>127</v>
      </c>
      <c r="D160" s="1" t="s">
        <v>59</v>
      </c>
      <c r="E160" s="1" t="s">
        <v>544</v>
      </c>
      <c r="F160" s="1"/>
      <c r="G160" s="1" t="s">
        <v>545</v>
      </c>
      <c r="H160" t="s">
        <v>500</v>
      </c>
      <c r="I160" t="s">
        <v>501</v>
      </c>
      <c r="K160" t="s">
        <v>392</v>
      </c>
      <c r="L160" s="35" t="s">
        <v>73</v>
      </c>
      <c r="M160" s="1" t="s">
        <v>541</v>
      </c>
      <c r="N160" t="s">
        <v>64</v>
      </c>
      <c r="O160" t="s">
        <v>64</v>
      </c>
      <c r="P160" s="1" t="s">
        <v>65</v>
      </c>
      <c r="T160" t="s">
        <v>64</v>
      </c>
      <c r="U160" t="s">
        <v>64</v>
      </c>
      <c r="V160" t="s">
        <v>64</v>
      </c>
    </row>
    <row r="161" spans="2:22" ht="80.099999999999994">
      <c r="B161" s="1" t="s">
        <v>466</v>
      </c>
      <c r="C161" t="s">
        <v>127</v>
      </c>
      <c r="D161" s="1" t="s">
        <v>59</v>
      </c>
      <c r="E161" s="1" t="s">
        <v>546</v>
      </c>
      <c r="F161" s="1"/>
      <c r="G161" s="1" t="s">
        <v>547</v>
      </c>
      <c r="H161" t="s">
        <v>500</v>
      </c>
      <c r="I161" t="s">
        <v>501</v>
      </c>
      <c r="K161" t="s">
        <v>392</v>
      </c>
      <c r="L161" s="35" t="s">
        <v>73</v>
      </c>
      <c r="M161" s="1" t="s">
        <v>541</v>
      </c>
      <c r="N161" t="s">
        <v>64</v>
      </c>
      <c r="O161" t="s">
        <v>64</v>
      </c>
      <c r="P161" s="1" t="s">
        <v>65</v>
      </c>
      <c r="T161" t="s">
        <v>64</v>
      </c>
      <c r="U161" t="s">
        <v>64</v>
      </c>
      <c r="V161" t="s">
        <v>64</v>
      </c>
    </row>
    <row r="162" spans="2:22" ht="63.95">
      <c r="B162" s="1" t="s">
        <v>466</v>
      </c>
      <c r="C162" t="s">
        <v>127</v>
      </c>
      <c r="D162" s="1" t="s">
        <v>59</v>
      </c>
      <c r="E162" s="1" t="s">
        <v>548</v>
      </c>
      <c r="F162" s="1"/>
      <c r="G162" s="1" t="s">
        <v>549</v>
      </c>
      <c r="H162" t="s">
        <v>500</v>
      </c>
      <c r="I162" t="s">
        <v>501</v>
      </c>
      <c r="M162" s="1"/>
      <c r="N162" t="s">
        <v>64</v>
      </c>
      <c r="O162" t="s">
        <v>64</v>
      </c>
      <c r="P162" s="1" t="s">
        <v>65</v>
      </c>
      <c r="T162" t="s">
        <v>64</v>
      </c>
      <c r="U162" t="s">
        <v>64</v>
      </c>
      <c r="V162" t="s">
        <v>67</v>
      </c>
    </row>
    <row r="163" spans="2:22" ht="80.099999999999994">
      <c r="B163" s="1" t="s">
        <v>466</v>
      </c>
      <c r="C163" t="s">
        <v>127</v>
      </c>
      <c r="D163" s="1" t="s">
        <v>275</v>
      </c>
      <c r="E163" s="1" t="s">
        <v>550</v>
      </c>
      <c r="F163" s="21" t="s">
        <v>551</v>
      </c>
      <c r="G163" t="s">
        <v>552</v>
      </c>
      <c r="H163" s="1" t="s">
        <v>553</v>
      </c>
      <c r="I163" s="28" t="s">
        <v>540</v>
      </c>
      <c r="J163" s="1"/>
      <c r="N163" t="s">
        <v>64</v>
      </c>
      <c r="O163" t="s">
        <v>64</v>
      </c>
      <c r="P163" s="1" t="s">
        <v>65</v>
      </c>
      <c r="Q163">
        <v>2015</v>
      </c>
      <c r="R163">
        <v>2015</v>
      </c>
      <c r="S163">
        <v>2015</v>
      </c>
      <c r="T163" t="s">
        <v>64</v>
      </c>
      <c r="U163" t="s">
        <v>64</v>
      </c>
      <c r="V163" t="s">
        <v>67</v>
      </c>
    </row>
    <row r="164" spans="2:22" ht="96">
      <c r="B164" s="1" t="s">
        <v>466</v>
      </c>
      <c r="C164" t="s">
        <v>127</v>
      </c>
      <c r="D164" s="1" t="s">
        <v>275</v>
      </c>
      <c r="E164" s="1" t="s">
        <v>554</v>
      </c>
      <c r="F164" s="21" t="s">
        <v>555</v>
      </c>
      <c r="G164" t="s">
        <v>552</v>
      </c>
      <c r="H164" s="1" t="s">
        <v>553</v>
      </c>
      <c r="I164" s="28" t="s">
        <v>540</v>
      </c>
      <c r="J164" s="1"/>
      <c r="N164" t="s">
        <v>64</v>
      </c>
      <c r="O164" t="s">
        <v>64</v>
      </c>
      <c r="P164" s="1" t="s">
        <v>65</v>
      </c>
      <c r="Q164">
        <v>2015</v>
      </c>
      <c r="R164">
        <v>2015</v>
      </c>
      <c r="S164">
        <v>2015</v>
      </c>
      <c r="T164" t="s">
        <v>64</v>
      </c>
      <c r="U164" t="s">
        <v>64</v>
      </c>
      <c r="V164" t="s">
        <v>67</v>
      </c>
    </row>
    <row r="165" spans="2:22" ht="96">
      <c r="B165" s="1" t="s">
        <v>466</v>
      </c>
      <c r="C165" t="s">
        <v>127</v>
      </c>
      <c r="D165" s="1" t="s">
        <v>275</v>
      </c>
      <c r="E165" s="1" t="s">
        <v>556</v>
      </c>
      <c r="F165" s="21" t="s">
        <v>557</v>
      </c>
      <c r="G165" t="s">
        <v>552</v>
      </c>
      <c r="H165" s="1" t="s">
        <v>553</v>
      </c>
      <c r="I165" s="28" t="s">
        <v>540</v>
      </c>
      <c r="J165" s="1"/>
      <c r="N165" t="s">
        <v>64</v>
      </c>
      <c r="O165" t="s">
        <v>64</v>
      </c>
      <c r="P165" s="1" t="s">
        <v>65</v>
      </c>
      <c r="Q165">
        <v>2015</v>
      </c>
      <c r="R165">
        <v>2015</v>
      </c>
      <c r="S165">
        <v>2015</v>
      </c>
      <c r="T165" t="s">
        <v>64</v>
      </c>
      <c r="U165" t="s">
        <v>64</v>
      </c>
      <c r="V165" t="s">
        <v>67</v>
      </c>
    </row>
    <row r="166" spans="2:22" ht="96">
      <c r="B166" s="1" t="s">
        <v>466</v>
      </c>
      <c r="C166" t="s">
        <v>127</v>
      </c>
      <c r="D166" s="1" t="s">
        <v>275</v>
      </c>
      <c r="E166" s="1" t="s">
        <v>558</v>
      </c>
      <c r="F166" s="21" t="s">
        <v>559</v>
      </c>
      <c r="G166" t="s">
        <v>552</v>
      </c>
      <c r="H166" s="1" t="s">
        <v>553</v>
      </c>
      <c r="I166" s="28" t="s">
        <v>540</v>
      </c>
      <c r="J166" s="1"/>
      <c r="N166" t="s">
        <v>64</v>
      </c>
      <c r="O166" t="s">
        <v>64</v>
      </c>
      <c r="P166" s="1" t="s">
        <v>65</v>
      </c>
      <c r="Q166">
        <v>2015</v>
      </c>
      <c r="R166">
        <v>2015</v>
      </c>
      <c r="S166">
        <v>2015</v>
      </c>
      <c r="T166" t="s">
        <v>64</v>
      </c>
      <c r="U166" t="s">
        <v>64</v>
      </c>
      <c r="V166" t="s">
        <v>67</v>
      </c>
    </row>
    <row r="167" spans="2:22" ht="96">
      <c r="B167" s="1" t="s">
        <v>466</v>
      </c>
      <c r="C167" t="s">
        <v>127</v>
      </c>
      <c r="D167" s="1" t="s">
        <v>275</v>
      </c>
      <c r="E167" s="1" t="s">
        <v>560</v>
      </c>
      <c r="F167" s="21" t="s">
        <v>561</v>
      </c>
      <c r="G167" t="s">
        <v>552</v>
      </c>
      <c r="H167" s="1" t="s">
        <v>553</v>
      </c>
      <c r="I167" s="28" t="s">
        <v>540</v>
      </c>
      <c r="J167" s="1"/>
      <c r="N167" t="s">
        <v>64</v>
      </c>
      <c r="O167" t="s">
        <v>64</v>
      </c>
      <c r="P167" s="1" t="s">
        <v>65</v>
      </c>
      <c r="Q167">
        <v>2015</v>
      </c>
      <c r="R167">
        <v>2015</v>
      </c>
      <c r="S167">
        <v>2015</v>
      </c>
      <c r="T167" t="s">
        <v>64</v>
      </c>
      <c r="U167" t="s">
        <v>64</v>
      </c>
      <c r="V167" t="s">
        <v>67</v>
      </c>
    </row>
    <row r="168" spans="2:22" ht="128.1">
      <c r="B168" s="1" t="s">
        <v>466</v>
      </c>
      <c r="C168" t="s">
        <v>58</v>
      </c>
      <c r="D168" s="1" t="s">
        <v>59</v>
      </c>
      <c r="E168" s="1" t="s">
        <v>562</v>
      </c>
      <c r="F168" s="1"/>
      <c r="G168" s="1" t="s">
        <v>563</v>
      </c>
      <c r="H168" t="s">
        <v>470</v>
      </c>
      <c r="I168" t="s">
        <v>471</v>
      </c>
      <c r="K168" t="s">
        <v>392</v>
      </c>
      <c r="L168" s="35" t="s">
        <v>73</v>
      </c>
      <c r="N168" t="s">
        <v>64</v>
      </c>
      <c r="O168" t="s">
        <v>64</v>
      </c>
      <c r="P168" s="1" t="s">
        <v>65</v>
      </c>
      <c r="Q168">
        <v>2017</v>
      </c>
      <c r="R168">
        <v>2017</v>
      </c>
      <c r="S168">
        <v>2017</v>
      </c>
      <c r="T168" t="s">
        <v>64</v>
      </c>
      <c r="U168" t="s">
        <v>64</v>
      </c>
      <c r="V168" t="s">
        <v>67</v>
      </c>
    </row>
    <row r="169" spans="2:22" ht="159.94999999999999">
      <c r="B169" t="s">
        <v>564</v>
      </c>
      <c r="C169" s="1" t="s">
        <v>238</v>
      </c>
      <c r="D169" s="1" t="s">
        <v>59</v>
      </c>
      <c r="E169" s="1" t="s">
        <v>565</v>
      </c>
      <c r="F169" s="1"/>
      <c r="G169" s="1" t="s">
        <v>566</v>
      </c>
      <c r="H169" t="s">
        <v>325</v>
      </c>
      <c r="I169" t="s">
        <v>297</v>
      </c>
      <c r="K169" t="s">
        <v>392</v>
      </c>
      <c r="L169" s="35" t="s">
        <v>73</v>
      </c>
      <c r="M169" s="1" t="s">
        <v>567</v>
      </c>
      <c r="N169" t="s">
        <v>64</v>
      </c>
      <c r="O169" t="s">
        <v>64</v>
      </c>
      <c r="P169" s="1" t="s">
        <v>65</v>
      </c>
      <c r="Q169">
        <v>2022</v>
      </c>
      <c r="R169">
        <v>2022</v>
      </c>
      <c r="S169">
        <v>2022</v>
      </c>
      <c r="T169" t="s">
        <v>67</v>
      </c>
      <c r="U169" t="s">
        <v>64</v>
      </c>
      <c r="V169" t="s">
        <v>64</v>
      </c>
    </row>
    <row r="170" spans="2:22" ht="176.1">
      <c r="B170" t="s">
        <v>564</v>
      </c>
      <c r="C170" s="1" t="s">
        <v>238</v>
      </c>
      <c r="D170" s="1" t="s">
        <v>59</v>
      </c>
      <c r="E170" s="1" t="s">
        <v>568</v>
      </c>
      <c r="F170" s="1"/>
      <c r="G170" s="1" t="s">
        <v>569</v>
      </c>
      <c r="H170" t="s">
        <v>325</v>
      </c>
      <c r="I170" t="s">
        <v>297</v>
      </c>
      <c r="K170" t="s">
        <v>392</v>
      </c>
      <c r="L170" s="35" t="s">
        <v>73</v>
      </c>
      <c r="M170" s="1" t="s">
        <v>567</v>
      </c>
      <c r="N170" t="s">
        <v>64</v>
      </c>
      <c r="O170" t="s">
        <v>64</v>
      </c>
      <c r="P170" s="1" t="s">
        <v>65</v>
      </c>
      <c r="Q170">
        <v>2022</v>
      </c>
      <c r="R170">
        <v>2022</v>
      </c>
      <c r="S170">
        <v>2022</v>
      </c>
      <c r="T170" t="s">
        <v>67</v>
      </c>
      <c r="U170" t="s">
        <v>64</v>
      </c>
      <c r="V170" t="s">
        <v>64</v>
      </c>
    </row>
    <row r="171" spans="2:22" ht="176.1">
      <c r="B171" t="s">
        <v>564</v>
      </c>
      <c r="C171" s="1" t="s">
        <v>238</v>
      </c>
      <c r="D171" s="1" t="s">
        <v>59</v>
      </c>
      <c r="E171" s="28" t="s">
        <v>570</v>
      </c>
      <c r="F171" s="28"/>
      <c r="G171" s="1" t="s">
        <v>571</v>
      </c>
      <c r="H171" t="s">
        <v>325</v>
      </c>
      <c r="I171" t="s">
        <v>297</v>
      </c>
      <c r="K171" t="s">
        <v>392</v>
      </c>
      <c r="L171" s="35" t="s">
        <v>73</v>
      </c>
      <c r="M171" s="1" t="s">
        <v>567</v>
      </c>
      <c r="N171" t="s">
        <v>64</v>
      </c>
      <c r="O171" t="s">
        <v>64</v>
      </c>
      <c r="P171" s="1" t="s">
        <v>65</v>
      </c>
      <c r="Q171">
        <v>2022</v>
      </c>
      <c r="R171">
        <v>2022</v>
      </c>
      <c r="S171">
        <v>2022</v>
      </c>
      <c r="T171" t="s">
        <v>67</v>
      </c>
      <c r="U171" t="s">
        <v>64</v>
      </c>
      <c r="V171" t="s">
        <v>64</v>
      </c>
    </row>
    <row r="172" spans="2:22" ht="144">
      <c r="B172" t="s">
        <v>564</v>
      </c>
      <c r="C172" s="1" t="s">
        <v>238</v>
      </c>
      <c r="D172" s="1" t="s">
        <v>59</v>
      </c>
      <c r="E172" s="1" t="s">
        <v>572</v>
      </c>
      <c r="F172" s="1"/>
      <c r="G172" s="1" t="s">
        <v>573</v>
      </c>
      <c r="H172" t="s">
        <v>325</v>
      </c>
      <c r="I172" t="s">
        <v>297</v>
      </c>
      <c r="K172" t="s">
        <v>574</v>
      </c>
      <c r="L172" s="35" t="s">
        <v>165</v>
      </c>
      <c r="M172" s="1" t="s">
        <v>567</v>
      </c>
      <c r="N172" t="s">
        <v>64</v>
      </c>
      <c r="O172" t="s">
        <v>64</v>
      </c>
      <c r="P172" s="1" t="s">
        <v>65</v>
      </c>
      <c r="Q172">
        <v>2022</v>
      </c>
      <c r="R172">
        <v>2022</v>
      </c>
      <c r="S172">
        <v>2022</v>
      </c>
      <c r="T172" t="s">
        <v>67</v>
      </c>
      <c r="U172" t="s">
        <v>64</v>
      </c>
      <c r="V172" t="s">
        <v>64</v>
      </c>
    </row>
    <row r="173" spans="2:22" ht="144">
      <c r="B173" t="s">
        <v>564</v>
      </c>
      <c r="C173" t="s">
        <v>575</v>
      </c>
      <c r="D173" s="1" t="s">
        <v>59</v>
      </c>
      <c r="E173" t="s">
        <v>576</v>
      </c>
      <c r="G173" t="s">
        <v>577</v>
      </c>
      <c r="H173" s="1" t="s">
        <v>224</v>
      </c>
      <c r="I173" s="1" t="s">
        <v>225</v>
      </c>
      <c r="J173" s="1"/>
      <c r="K173" t="s">
        <v>392</v>
      </c>
      <c r="L173" s="35" t="s">
        <v>73</v>
      </c>
      <c r="N173" t="s">
        <v>67</v>
      </c>
      <c r="O173" s="21" t="s">
        <v>578</v>
      </c>
      <c r="P173" s="1" t="s">
        <v>65</v>
      </c>
      <c r="Q173">
        <v>2021</v>
      </c>
      <c r="R173">
        <v>2021</v>
      </c>
      <c r="S173">
        <v>2021</v>
      </c>
      <c r="T173" t="s">
        <v>67</v>
      </c>
      <c r="U173" t="s">
        <v>64</v>
      </c>
      <c r="V173" t="s">
        <v>64</v>
      </c>
    </row>
    <row r="174" spans="2:22" ht="48">
      <c r="B174" t="s">
        <v>579</v>
      </c>
      <c r="C174" t="s">
        <v>58</v>
      </c>
      <c r="D174" s="1" t="s">
        <v>59</v>
      </c>
      <c r="E174" s="1" t="s">
        <v>580</v>
      </c>
      <c r="F174" s="1"/>
      <c r="G174" s="1" t="s">
        <v>581</v>
      </c>
      <c r="H174" s="28" t="s">
        <v>378</v>
      </c>
      <c r="I174" s="28" t="s">
        <v>378</v>
      </c>
      <c r="J174" s="28"/>
      <c r="K174" t="s">
        <v>582</v>
      </c>
      <c r="L174" s="35" t="s">
        <v>73</v>
      </c>
      <c r="M174" s="28" t="s">
        <v>583</v>
      </c>
      <c r="N174" t="s">
        <v>64</v>
      </c>
      <c r="O174" t="s">
        <v>64</v>
      </c>
      <c r="P174" s="1" t="s">
        <v>65</v>
      </c>
      <c r="Q174">
        <v>2022</v>
      </c>
      <c r="R174">
        <v>2022</v>
      </c>
      <c r="S174">
        <v>2022</v>
      </c>
      <c r="T174" t="s">
        <v>67</v>
      </c>
      <c r="U174" t="s">
        <v>64</v>
      </c>
      <c r="V174" t="s">
        <v>67</v>
      </c>
    </row>
    <row r="175" spans="2:22" ht="63.95">
      <c r="B175" t="s">
        <v>579</v>
      </c>
      <c r="C175" t="s">
        <v>58</v>
      </c>
      <c r="D175" s="1" t="s">
        <v>59</v>
      </c>
      <c r="E175" s="1" t="s">
        <v>584</v>
      </c>
      <c r="F175" s="1"/>
      <c r="G175" s="1" t="s">
        <v>585</v>
      </c>
      <c r="H175" s="28" t="s">
        <v>586</v>
      </c>
      <c r="I175" s="28" t="s">
        <v>587</v>
      </c>
      <c r="J175" s="28"/>
      <c r="K175" t="s">
        <v>582</v>
      </c>
      <c r="L175" s="35" t="s">
        <v>73</v>
      </c>
      <c r="M175" s="28" t="s">
        <v>588</v>
      </c>
      <c r="N175" t="s">
        <v>64</v>
      </c>
      <c r="O175" t="s">
        <v>64</v>
      </c>
      <c r="P175" s="1" t="s">
        <v>65</v>
      </c>
      <c r="Q175">
        <v>2022</v>
      </c>
      <c r="R175">
        <v>2022</v>
      </c>
      <c r="S175">
        <v>2022</v>
      </c>
      <c r="T175" t="s">
        <v>67</v>
      </c>
      <c r="U175" t="s">
        <v>64</v>
      </c>
      <c r="V175" t="s">
        <v>67</v>
      </c>
    </row>
    <row r="176" spans="2:22" ht="63.95">
      <c r="B176" t="s">
        <v>579</v>
      </c>
      <c r="C176" s="1" t="s">
        <v>127</v>
      </c>
      <c r="D176" s="1" t="s">
        <v>59</v>
      </c>
      <c r="E176" s="1" t="s">
        <v>589</v>
      </c>
      <c r="F176" s="1"/>
      <c r="G176" s="1" t="s">
        <v>590</v>
      </c>
      <c r="H176" t="s">
        <v>297</v>
      </c>
      <c r="I176" t="s">
        <v>297</v>
      </c>
      <c r="N176" t="s">
        <v>64</v>
      </c>
      <c r="O176" t="s">
        <v>64</v>
      </c>
      <c r="P176" s="1" t="s">
        <v>65</v>
      </c>
      <c r="Q176">
        <v>2022</v>
      </c>
      <c r="R176">
        <v>2022</v>
      </c>
      <c r="S176">
        <v>2022</v>
      </c>
      <c r="T176" t="s">
        <v>64</v>
      </c>
      <c r="U176" t="s">
        <v>64</v>
      </c>
      <c r="V176" t="s">
        <v>67</v>
      </c>
    </row>
    <row r="177" spans="2:22" ht="32.1">
      <c r="B177" t="s">
        <v>579</v>
      </c>
      <c r="C177" s="1" t="s">
        <v>238</v>
      </c>
      <c r="D177" s="1" t="s">
        <v>59</v>
      </c>
      <c r="E177" s="1" t="s">
        <v>591</v>
      </c>
      <c r="F177" s="1"/>
      <c r="G177" s="1" t="s">
        <v>592</v>
      </c>
      <c r="H177" t="s">
        <v>297</v>
      </c>
      <c r="I177" t="s">
        <v>297</v>
      </c>
      <c r="N177" t="s">
        <v>64</v>
      </c>
      <c r="O177" t="s">
        <v>64</v>
      </c>
      <c r="P177" s="1" t="s">
        <v>65</v>
      </c>
      <c r="Q177">
        <v>2022</v>
      </c>
      <c r="R177">
        <v>2022</v>
      </c>
      <c r="S177">
        <v>2022</v>
      </c>
      <c r="T177" t="s">
        <v>67</v>
      </c>
      <c r="U177" t="s">
        <v>64</v>
      </c>
      <c r="V177" t="s">
        <v>67</v>
      </c>
    </row>
    <row r="178" spans="2:22" ht="48">
      <c r="B178" t="s">
        <v>579</v>
      </c>
      <c r="C178" s="1" t="s">
        <v>127</v>
      </c>
      <c r="D178" s="1" t="s">
        <v>59</v>
      </c>
      <c r="E178" s="1" t="s">
        <v>593</v>
      </c>
      <c r="F178" s="1"/>
      <c r="G178" s="28" t="s">
        <v>594</v>
      </c>
      <c r="H178" t="s">
        <v>297</v>
      </c>
      <c r="I178" t="s">
        <v>297</v>
      </c>
      <c r="N178" t="s">
        <v>64</v>
      </c>
      <c r="O178" t="s">
        <v>64</v>
      </c>
      <c r="P178" s="1" t="s">
        <v>65</v>
      </c>
      <c r="Q178">
        <v>2021</v>
      </c>
      <c r="R178">
        <v>2021</v>
      </c>
      <c r="S178">
        <v>2021</v>
      </c>
      <c r="T178" t="s">
        <v>64</v>
      </c>
      <c r="U178" t="s">
        <v>64</v>
      </c>
      <c r="V178" t="s">
        <v>67</v>
      </c>
    </row>
    <row r="179" spans="2:22" ht="32.1">
      <c r="B179" t="s">
        <v>579</v>
      </c>
      <c r="C179" t="s">
        <v>58</v>
      </c>
      <c r="D179" s="1" t="s">
        <v>59</v>
      </c>
      <c r="E179" s="1" t="s">
        <v>595</v>
      </c>
      <c r="F179" s="1"/>
      <c r="G179" s="1" t="s">
        <v>596</v>
      </c>
      <c r="H179" s="1" t="s">
        <v>597</v>
      </c>
      <c r="I179" s="1" t="s">
        <v>597</v>
      </c>
      <c r="J179" s="1"/>
      <c r="K179" t="s">
        <v>582</v>
      </c>
      <c r="L179" s="35" t="s">
        <v>73</v>
      </c>
      <c r="N179" t="s">
        <v>64</v>
      </c>
      <c r="O179" t="s">
        <v>64</v>
      </c>
      <c r="P179" s="1" t="s">
        <v>65</v>
      </c>
      <c r="Q179">
        <v>2020</v>
      </c>
      <c r="R179">
        <v>2020</v>
      </c>
      <c r="S179" t="s">
        <v>112</v>
      </c>
      <c r="T179" t="s">
        <v>67</v>
      </c>
      <c r="U179" t="s">
        <v>64</v>
      </c>
      <c r="V179" t="s">
        <v>64</v>
      </c>
    </row>
    <row r="180" spans="2:22" ht="32.1">
      <c r="B180" t="s">
        <v>598</v>
      </c>
      <c r="C180" t="s">
        <v>58</v>
      </c>
      <c r="D180" s="1" t="s">
        <v>59</v>
      </c>
      <c r="E180" s="1" t="s">
        <v>599</v>
      </c>
      <c r="F180" s="1"/>
      <c r="G180" t="s">
        <v>600</v>
      </c>
      <c r="H180" t="s">
        <v>297</v>
      </c>
      <c r="I180" t="s">
        <v>297</v>
      </c>
      <c r="K180" t="s">
        <v>582</v>
      </c>
      <c r="L180" s="35" t="s">
        <v>73</v>
      </c>
      <c r="N180" t="s">
        <v>64</v>
      </c>
      <c r="O180" t="s">
        <v>64</v>
      </c>
      <c r="P180" s="1" t="s">
        <v>65</v>
      </c>
      <c r="Q180">
        <v>2019</v>
      </c>
      <c r="R180">
        <v>2019</v>
      </c>
      <c r="S180">
        <v>2019</v>
      </c>
      <c r="T180" t="s">
        <v>67</v>
      </c>
      <c r="U180" t="s">
        <v>64</v>
      </c>
      <c r="V180" t="s">
        <v>64</v>
      </c>
    </row>
    <row r="181" spans="2:22" ht="48">
      <c r="B181" t="s">
        <v>598</v>
      </c>
      <c r="C181" t="s">
        <v>58</v>
      </c>
      <c r="D181" s="1" t="s">
        <v>59</v>
      </c>
      <c r="E181" s="1" t="s">
        <v>601</v>
      </c>
      <c r="F181" s="1"/>
      <c r="G181" t="s">
        <v>600</v>
      </c>
      <c r="H181" t="s">
        <v>602</v>
      </c>
      <c r="I181" t="s">
        <v>431</v>
      </c>
      <c r="N181" t="s">
        <v>64</v>
      </c>
      <c r="O181" t="s">
        <v>64</v>
      </c>
      <c r="P181" s="1" t="s">
        <v>65</v>
      </c>
      <c r="Q181">
        <v>2018</v>
      </c>
      <c r="R181">
        <v>2018</v>
      </c>
      <c r="S181">
        <v>2018</v>
      </c>
      <c r="T181" t="s">
        <v>67</v>
      </c>
      <c r="U181" t="s">
        <v>64</v>
      </c>
      <c r="V181" t="s">
        <v>64</v>
      </c>
    </row>
    <row r="182" spans="2:22" ht="32.1">
      <c r="B182" t="s">
        <v>598</v>
      </c>
      <c r="C182" t="s">
        <v>58</v>
      </c>
      <c r="D182" s="1" t="s">
        <v>59</v>
      </c>
      <c r="E182" s="1" t="s">
        <v>603</v>
      </c>
      <c r="F182" s="1"/>
      <c r="G182" t="s">
        <v>604</v>
      </c>
      <c r="H182" t="s">
        <v>163</v>
      </c>
      <c r="I182" t="s">
        <v>163</v>
      </c>
      <c r="K182" t="s">
        <v>582</v>
      </c>
      <c r="L182" s="35" t="s">
        <v>73</v>
      </c>
      <c r="N182" t="s">
        <v>64</v>
      </c>
      <c r="O182" t="s">
        <v>64</v>
      </c>
      <c r="P182" s="1" t="s">
        <v>65</v>
      </c>
      <c r="Q182">
        <v>2016</v>
      </c>
      <c r="R182">
        <v>2016</v>
      </c>
      <c r="S182">
        <v>2016</v>
      </c>
      <c r="T182" t="s">
        <v>64</v>
      </c>
      <c r="U182" t="s">
        <v>64</v>
      </c>
      <c r="V182" t="s">
        <v>64</v>
      </c>
    </row>
    <row r="183" spans="2:22" ht="32.1">
      <c r="B183" t="s">
        <v>598</v>
      </c>
      <c r="C183" t="s">
        <v>58</v>
      </c>
      <c r="D183" s="1" t="s">
        <v>59</v>
      </c>
      <c r="E183" s="1" t="s">
        <v>605</v>
      </c>
      <c r="F183" s="1"/>
      <c r="G183" t="s">
        <v>606</v>
      </c>
      <c r="H183" t="s">
        <v>163</v>
      </c>
      <c r="I183" t="s">
        <v>163</v>
      </c>
      <c r="K183" t="s">
        <v>582</v>
      </c>
      <c r="L183" s="35" t="s">
        <v>73</v>
      </c>
      <c r="N183" t="s">
        <v>64</v>
      </c>
      <c r="O183" t="s">
        <v>64</v>
      </c>
      <c r="P183" s="1" t="s">
        <v>65</v>
      </c>
      <c r="Q183">
        <v>2016</v>
      </c>
      <c r="R183">
        <v>2016</v>
      </c>
      <c r="S183">
        <v>2016</v>
      </c>
      <c r="T183" t="s">
        <v>64</v>
      </c>
      <c r="U183" t="s">
        <v>64</v>
      </c>
      <c r="V183" t="s">
        <v>64</v>
      </c>
    </row>
    <row r="184" spans="2:22" ht="32.1">
      <c r="B184" t="s">
        <v>598</v>
      </c>
      <c r="C184" t="s">
        <v>58</v>
      </c>
      <c r="D184" s="1" t="s">
        <v>59</v>
      </c>
      <c r="E184" s="1" t="s">
        <v>607</v>
      </c>
      <c r="F184" s="1"/>
      <c r="G184" t="s">
        <v>608</v>
      </c>
      <c r="H184" t="s">
        <v>163</v>
      </c>
      <c r="I184" t="s">
        <v>163</v>
      </c>
      <c r="K184" t="s">
        <v>582</v>
      </c>
      <c r="L184" s="35" t="s">
        <v>73</v>
      </c>
      <c r="N184" t="s">
        <v>64</v>
      </c>
      <c r="O184" t="s">
        <v>64</v>
      </c>
      <c r="P184" s="1" t="s">
        <v>65</v>
      </c>
      <c r="Q184">
        <v>2016</v>
      </c>
      <c r="R184">
        <v>2016</v>
      </c>
      <c r="S184">
        <v>2016</v>
      </c>
      <c r="T184" t="s">
        <v>64</v>
      </c>
      <c r="U184" t="s">
        <v>64</v>
      </c>
      <c r="V184" t="s">
        <v>64</v>
      </c>
    </row>
    <row r="185" spans="2:22" ht="96">
      <c r="B185" t="s">
        <v>598</v>
      </c>
      <c r="C185" t="s">
        <v>58</v>
      </c>
      <c r="D185" s="1" t="s">
        <v>59</v>
      </c>
      <c r="E185" s="1" t="s">
        <v>609</v>
      </c>
      <c r="F185" s="1"/>
      <c r="G185" t="s">
        <v>171</v>
      </c>
      <c r="H185" s="1" t="s">
        <v>610</v>
      </c>
      <c r="I185" s="1" t="s">
        <v>611</v>
      </c>
      <c r="J185" s="1"/>
      <c r="K185" t="s">
        <v>582</v>
      </c>
      <c r="L185" s="35" t="s">
        <v>73</v>
      </c>
      <c r="N185" t="s">
        <v>67</v>
      </c>
      <c r="O185" s="21" t="s">
        <v>612</v>
      </c>
      <c r="P185" s="1" t="s">
        <v>65</v>
      </c>
      <c r="Q185">
        <v>2016</v>
      </c>
      <c r="R185">
        <v>2016</v>
      </c>
      <c r="S185">
        <v>2016</v>
      </c>
      <c r="T185" t="s">
        <v>67</v>
      </c>
      <c r="U185" t="s">
        <v>64</v>
      </c>
      <c r="V185" t="s">
        <v>64</v>
      </c>
    </row>
    <row r="186" spans="2:22" ht="32.1">
      <c r="B186" t="s">
        <v>598</v>
      </c>
      <c r="C186" t="s">
        <v>127</v>
      </c>
      <c r="D186" s="1" t="s">
        <v>59</v>
      </c>
      <c r="E186" s="1" t="s">
        <v>613</v>
      </c>
      <c r="F186" s="1"/>
      <c r="G186" s="1" t="s">
        <v>614</v>
      </c>
      <c r="H186" t="s">
        <v>163</v>
      </c>
      <c r="I186" t="s">
        <v>163</v>
      </c>
      <c r="K186" t="s">
        <v>582</v>
      </c>
      <c r="L186" s="35" t="s">
        <v>73</v>
      </c>
      <c r="M186" t="s">
        <v>615</v>
      </c>
      <c r="N186" t="s">
        <v>64</v>
      </c>
      <c r="O186" t="s">
        <v>64</v>
      </c>
      <c r="P186" s="1" t="s">
        <v>65</v>
      </c>
      <c r="Q186">
        <v>2020</v>
      </c>
      <c r="R186">
        <v>2020</v>
      </c>
      <c r="S186">
        <v>2020</v>
      </c>
      <c r="T186" t="s">
        <v>64</v>
      </c>
      <c r="U186" t="s">
        <v>64</v>
      </c>
      <c r="V186" t="s">
        <v>67</v>
      </c>
    </row>
    <row r="187" spans="2:22" ht="32.1">
      <c r="B187" t="s">
        <v>598</v>
      </c>
      <c r="C187" t="s">
        <v>127</v>
      </c>
      <c r="D187" s="1" t="s">
        <v>59</v>
      </c>
      <c r="E187" s="1" t="s">
        <v>613</v>
      </c>
      <c r="F187" s="1"/>
      <c r="G187" s="1" t="s">
        <v>616</v>
      </c>
      <c r="H187" t="s">
        <v>163</v>
      </c>
      <c r="I187" t="s">
        <v>163</v>
      </c>
      <c r="K187" t="s">
        <v>582</v>
      </c>
      <c r="L187" s="35" t="s">
        <v>73</v>
      </c>
      <c r="M187" t="s">
        <v>615</v>
      </c>
      <c r="N187" t="s">
        <v>64</v>
      </c>
      <c r="O187" t="s">
        <v>64</v>
      </c>
      <c r="P187" s="1" t="s">
        <v>65</v>
      </c>
      <c r="Q187">
        <v>2020</v>
      </c>
      <c r="R187">
        <v>2020</v>
      </c>
      <c r="S187">
        <v>2020</v>
      </c>
      <c r="T187" t="s">
        <v>64</v>
      </c>
      <c r="U187" t="s">
        <v>64</v>
      </c>
      <c r="V187" t="s">
        <v>64</v>
      </c>
    </row>
    <row r="188" spans="2:22" ht="32.1">
      <c r="B188" t="s">
        <v>598</v>
      </c>
      <c r="C188" t="s">
        <v>127</v>
      </c>
      <c r="D188" s="1" t="s">
        <v>59</v>
      </c>
      <c r="E188" s="1" t="s">
        <v>613</v>
      </c>
      <c r="F188" s="1"/>
      <c r="G188" s="1" t="s">
        <v>617</v>
      </c>
      <c r="H188" t="s">
        <v>163</v>
      </c>
      <c r="I188" t="s">
        <v>163</v>
      </c>
      <c r="K188" t="s">
        <v>582</v>
      </c>
      <c r="L188" s="35" t="s">
        <v>73</v>
      </c>
      <c r="M188" t="s">
        <v>615</v>
      </c>
      <c r="N188" t="s">
        <v>64</v>
      </c>
      <c r="O188" t="s">
        <v>64</v>
      </c>
      <c r="P188" s="1" t="s">
        <v>65</v>
      </c>
      <c r="Q188">
        <v>2020</v>
      </c>
      <c r="R188">
        <v>2020</v>
      </c>
      <c r="S188">
        <v>2020</v>
      </c>
      <c r="T188" t="s">
        <v>64</v>
      </c>
      <c r="U188" t="s">
        <v>64</v>
      </c>
      <c r="V188" t="s">
        <v>64</v>
      </c>
    </row>
    <row r="189" spans="2:22" ht="32.1">
      <c r="B189" t="s">
        <v>598</v>
      </c>
      <c r="C189" t="s">
        <v>127</v>
      </c>
      <c r="D189" s="1" t="s">
        <v>59</v>
      </c>
      <c r="E189" s="1" t="s">
        <v>613</v>
      </c>
      <c r="F189" s="1"/>
      <c r="G189" s="1" t="s">
        <v>618</v>
      </c>
      <c r="H189" t="s">
        <v>163</v>
      </c>
      <c r="I189" t="s">
        <v>163</v>
      </c>
      <c r="K189" t="s">
        <v>582</v>
      </c>
      <c r="L189" s="35" t="s">
        <v>73</v>
      </c>
      <c r="M189" t="s">
        <v>615</v>
      </c>
      <c r="N189" t="s">
        <v>64</v>
      </c>
      <c r="O189" t="s">
        <v>64</v>
      </c>
      <c r="P189" s="1" t="s">
        <v>65</v>
      </c>
      <c r="Q189">
        <v>2020</v>
      </c>
      <c r="R189">
        <v>2020</v>
      </c>
      <c r="S189">
        <v>2020</v>
      </c>
      <c r="T189" t="s">
        <v>64</v>
      </c>
      <c r="U189" t="s">
        <v>64</v>
      </c>
      <c r="V189" t="s">
        <v>67</v>
      </c>
    </row>
    <row r="190" spans="2:22" ht="32.1">
      <c r="B190" t="s">
        <v>598</v>
      </c>
      <c r="C190" t="s">
        <v>127</v>
      </c>
      <c r="D190" s="1" t="s">
        <v>59</v>
      </c>
      <c r="E190" s="1" t="s">
        <v>613</v>
      </c>
      <c r="F190" s="1"/>
      <c r="G190" s="1" t="s">
        <v>619</v>
      </c>
      <c r="H190" t="s">
        <v>62</v>
      </c>
      <c r="I190" t="s">
        <v>62</v>
      </c>
      <c r="K190" t="s">
        <v>582</v>
      </c>
      <c r="L190" s="35" t="s">
        <v>73</v>
      </c>
      <c r="M190" t="s">
        <v>615</v>
      </c>
      <c r="N190" t="s">
        <v>64</v>
      </c>
      <c r="O190" t="s">
        <v>64</v>
      </c>
      <c r="P190" s="1" t="s">
        <v>65</v>
      </c>
      <c r="Q190">
        <v>2020</v>
      </c>
      <c r="R190">
        <v>2020</v>
      </c>
      <c r="S190">
        <v>2020</v>
      </c>
      <c r="T190" t="s">
        <v>64</v>
      </c>
      <c r="U190" t="s">
        <v>64</v>
      </c>
      <c r="V190" t="s">
        <v>67</v>
      </c>
    </row>
    <row r="191" spans="2:22" ht="32.1">
      <c r="B191" t="s">
        <v>598</v>
      </c>
      <c r="C191" t="s">
        <v>127</v>
      </c>
      <c r="D191" s="1" t="s">
        <v>59</v>
      </c>
      <c r="E191" s="1" t="s">
        <v>613</v>
      </c>
      <c r="F191" s="1"/>
      <c r="G191" s="1" t="s">
        <v>616</v>
      </c>
      <c r="H191" t="s">
        <v>62</v>
      </c>
      <c r="I191" t="s">
        <v>62</v>
      </c>
      <c r="K191" t="s">
        <v>582</v>
      </c>
      <c r="L191" s="35" t="s">
        <v>73</v>
      </c>
      <c r="M191" t="s">
        <v>615</v>
      </c>
      <c r="N191" t="s">
        <v>64</v>
      </c>
      <c r="O191" t="s">
        <v>64</v>
      </c>
      <c r="P191" s="1" t="s">
        <v>65</v>
      </c>
      <c r="Q191">
        <v>2020</v>
      </c>
      <c r="R191">
        <v>2020</v>
      </c>
      <c r="S191">
        <v>2020</v>
      </c>
      <c r="T191" t="s">
        <v>64</v>
      </c>
      <c r="U191" t="s">
        <v>64</v>
      </c>
      <c r="V191" t="s">
        <v>67</v>
      </c>
    </row>
    <row r="192" spans="2:22" ht="32.1">
      <c r="B192" t="s">
        <v>598</v>
      </c>
      <c r="C192" t="s">
        <v>127</v>
      </c>
      <c r="D192" s="1" t="s">
        <v>59</v>
      </c>
      <c r="E192" s="1" t="s">
        <v>613</v>
      </c>
      <c r="F192" s="1"/>
      <c r="G192" s="1" t="s">
        <v>617</v>
      </c>
      <c r="H192" t="s">
        <v>62</v>
      </c>
      <c r="I192" t="s">
        <v>62</v>
      </c>
      <c r="K192" t="s">
        <v>582</v>
      </c>
      <c r="L192" s="35" t="s">
        <v>73</v>
      </c>
      <c r="M192" t="s">
        <v>615</v>
      </c>
      <c r="N192" t="s">
        <v>64</v>
      </c>
      <c r="O192" t="s">
        <v>64</v>
      </c>
      <c r="P192" s="1" t="s">
        <v>65</v>
      </c>
      <c r="Q192">
        <v>2020</v>
      </c>
      <c r="R192">
        <v>2020</v>
      </c>
      <c r="S192">
        <v>2020</v>
      </c>
      <c r="T192" t="s">
        <v>64</v>
      </c>
      <c r="U192" t="s">
        <v>64</v>
      </c>
      <c r="V192" t="s">
        <v>64</v>
      </c>
    </row>
    <row r="193" spans="2:22" ht="32.1">
      <c r="B193" t="s">
        <v>598</v>
      </c>
      <c r="C193" t="s">
        <v>127</v>
      </c>
      <c r="D193" s="1" t="s">
        <v>59</v>
      </c>
      <c r="E193" s="1" t="s">
        <v>613</v>
      </c>
      <c r="F193" s="1"/>
      <c r="G193" s="1" t="s">
        <v>618</v>
      </c>
      <c r="H193" t="s">
        <v>62</v>
      </c>
      <c r="I193" t="s">
        <v>62</v>
      </c>
      <c r="K193" t="s">
        <v>582</v>
      </c>
      <c r="L193" s="35" t="s">
        <v>73</v>
      </c>
      <c r="M193" t="s">
        <v>615</v>
      </c>
      <c r="N193" t="s">
        <v>64</v>
      </c>
      <c r="O193" t="s">
        <v>64</v>
      </c>
      <c r="P193" s="1" t="s">
        <v>65</v>
      </c>
      <c r="Q193">
        <v>2020</v>
      </c>
      <c r="R193">
        <v>2020</v>
      </c>
      <c r="S193">
        <v>2020</v>
      </c>
      <c r="T193" t="s">
        <v>64</v>
      </c>
      <c r="U193" t="s">
        <v>64</v>
      </c>
      <c r="V193" t="s">
        <v>67</v>
      </c>
    </row>
    <row r="194" spans="2:22" ht="159.94999999999999">
      <c r="B194" t="s">
        <v>598</v>
      </c>
      <c r="C194" t="s">
        <v>127</v>
      </c>
      <c r="D194" s="1" t="s">
        <v>620</v>
      </c>
      <c r="E194" s="1" t="s">
        <v>621</v>
      </c>
      <c r="F194" s="21" t="s">
        <v>622</v>
      </c>
      <c r="G194" s="28" t="s">
        <v>623</v>
      </c>
      <c r="H194" s="1" t="s">
        <v>624</v>
      </c>
      <c r="I194" s="1" t="s">
        <v>624</v>
      </c>
      <c r="J194" s="1"/>
      <c r="K194" t="s">
        <v>582</v>
      </c>
      <c r="L194" s="35" t="s">
        <v>73</v>
      </c>
      <c r="M194" t="s">
        <v>615</v>
      </c>
      <c r="N194" t="s">
        <v>64</v>
      </c>
      <c r="O194" t="s">
        <v>64</v>
      </c>
      <c r="P194" s="1" t="s">
        <v>65</v>
      </c>
      <c r="Q194">
        <v>2022</v>
      </c>
      <c r="R194">
        <v>2022</v>
      </c>
      <c r="S194">
        <v>2022</v>
      </c>
      <c r="T194" t="s">
        <v>64</v>
      </c>
      <c r="U194" t="s">
        <v>64</v>
      </c>
      <c r="V194" t="s">
        <v>67</v>
      </c>
    </row>
    <row r="195" spans="2:22" ht="32.1">
      <c r="B195" t="s">
        <v>625</v>
      </c>
      <c r="C195" t="s">
        <v>58</v>
      </c>
      <c r="D195" s="1" t="s">
        <v>59</v>
      </c>
      <c r="E195" s="1" t="s">
        <v>626</v>
      </c>
      <c r="F195" s="1"/>
      <c r="G195" t="s">
        <v>627</v>
      </c>
      <c r="H195" t="s">
        <v>297</v>
      </c>
      <c r="I195" t="s">
        <v>297</v>
      </c>
      <c r="K195" t="s">
        <v>582</v>
      </c>
      <c r="L195" s="35" t="s">
        <v>73</v>
      </c>
      <c r="N195" t="s">
        <v>64</v>
      </c>
      <c r="O195" t="s">
        <v>180</v>
      </c>
      <c r="P195" s="1" t="s">
        <v>65</v>
      </c>
      <c r="Q195">
        <v>2022</v>
      </c>
      <c r="R195">
        <v>2022</v>
      </c>
      <c r="S195" t="s">
        <v>86</v>
      </c>
      <c r="T195" t="s">
        <v>64</v>
      </c>
      <c r="U195" t="s">
        <v>64</v>
      </c>
      <c r="V195" t="s">
        <v>64</v>
      </c>
    </row>
    <row r="196" spans="2:22" ht="80.099999999999994">
      <c r="B196" t="s">
        <v>625</v>
      </c>
      <c r="C196" t="s">
        <v>58</v>
      </c>
      <c r="D196" s="1" t="s">
        <v>59</v>
      </c>
      <c r="E196" s="1" t="s">
        <v>628</v>
      </c>
      <c r="F196" s="1"/>
      <c r="G196" t="s">
        <v>627</v>
      </c>
      <c r="H196" t="s">
        <v>204</v>
      </c>
      <c r="I196" t="s">
        <v>153</v>
      </c>
      <c r="K196" t="s">
        <v>582</v>
      </c>
      <c r="L196" s="35" t="s">
        <v>73</v>
      </c>
      <c r="N196" t="s">
        <v>64</v>
      </c>
      <c r="O196" t="s">
        <v>180</v>
      </c>
      <c r="P196" s="1" t="s">
        <v>65</v>
      </c>
      <c r="Q196">
        <v>2022</v>
      </c>
      <c r="R196">
        <v>2022</v>
      </c>
      <c r="S196" t="s">
        <v>86</v>
      </c>
      <c r="T196" t="s">
        <v>67</v>
      </c>
      <c r="U196" t="s">
        <v>64</v>
      </c>
      <c r="V196" t="s">
        <v>67</v>
      </c>
    </row>
    <row r="197" spans="2:22" ht="48">
      <c r="B197" t="s">
        <v>625</v>
      </c>
      <c r="C197" t="s">
        <v>58</v>
      </c>
      <c r="D197" s="1" t="s">
        <v>59</v>
      </c>
      <c r="E197" s="1" t="s">
        <v>629</v>
      </c>
      <c r="F197" s="1"/>
      <c r="G197" s="1" t="s">
        <v>630</v>
      </c>
      <c r="H197" t="s">
        <v>297</v>
      </c>
      <c r="I197" t="s">
        <v>297</v>
      </c>
      <c r="K197" t="s">
        <v>582</v>
      </c>
      <c r="L197" s="35" t="s">
        <v>73</v>
      </c>
      <c r="N197" t="s">
        <v>64</v>
      </c>
      <c r="O197" t="s">
        <v>180</v>
      </c>
      <c r="P197" s="1" t="s">
        <v>65</v>
      </c>
      <c r="Q197">
        <v>2022</v>
      </c>
      <c r="R197">
        <v>2022</v>
      </c>
      <c r="S197" t="s">
        <v>86</v>
      </c>
      <c r="T197" t="s">
        <v>67</v>
      </c>
      <c r="U197" t="s">
        <v>64</v>
      </c>
      <c r="V197" t="s">
        <v>67</v>
      </c>
    </row>
    <row r="198" spans="2:22" ht="63.95">
      <c r="B198" t="s">
        <v>625</v>
      </c>
      <c r="C198" t="s">
        <v>58</v>
      </c>
      <c r="D198" s="1" t="s">
        <v>59</v>
      </c>
      <c r="E198" s="1" t="s">
        <v>631</v>
      </c>
      <c r="F198" s="1"/>
      <c r="G198" t="s">
        <v>627</v>
      </c>
      <c r="H198" t="s">
        <v>163</v>
      </c>
      <c r="I198" t="s">
        <v>163</v>
      </c>
      <c r="K198" t="s">
        <v>582</v>
      </c>
      <c r="L198" s="35" t="s">
        <v>73</v>
      </c>
      <c r="N198" t="s">
        <v>64</v>
      </c>
      <c r="O198" t="s">
        <v>180</v>
      </c>
      <c r="P198" s="1" t="s">
        <v>65</v>
      </c>
      <c r="Q198">
        <v>2022</v>
      </c>
      <c r="R198">
        <v>2022</v>
      </c>
      <c r="S198" t="s">
        <v>86</v>
      </c>
      <c r="T198" t="s">
        <v>67</v>
      </c>
      <c r="U198" t="s">
        <v>64</v>
      </c>
      <c r="V198" t="s">
        <v>67</v>
      </c>
    </row>
    <row r="199" spans="2:22" ht="96">
      <c r="B199" t="s">
        <v>625</v>
      </c>
      <c r="C199" t="s">
        <v>58</v>
      </c>
      <c r="D199" s="1" t="s">
        <v>59</v>
      </c>
      <c r="E199" s="1" t="s">
        <v>632</v>
      </c>
      <c r="F199" s="1"/>
      <c r="G199" s="1" t="s">
        <v>633</v>
      </c>
      <c r="H199" t="s">
        <v>163</v>
      </c>
      <c r="I199" t="s">
        <v>163</v>
      </c>
      <c r="K199" t="s">
        <v>582</v>
      </c>
      <c r="L199" s="35" t="s">
        <v>73</v>
      </c>
      <c r="N199" t="s">
        <v>64</v>
      </c>
      <c r="O199" t="s">
        <v>180</v>
      </c>
      <c r="P199" s="1" t="s">
        <v>65</v>
      </c>
      <c r="Q199">
        <v>2022</v>
      </c>
      <c r="R199">
        <v>2022</v>
      </c>
      <c r="S199" t="s">
        <v>86</v>
      </c>
      <c r="T199" t="s">
        <v>67</v>
      </c>
      <c r="U199" t="s">
        <v>64</v>
      </c>
      <c r="V199" t="s">
        <v>67</v>
      </c>
    </row>
    <row r="200" spans="2:22" ht="96">
      <c r="B200" t="s">
        <v>625</v>
      </c>
      <c r="C200" t="s">
        <v>58</v>
      </c>
      <c r="D200" s="1" t="s">
        <v>59</v>
      </c>
      <c r="E200" s="1" t="s">
        <v>634</v>
      </c>
      <c r="F200" s="1"/>
      <c r="G200" s="1" t="s">
        <v>191</v>
      </c>
      <c r="H200" t="s">
        <v>163</v>
      </c>
      <c r="I200" t="s">
        <v>163</v>
      </c>
      <c r="K200" t="s">
        <v>582</v>
      </c>
      <c r="L200" s="35" t="s">
        <v>73</v>
      </c>
      <c r="N200" t="s">
        <v>64</v>
      </c>
      <c r="O200" t="s">
        <v>180</v>
      </c>
      <c r="P200" s="1" t="s">
        <v>65</v>
      </c>
      <c r="Q200">
        <v>2022</v>
      </c>
      <c r="R200">
        <v>2022</v>
      </c>
      <c r="S200" t="s">
        <v>86</v>
      </c>
      <c r="T200" t="s">
        <v>67</v>
      </c>
      <c r="U200" t="s">
        <v>64</v>
      </c>
      <c r="V200" t="s">
        <v>67</v>
      </c>
    </row>
    <row r="201" spans="2:22" ht="111.95">
      <c r="B201" t="s">
        <v>625</v>
      </c>
      <c r="C201" t="s">
        <v>58</v>
      </c>
      <c r="D201" s="1" t="s">
        <v>59</v>
      </c>
      <c r="E201" s="1" t="s">
        <v>635</v>
      </c>
      <c r="F201" s="1"/>
      <c r="G201" s="1" t="s">
        <v>636</v>
      </c>
      <c r="H201" t="s">
        <v>163</v>
      </c>
      <c r="I201" t="s">
        <v>163</v>
      </c>
      <c r="K201" t="s">
        <v>582</v>
      </c>
      <c r="L201" s="35" t="s">
        <v>73</v>
      </c>
      <c r="N201" t="s">
        <v>64</v>
      </c>
      <c r="O201" t="s">
        <v>180</v>
      </c>
      <c r="P201" s="1" t="s">
        <v>65</v>
      </c>
      <c r="Q201">
        <v>2022</v>
      </c>
      <c r="R201">
        <v>2022</v>
      </c>
      <c r="S201" t="s">
        <v>637</v>
      </c>
      <c r="T201" t="s">
        <v>67</v>
      </c>
      <c r="U201" t="s">
        <v>64</v>
      </c>
      <c r="V201" t="s">
        <v>67</v>
      </c>
    </row>
    <row r="202" spans="2:22" ht="111.95">
      <c r="B202" t="s">
        <v>625</v>
      </c>
      <c r="C202" t="s">
        <v>58</v>
      </c>
      <c r="D202" s="1" t="s">
        <v>59</v>
      </c>
      <c r="E202" s="1" t="s">
        <v>638</v>
      </c>
      <c r="F202" s="1"/>
      <c r="G202" s="1" t="s">
        <v>636</v>
      </c>
      <c r="H202" t="s">
        <v>62</v>
      </c>
      <c r="I202" t="s">
        <v>62</v>
      </c>
      <c r="K202" t="s">
        <v>582</v>
      </c>
      <c r="L202" s="35" t="s">
        <v>73</v>
      </c>
      <c r="N202" t="s">
        <v>64</v>
      </c>
      <c r="O202" t="s">
        <v>180</v>
      </c>
      <c r="P202" s="1" t="s">
        <v>65</v>
      </c>
      <c r="Q202">
        <v>2022</v>
      </c>
      <c r="R202">
        <v>2022</v>
      </c>
      <c r="S202" t="s">
        <v>637</v>
      </c>
      <c r="T202" t="s">
        <v>67</v>
      </c>
      <c r="U202" t="s">
        <v>64</v>
      </c>
      <c r="V202" t="s">
        <v>67</v>
      </c>
    </row>
    <row r="203" spans="2:22" ht="144">
      <c r="B203" t="s">
        <v>625</v>
      </c>
      <c r="C203" t="s">
        <v>58</v>
      </c>
      <c r="D203" s="1" t="s">
        <v>144</v>
      </c>
      <c r="E203" s="1" t="s">
        <v>639</v>
      </c>
      <c r="F203" s="1"/>
      <c r="G203" s="1" t="s">
        <v>223</v>
      </c>
      <c r="H203" s="1" t="s">
        <v>640</v>
      </c>
      <c r="I203" s="1" t="s">
        <v>641</v>
      </c>
      <c r="J203" s="1"/>
      <c r="K203" t="s">
        <v>582</v>
      </c>
      <c r="L203" s="35" t="s">
        <v>73</v>
      </c>
      <c r="N203" t="s">
        <v>67</v>
      </c>
      <c r="O203" s="21" t="s">
        <v>642</v>
      </c>
      <c r="P203" s="1" t="s">
        <v>65</v>
      </c>
      <c r="Q203">
        <v>2021</v>
      </c>
      <c r="R203">
        <v>2021</v>
      </c>
      <c r="S203">
        <v>2021</v>
      </c>
      <c r="T203" t="s">
        <v>67</v>
      </c>
      <c r="U203" t="s">
        <v>64</v>
      </c>
      <c r="V203" t="s">
        <v>64</v>
      </c>
    </row>
    <row r="204" spans="2:22" ht="144">
      <c r="B204" t="s">
        <v>625</v>
      </c>
      <c r="C204" t="s">
        <v>58</v>
      </c>
      <c r="D204" s="1" t="s">
        <v>144</v>
      </c>
      <c r="E204" s="1" t="s">
        <v>643</v>
      </c>
      <c r="F204" s="1"/>
      <c r="G204" s="1" t="s">
        <v>223</v>
      </c>
      <c r="H204" s="1" t="s">
        <v>224</v>
      </c>
      <c r="I204" s="1" t="s">
        <v>225</v>
      </c>
      <c r="J204" s="1"/>
      <c r="K204" t="s">
        <v>582</v>
      </c>
      <c r="L204" s="35" t="s">
        <v>73</v>
      </c>
      <c r="N204" t="s">
        <v>67</v>
      </c>
      <c r="O204" s="21" t="s">
        <v>644</v>
      </c>
      <c r="P204" s="1" t="s">
        <v>65</v>
      </c>
      <c r="Q204">
        <v>2021</v>
      </c>
      <c r="R204">
        <v>2021</v>
      </c>
      <c r="S204">
        <v>2021</v>
      </c>
      <c r="T204" t="s">
        <v>67</v>
      </c>
      <c r="U204" t="s">
        <v>64</v>
      </c>
      <c r="V204" t="s">
        <v>64</v>
      </c>
    </row>
    <row r="205" spans="2:22" ht="128.1">
      <c r="B205" t="s">
        <v>625</v>
      </c>
      <c r="C205" t="s">
        <v>58</v>
      </c>
      <c r="D205" s="1" t="s">
        <v>144</v>
      </c>
      <c r="E205" s="1" t="s">
        <v>645</v>
      </c>
      <c r="F205" s="1"/>
      <c r="G205" s="1" t="s">
        <v>223</v>
      </c>
      <c r="H205" s="28" t="s">
        <v>646</v>
      </c>
      <c r="I205" s="28" t="s">
        <v>647</v>
      </c>
      <c r="J205" s="28"/>
      <c r="K205" t="s">
        <v>582</v>
      </c>
      <c r="L205" s="35" t="s">
        <v>73</v>
      </c>
      <c r="N205" t="s">
        <v>67</v>
      </c>
      <c r="O205" s="21" t="s">
        <v>648</v>
      </c>
      <c r="P205" s="1" t="s">
        <v>65</v>
      </c>
      <c r="Q205">
        <v>2020</v>
      </c>
      <c r="R205">
        <v>2020</v>
      </c>
      <c r="S205">
        <v>2020</v>
      </c>
      <c r="T205" t="s">
        <v>67</v>
      </c>
      <c r="U205" t="s">
        <v>64</v>
      </c>
      <c r="V205" t="s">
        <v>64</v>
      </c>
    </row>
    <row r="206" spans="2:22" ht="48">
      <c r="B206" t="s">
        <v>625</v>
      </c>
      <c r="C206" t="s">
        <v>58</v>
      </c>
      <c r="D206" s="1" t="s">
        <v>649</v>
      </c>
      <c r="E206" t="s">
        <v>650</v>
      </c>
      <c r="G206" s="1" t="s">
        <v>651</v>
      </c>
      <c r="H206" t="s">
        <v>297</v>
      </c>
      <c r="I206" t="s">
        <v>297</v>
      </c>
      <c r="K206" t="s">
        <v>582</v>
      </c>
      <c r="L206" s="35" t="s">
        <v>73</v>
      </c>
      <c r="N206" t="s">
        <v>64</v>
      </c>
      <c r="O206" t="s">
        <v>652</v>
      </c>
      <c r="P206" s="1" t="s">
        <v>65</v>
      </c>
      <c r="Q206">
        <v>2020</v>
      </c>
      <c r="R206">
        <v>2020</v>
      </c>
      <c r="S206">
        <v>2020</v>
      </c>
      <c r="T206" t="s">
        <v>67</v>
      </c>
      <c r="U206" t="s">
        <v>64</v>
      </c>
      <c r="V206" t="s">
        <v>64</v>
      </c>
    </row>
    <row r="207" spans="2:22" ht="63.95">
      <c r="B207" t="s">
        <v>625</v>
      </c>
      <c r="C207" t="s">
        <v>58</v>
      </c>
      <c r="D207" s="1" t="s">
        <v>144</v>
      </c>
      <c r="E207" s="1" t="s">
        <v>653</v>
      </c>
      <c r="F207" s="21" t="s">
        <v>654</v>
      </c>
      <c r="G207" s="1" t="s">
        <v>655</v>
      </c>
      <c r="H207" t="s">
        <v>297</v>
      </c>
      <c r="I207" t="s">
        <v>297</v>
      </c>
      <c r="N207" t="s">
        <v>64</v>
      </c>
      <c r="O207" t="s">
        <v>652</v>
      </c>
      <c r="P207" s="1" t="s">
        <v>65</v>
      </c>
      <c r="Q207">
        <v>2022</v>
      </c>
      <c r="R207">
        <v>2022</v>
      </c>
      <c r="S207">
        <v>2022</v>
      </c>
      <c r="T207" t="s">
        <v>67</v>
      </c>
      <c r="U207" t="s">
        <v>64</v>
      </c>
      <c r="V207" t="s">
        <v>64</v>
      </c>
    </row>
    <row r="208" spans="2:22" ht="48">
      <c r="B208" t="s">
        <v>625</v>
      </c>
      <c r="C208" t="s">
        <v>127</v>
      </c>
      <c r="D208" s="1" t="s">
        <v>59</v>
      </c>
      <c r="E208" s="1" t="s">
        <v>656</v>
      </c>
      <c r="F208" s="1"/>
      <c r="G208" t="s">
        <v>657</v>
      </c>
      <c r="H208" t="s">
        <v>297</v>
      </c>
      <c r="I208" t="s">
        <v>297</v>
      </c>
      <c r="K208" s="1" t="s">
        <v>658</v>
      </c>
      <c r="L208" s="1" t="s">
        <v>165</v>
      </c>
      <c r="M208" s="1" t="s">
        <v>659</v>
      </c>
      <c r="N208" t="s">
        <v>64</v>
      </c>
      <c r="O208" t="s">
        <v>652</v>
      </c>
      <c r="P208" s="1" t="s">
        <v>65</v>
      </c>
      <c r="Q208">
        <v>2016</v>
      </c>
      <c r="R208">
        <v>2016</v>
      </c>
      <c r="S208">
        <v>2016</v>
      </c>
      <c r="T208" t="s">
        <v>64</v>
      </c>
      <c r="U208" t="s">
        <v>64</v>
      </c>
      <c r="V208" t="s">
        <v>67</v>
      </c>
    </row>
    <row r="209" spans="2:22" ht="80.099999999999994">
      <c r="B209" t="s">
        <v>660</v>
      </c>
      <c r="C209" t="s">
        <v>58</v>
      </c>
      <c r="D209" s="1" t="s">
        <v>59</v>
      </c>
      <c r="E209" s="1" t="s">
        <v>661</v>
      </c>
      <c r="F209" s="1"/>
      <c r="G209" s="1" t="s">
        <v>662</v>
      </c>
      <c r="H209" s="28" t="s">
        <v>663</v>
      </c>
      <c r="I209" s="28" t="s">
        <v>664</v>
      </c>
      <c r="J209" s="35"/>
      <c r="K209" t="s">
        <v>582</v>
      </c>
      <c r="L209" s="35" t="s">
        <v>73</v>
      </c>
      <c r="N209" t="s">
        <v>64</v>
      </c>
      <c r="O209" t="s">
        <v>180</v>
      </c>
      <c r="P209" s="1" t="s">
        <v>65</v>
      </c>
      <c r="Q209">
        <v>2022</v>
      </c>
      <c r="R209">
        <v>2022</v>
      </c>
      <c r="S209" t="s">
        <v>86</v>
      </c>
      <c r="T209" t="s">
        <v>67</v>
      </c>
      <c r="U209" t="s">
        <v>64</v>
      </c>
      <c r="V209" t="s">
        <v>67</v>
      </c>
    </row>
    <row r="210" spans="2:22" ht="15.95">
      <c r="B210" t="s">
        <v>660</v>
      </c>
      <c r="C210" t="s">
        <v>58</v>
      </c>
      <c r="D210" s="1" t="s">
        <v>59</v>
      </c>
      <c r="E210" t="s">
        <v>665</v>
      </c>
      <c r="G210" t="s">
        <v>666</v>
      </c>
      <c r="H210" t="s">
        <v>667</v>
      </c>
      <c r="I210" t="s">
        <v>431</v>
      </c>
      <c r="K210" t="s">
        <v>582</v>
      </c>
      <c r="L210" s="35" t="s">
        <v>73</v>
      </c>
      <c r="N210" t="s">
        <v>64</v>
      </c>
      <c r="O210" t="s">
        <v>180</v>
      </c>
      <c r="P210" s="1" t="s">
        <v>65</v>
      </c>
      <c r="Q210">
        <v>2020</v>
      </c>
      <c r="R210">
        <v>2020</v>
      </c>
      <c r="S210" t="s">
        <v>668</v>
      </c>
      <c r="T210" t="s">
        <v>67</v>
      </c>
      <c r="U210" t="s">
        <v>64</v>
      </c>
      <c r="V210" t="s">
        <v>67</v>
      </c>
    </row>
    <row r="211" spans="2:22" ht="32.1">
      <c r="B211" t="s">
        <v>660</v>
      </c>
      <c r="C211" t="s">
        <v>58</v>
      </c>
      <c r="D211" s="1" t="s">
        <v>59</v>
      </c>
      <c r="E211" s="1" t="s">
        <v>669</v>
      </c>
      <c r="F211" s="1"/>
      <c r="G211" t="s">
        <v>670</v>
      </c>
      <c r="H211" t="s">
        <v>163</v>
      </c>
      <c r="I211" t="s">
        <v>163</v>
      </c>
      <c r="K211" t="s">
        <v>582</v>
      </c>
      <c r="L211" s="35" t="s">
        <v>73</v>
      </c>
      <c r="N211" t="s">
        <v>64</v>
      </c>
      <c r="O211" t="s">
        <v>180</v>
      </c>
      <c r="P211" s="1" t="s">
        <v>65</v>
      </c>
      <c r="Q211">
        <v>2020</v>
      </c>
      <c r="R211">
        <v>2020</v>
      </c>
      <c r="S211" t="s">
        <v>671</v>
      </c>
      <c r="T211" t="s">
        <v>67</v>
      </c>
      <c r="U211" t="s">
        <v>64</v>
      </c>
      <c r="V211" t="s">
        <v>64</v>
      </c>
    </row>
    <row r="212" spans="2:22" ht="32.1">
      <c r="B212" t="s">
        <v>660</v>
      </c>
      <c r="C212" t="s">
        <v>58</v>
      </c>
      <c r="D212" s="1" t="s">
        <v>59</v>
      </c>
      <c r="E212" s="1" t="s">
        <v>672</v>
      </c>
      <c r="F212" s="1"/>
      <c r="G212" t="s">
        <v>673</v>
      </c>
      <c r="H212" s="1" t="s">
        <v>674</v>
      </c>
      <c r="I212" s="1" t="s">
        <v>675</v>
      </c>
      <c r="J212" s="1"/>
      <c r="K212" t="s">
        <v>582</v>
      </c>
      <c r="L212" s="35" t="s">
        <v>73</v>
      </c>
      <c r="N212" t="s">
        <v>64</v>
      </c>
      <c r="O212" t="s">
        <v>180</v>
      </c>
      <c r="P212" s="1" t="s">
        <v>65</v>
      </c>
      <c r="Q212">
        <v>2019</v>
      </c>
      <c r="R212">
        <v>2019</v>
      </c>
      <c r="S212" t="s">
        <v>676</v>
      </c>
      <c r="T212" t="s">
        <v>67</v>
      </c>
      <c r="U212" t="s">
        <v>64</v>
      </c>
      <c r="V212" t="s">
        <v>64</v>
      </c>
    </row>
    <row r="213" spans="2:22" ht="48">
      <c r="B213" t="s">
        <v>660</v>
      </c>
      <c r="C213" t="s">
        <v>58</v>
      </c>
      <c r="D213" s="1" t="s">
        <v>620</v>
      </c>
      <c r="E213" s="1" t="s">
        <v>677</v>
      </c>
      <c r="F213" s="1"/>
      <c r="G213" t="s">
        <v>678</v>
      </c>
      <c r="H213" s="1" t="s">
        <v>679</v>
      </c>
      <c r="I213" s="1" t="s">
        <v>680</v>
      </c>
      <c r="J213" s="1"/>
      <c r="K213" t="s">
        <v>582</v>
      </c>
      <c r="L213" s="35" t="s">
        <v>73</v>
      </c>
      <c r="N213" t="s">
        <v>64</v>
      </c>
      <c r="O213" t="s">
        <v>180</v>
      </c>
      <c r="P213" s="1" t="s">
        <v>65</v>
      </c>
      <c r="Q213">
        <v>2022</v>
      </c>
      <c r="R213">
        <v>2022</v>
      </c>
      <c r="S213" t="s">
        <v>681</v>
      </c>
      <c r="T213" t="s">
        <v>67</v>
      </c>
      <c r="U213" t="s">
        <v>64</v>
      </c>
      <c r="V213" t="s">
        <v>64</v>
      </c>
    </row>
    <row r="214" spans="2:22" ht="48">
      <c r="B214" t="s">
        <v>660</v>
      </c>
      <c r="C214" t="s">
        <v>127</v>
      </c>
      <c r="D214" s="1" t="s">
        <v>620</v>
      </c>
      <c r="E214" s="1" t="s">
        <v>682</v>
      </c>
      <c r="F214" s="1"/>
      <c r="G214" t="s">
        <v>683</v>
      </c>
      <c r="H214" s="35" t="s">
        <v>338</v>
      </c>
      <c r="I214" s="35" t="s">
        <v>338</v>
      </c>
      <c r="J214" s="35"/>
      <c r="K214" t="s">
        <v>582</v>
      </c>
      <c r="L214" s="35" t="s">
        <v>73</v>
      </c>
      <c r="M214" s="1" t="s">
        <v>684</v>
      </c>
      <c r="N214" t="s">
        <v>64</v>
      </c>
      <c r="O214" t="s">
        <v>180</v>
      </c>
      <c r="P214" s="1" t="s">
        <v>65</v>
      </c>
      <c r="Q214">
        <v>2019</v>
      </c>
      <c r="R214">
        <v>2019</v>
      </c>
      <c r="S214">
        <v>2019</v>
      </c>
      <c r="T214" t="s">
        <v>64</v>
      </c>
      <c r="U214" t="s">
        <v>64</v>
      </c>
      <c r="V214" t="s">
        <v>64</v>
      </c>
    </row>
    <row r="215" spans="2:22" ht="48">
      <c r="B215" t="s">
        <v>685</v>
      </c>
      <c r="C215" t="s">
        <v>58</v>
      </c>
      <c r="D215" s="1" t="s">
        <v>649</v>
      </c>
      <c r="E215" s="1" t="s">
        <v>686</v>
      </c>
      <c r="F215" s="21" t="s">
        <v>687</v>
      </c>
      <c r="G215" s="1" t="s">
        <v>688</v>
      </c>
      <c r="H215" t="s">
        <v>163</v>
      </c>
      <c r="I215" t="s">
        <v>163</v>
      </c>
      <c r="K215" t="s">
        <v>582</v>
      </c>
      <c r="L215" s="35" t="s">
        <v>73</v>
      </c>
      <c r="N215" t="s">
        <v>64</v>
      </c>
      <c r="O215" t="s">
        <v>180</v>
      </c>
      <c r="P215" s="1" t="s">
        <v>65</v>
      </c>
      <c r="Q215">
        <v>2020</v>
      </c>
      <c r="R215">
        <v>2020</v>
      </c>
      <c r="S215" t="s">
        <v>112</v>
      </c>
      <c r="T215" t="s">
        <v>67</v>
      </c>
      <c r="U215" t="s">
        <v>64</v>
      </c>
      <c r="V215" t="s">
        <v>64</v>
      </c>
    </row>
    <row r="216" spans="2:22" ht="48">
      <c r="B216" t="s">
        <v>685</v>
      </c>
      <c r="C216" t="s">
        <v>58</v>
      </c>
      <c r="D216" s="1" t="s">
        <v>649</v>
      </c>
      <c r="E216" s="1" t="s">
        <v>689</v>
      </c>
      <c r="F216" s="21" t="s">
        <v>690</v>
      </c>
      <c r="G216" t="s">
        <v>691</v>
      </c>
      <c r="H216" t="s">
        <v>163</v>
      </c>
      <c r="I216" t="s">
        <v>163</v>
      </c>
      <c r="K216" t="s">
        <v>692</v>
      </c>
      <c r="L216" t="s">
        <v>692</v>
      </c>
      <c r="N216" t="s">
        <v>64</v>
      </c>
      <c r="O216" t="s">
        <v>180</v>
      </c>
      <c r="P216" s="1" t="s">
        <v>65</v>
      </c>
      <c r="Q216">
        <v>2021</v>
      </c>
      <c r="R216">
        <v>2021</v>
      </c>
      <c r="S216">
        <v>2021</v>
      </c>
      <c r="T216" t="s">
        <v>64</v>
      </c>
      <c r="U216" t="s">
        <v>64</v>
      </c>
      <c r="V216" t="s">
        <v>64</v>
      </c>
    </row>
    <row r="217" spans="2:22" ht="48">
      <c r="B217" t="s">
        <v>693</v>
      </c>
      <c r="C217" t="s">
        <v>58</v>
      </c>
      <c r="D217" s="1" t="s">
        <v>144</v>
      </c>
      <c r="E217" s="1" t="s">
        <v>694</v>
      </c>
      <c r="F217" s="1"/>
      <c r="G217" t="s">
        <v>695</v>
      </c>
      <c r="H217" s="1" t="s">
        <v>696</v>
      </c>
      <c r="I217" s="1" t="s">
        <v>697</v>
      </c>
      <c r="J217" s="1"/>
      <c r="K217" t="s">
        <v>582</v>
      </c>
      <c r="L217" s="35" t="s">
        <v>73</v>
      </c>
      <c r="N217" t="s">
        <v>64</v>
      </c>
      <c r="O217" t="s">
        <v>180</v>
      </c>
      <c r="P217" s="1" t="s">
        <v>65</v>
      </c>
      <c r="Q217">
        <v>2020</v>
      </c>
      <c r="R217">
        <v>2020</v>
      </c>
      <c r="S217" t="s">
        <v>698</v>
      </c>
      <c r="T217" t="s">
        <v>64</v>
      </c>
      <c r="U217" t="s">
        <v>64</v>
      </c>
      <c r="V217" t="s">
        <v>64</v>
      </c>
    </row>
    <row r="218" spans="2:22" ht="48">
      <c r="B218" t="s">
        <v>693</v>
      </c>
      <c r="C218" t="s">
        <v>58</v>
      </c>
      <c r="D218" s="1" t="s">
        <v>144</v>
      </c>
      <c r="E218" s="1" t="s">
        <v>699</v>
      </c>
      <c r="F218" s="1"/>
      <c r="G218" s="1" t="s">
        <v>700</v>
      </c>
      <c r="H218" s="1" t="s">
        <v>696</v>
      </c>
      <c r="I218" s="1" t="s">
        <v>697</v>
      </c>
      <c r="J218" s="1"/>
      <c r="K218" t="s">
        <v>582</v>
      </c>
      <c r="L218" s="35" t="s">
        <v>73</v>
      </c>
      <c r="N218" t="s">
        <v>64</v>
      </c>
      <c r="O218" t="s">
        <v>180</v>
      </c>
      <c r="P218" s="1" t="s">
        <v>65</v>
      </c>
      <c r="Q218">
        <v>2022</v>
      </c>
      <c r="R218">
        <v>2022</v>
      </c>
      <c r="S218" t="s">
        <v>86</v>
      </c>
      <c r="T218" t="s">
        <v>64</v>
      </c>
      <c r="U218" t="s">
        <v>64</v>
      </c>
      <c r="V218" t="s">
        <v>64</v>
      </c>
    </row>
    <row r="219" spans="2:22" ht="48">
      <c r="B219" t="s">
        <v>693</v>
      </c>
      <c r="C219" t="s">
        <v>58</v>
      </c>
      <c r="D219" s="1" t="s">
        <v>144</v>
      </c>
      <c r="E219" t="s">
        <v>701</v>
      </c>
      <c r="G219" t="s">
        <v>702</v>
      </c>
      <c r="H219" s="35" t="s">
        <v>297</v>
      </c>
      <c r="I219" s="35" t="s">
        <v>297</v>
      </c>
      <c r="J219" s="35"/>
      <c r="K219" t="s">
        <v>582</v>
      </c>
      <c r="L219" s="35" t="s">
        <v>73</v>
      </c>
      <c r="N219" t="s">
        <v>64</v>
      </c>
      <c r="O219" t="s">
        <v>180</v>
      </c>
      <c r="P219" s="1" t="s">
        <v>65</v>
      </c>
      <c r="Q219">
        <v>2021</v>
      </c>
      <c r="R219">
        <v>2021</v>
      </c>
      <c r="S219">
        <v>2021</v>
      </c>
      <c r="T219" t="s">
        <v>64</v>
      </c>
      <c r="U219" t="s">
        <v>64</v>
      </c>
      <c r="V219" t="s">
        <v>64</v>
      </c>
    </row>
    <row r="220" spans="2:22" ht="48">
      <c r="B220" t="s">
        <v>693</v>
      </c>
      <c r="C220" t="s">
        <v>58</v>
      </c>
      <c r="D220" s="1" t="s">
        <v>144</v>
      </c>
      <c r="E220" s="1" t="s">
        <v>703</v>
      </c>
      <c r="F220" s="1"/>
      <c r="G220" s="1" t="s">
        <v>704</v>
      </c>
      <c r="H220" s="35" t="s">
        <v>297</v>
      </c>
      <c r="I220" s="35" t="s">
        <v>297</v>
      </c>
      <c r="J220" s="35"/>
      <c r="K220" t="s">
        <v>582</v>
      </c>
      <c r="L220" s="35" t="s">
        <v>73</v>
      </c>
      <c r="N220" t="s">
        <v>64</v>
      </c>
      <c r="O220" t="s">
        <v>180</v>
      </c>
      <c r="P220" s="1" t="s">
        <v>65</v>
      </c>
      <c r="Q220">
        <v>2021</v>
      </c>
      <c r="R220">
        <v>2021</v>
      </c>
      <c r="S220">
        <v>2021</v>
      </c>
      <c r="T220" t="s">
        <v>64</v>
      </c>
      <c r="U220" t="s">
        <v>64</v>
      </c>
      <c r="V220" t="s">
        <v>64</v>
      </c>
    </row>
    <row r="221" spans="2:22" ht="48">
      <c r="B221" t="s">
        <v>693</v>
      </c>
      <c r="C221" t="s">
        <v>127</v>
      </c>
      <c r="D221" s="1" t="s">
        <v>649</v>
      </c>
      <c r="E221" s="28" t="s">
        <v>705</v>
      </c>
      <c r="F221" s="28"/>
      <c r="G221" s="28" t="s">
        <v>706</v>
      </c>
      <c r="H221" s="35" t="s">
        <v>707</v>
      </c>
      <c r="I221" s="35" t="s">
        <v>708</v>
      </c>
      <c r="J221" s="35"/>
      <c r="K221" t="s">
        <v>582</v>
      </c>
      <c r="L221" s="35" t="s">
        <v>73</v>
      </c>
      <c r="M221" s="1" t="s">
        <v>709</v>
      </c>
      <c r="N221" t="s">
        <v>64</v>
      </c>
      <c r="O221" t="s">
        <v>180</v>
      </c>
      <c r="P221" s="1" t="s">
        <v>65</v>
      </c>
      <c r="Q221">
        <v>2016</v>
      </c>
      <c r="R221">
        <v>2016</v>
      </c>
      <c r="S221">
        <v>2016</v>
      </c>
      <c r="T221" t="s">
        <v>64</v>
      </c>
      <c r="U221" t="s">
        <v>64</v>
      </c>
      <c r="V221" t="s">
        <v>67</v>
      </c>
    </row>
    <row r="222" spans="2:22" ht="48">
      <c r="B222" t="s">
        <v>693</v>
      </c>
      <c r="C222" t="s">
        <v>127</v>
      </c>
      <c r="D222" s="1" t="s">
        <v>649</v>
      </c>
      <c r="E222" s="28" t="s">
        <v>710</v>
      </c>
      <c r="F222" s="28"/>
      <c r="G222" s="28" t="s">
        <v>711</v>
      </c>
      <c r="H222" s="35" t="s">
        <v>707</v>
      </c>
      <c r="I222" s="35" t="s">
        <v>708</v>
      </c>
      <c r="J222" s="35"/>
      <c r="K222" t="s">
        <v>582</v>
      </c>
      <c r="L222" s="35" t="s">
        <v>73</v>
      </c>
      <c r="M222" s="1" t="s">
        <v>709</v>
      </c>
      <c r="N222" t="s">
        <v>64</v>
      </c>
      <c r="O222" t="s">
        <v>180</v>
      </c>
      <c r="P222" s="1" t="s">
        <v>65</v>
      </c>
      <c r="Q222">
        <v>2016</v>
      </c>
      <c r="R222">
        <v>2016</v>
      </c>
      <c r="S222">
        <v>2016</v>
      </c>
      <c r="T222" t="s">
        <v>64</v>
      </c>
      <c r="U222" t="s">
        <v>64</v>
      </c>
      <c r="V222" t="s">
        <v>67</v>
      </c>
    </row>
    <row r="223" spans="2:22" ht="80.099999999999994">
      <c r="B223" t="s">
        <v>693</v>
      </c>
      <c r="C223" t="s">
        <v>127</v>
      </c>
      <c r="D223" s="1" t="s">
        <v>649</v>
      </c>
      <c r="E223" t="s">
        <v>712</v>
      </c>
      <c r="G223" s="28" t="s">
        <v>713</v>
      </c>
      <c r="H223" s="35" t="s">
        <v>707</v>
      </c>
      <c r="I223" s="35" t="s">
        <v>708</v>
      </c>
      <c r="J223" s="35"/>
      <c r="K223" t="s">
        <v>582</v>
      </c>
      <c r="L223" s="35" t="s">
        <v>73</v>
      </c>
      <c r="M223" s="1" t="s">
        <v>709</v>
      </c>
      <c r="N223" t="s">
        <v>64</v>
      </c>
      <c r="O223" t="s">
        <v>180</v>
      </c>
      <c r="P223" s="1" t="s">
        <v>65</v>
      </c>
      <c r="Q223">
        <v>2016</v>
      </c>
      <c r="R223">
        <v>2016</v>
      </c>
      <c r="S223">
        <v>2016</v>
      </c>
      <c r="T223" t="s">
        <v>64</v>
      </c>
      <c r="U223" t="s">
        <v>64</v>
      </c>
      <c r="V223" t="s">
        <v>67</v>
      </c>
    </row>
    <row r="224" spans="2:22" ht="32.1">
      <c r="B224" t="s">
        <v>693</v>
      </c>
      <c r="C224" t="s">
        <v>127</v>
      </c>
      <c r="D224" s="1" t="s">
        <v>649</v>
      </c>
      <c r="E224" t="s">
        <v>714</v>
      </c>
      <c r="G224" s="35" t="s">
        <v>715</v>
      </c>
      <c r="H224" s="35" t="s">
        <v>707</v>
      </c>
      <c r="I224" s="35" t="s">
        <v>708</v>
      </c>
      <c r="J224" s="35"/>
      <c r="K224" t="s">
        <v>582</v>
      </c>
      <c r="L224" s="35" t="s">
        <v>73</v>
      </c>
      <c r="M224" s="1" t="s">
        <v>709</v>
      </c>
      <c r="N224" t="s">
        <v>64</v>
      </c>
      <c r="O224" t="s">
        <v>180</v>
      </c>
      <c r="P224" s="1" t="s">
        <v>65</v>
      </c>
      <c r="Q224">
        <v>2016</v>
      </c>
      <c r="R224">
        <v>2016</v>
      </c>
      <c r="S224">
        <v>2016</v>
      </c>
      <c r="T224" t="s">
        <v>64</v>
      </c>
      <c r="U224" t="s">
        <v>64</v>
      </c>
      <c r="V224" t="s">
        <v>67</v>
      </c>
    </row>
    <row r="225" spans="2:22" ht="63.95">
      <c r="B225" t="s">
        <v>693</v>
      </c>
      <c r="C225" t="s">
        <v>127</v>
      </c>
      <c r="D225" s="1" t="s">
        <v>649</v>
      </c>
      <c r="E225" t="s">
        <v>716</v>
      </c>
      <c r="G225" s="28" t="s">
        <v>717</v>
      </c>
      <c r="H225" s="35" t="s">
        <v>707</v>
      </c>
      <c r="I225" s="35" t="s">
        <v>708</v>
      </c>
      <c r="J225" s="35"/>
      <c r="K225" t="s">
        <v>582</v>
      </c>
      <c r="L225" s="35" t="s">
        <v>73</v>
      </c>
      <c r="M225" s="1" t="s">
        <v>709</v>
      </c>
      <c r="N225" t="s">
        <v>64</v>
      </c>
      <c r="O225" t="s">
        <v>180</v>
      </c>
      <c r="P225" s="1" t="s">
        <v>65</v>
      </c>
      <c r="Q225">
        <v>2016</v>
      </c>
      <c r="R225">
        <v>2016</v>
      </c>
      <c r="S225">
        <v>2016</v>
      </c>
      <c r="T225" t="s">
        <v>64</v>
      </c>
      <c r="U225" t="s">
        <v>64</v>
      </c>
      <c r="V225" t="s">
        <v>67</v>
      </c>
    </row>
    <row r="226" spans="2:22" ht="48">
      <c r="B226" t="s">
        <v>693</v>
      </c>
      <c r="C226" t="s">
        <v>127</v>
      </c>
      <c r="D226" s="1" t="s">
        <v>649</v>
      </c>
      <c r="E226" s="1" t="s">
        <v>718</v>
      </c>
      <c r="F226" s="1"/>
      <c r="G226" s="1" t="s">
        <v>719</v>
      </c>
      <c r="H226" t="s">
        <v>163</v>
      </c>
      <c r="I226" t="s">
        <v>163</v>
      </c>
      <c r="K226" t="s">
        <v>582</v>
      </c>
      <c r="L226" s="35" t="s">
        <v>73</v>
      </c>
      <c r="M226" s="1" t="s">
        <v>709</v>
      </c>
      <c r="N226" t="s">
        <v>64</v>
      </c>
      <c r="O226" t="s">
        <v>180</v>
      </c>
      <c r="P226" s="1" t="s">
        <v>65</v>
      </c>
      <c r="Q226">
        <v>2016</v>
      </c>
      <c r="R226">
        <v>2016</v>
      </c>
      <c r="S226">
        <v>2016</v>
      </c>
      <c r="T226" t="s">
        <v>64</v>
      </c>
      <c r="U226" t="s">
        <v>64</v>
      </c>
      <c r="V226" t="s">
        <v>67</v>
      </c>
    </row>
    <row r="227" spans="2:22" ht="48">
      <c r="B227" t="s">
        <v>693</v>
      </c>
      <c r="C227" t="s">
        <v>127</v>
      </c>
      <c r="D227" s="1" t="s">
        <v>59</v>
      </c>
      <c r="E227" s="1" t="s">
        <v>720</v>
      </c>
      <c r="F227" s="1"/>
      <c r="G227" s="1" t="s">
        <v>721</v>
      </c>
      <c r="H227" s="35" t="s">
        <v>297</v>
      </c>
      <c r="I227" s="35" t="s">
        <v>297</v>
      </c>
      <c r="J227" s="35"/>
      <c r="K227" t="s">
        <v>582</v>
      </c>
      <c r="L227" s="35" t="s">
        <v>73</v>
      </c>
      <c r="M227" s="1" t="s">
        <v>709</v>
      </c>
      <c r="N227" t="s">
        <v>64</v>
      </c>
      <c r="O227" t="s">
        <v>180</v>
      </c>
      <c r="P227" s="1" t="s">
        <v>65</v>
      </c>
      <c r="Q227">
        <v>2016</v>
      </c>
      <c r="R227">
        <v>2016</v>
      </c>
      <c r="S227">
        <v>2016</v>
      </c>
      <c r="T227" t="s">
        <v>64</v>
      </c>
      <c r="U227" t="s">
        <v>64</v>
      </c>
      <c r="V227" t="s">
        <v>67</v>
      </c>
    </row>
    <row r="228" spans="2:22" ht="63.95">
      <c r="B228" t="s">
        <v>693</v>
      </c>
      <c r="C228" t="s">
        <v>127</v>
      </c>
      <c r="D228" s="1" t="s">
        <v>59</v>
      </c>
      <c r="E228" s="1" t="s">
        <v>722</v>
      </c>
      <c r="F228" s="1"/>
      <c r="G228" s="1" t="s">
        <v>723</v>
      </c>
      <c r="H228" s="35" t="s">
        <v>297</v>
      </c>
      <c r="I228" s="35" t="s">
        <v>297</v>
      </c>
      <c r="J228" s="35"/>
      <c r="K228" t="s">
        <v>582</v>
      </c>
      <c r="L228" s="35" t="s">
        <v>73</v>
      </c>
      <c r="M228" s="1" t="s">
        <v>709</v>
      </c>
      <c r="N228" t="s">
        <v>64</v>
      </c>
      <c r="O228" t="s">
        <v>180</v>
      </c>
      <c r="P228" s="1" t="s">
        <v>65</v>
      </c>
      <c r="Q228">
        <v>2005</v>
      </c>
      <c r="R228">
        <v>2005</v>
      </c>
      <c r="S228">
        <v>2005</v>
      </c>
      <c r="T228" t="s">
        <v>64</v>
      </c>
      <c r="U228" t="s">
        <v>64</v>
      </c>
      <c r="V228" t="s">
        <v>67</v>
      </c>
    </row>
    <row r="229" spans="2:22" ht="80.099999999999994">
      <c r="B229" t="s">
        <v>693</v>
      </c>
      <c r="C229" t="s">
        <v>127</v>
      </c>
      <c r="D229" s="1" t="s">
        <v>144</v>
      </c>
      <c r="E229" s="1" t="s">
        <v>724</v>
      </c>
      <c r="F229" s="21" t="s">
        <v>725</v>
      </c>
      <c r="G229" s="1" t="s">
        <v>726</v>
      </c>
      <c r="H229" s="28" t="s">
        <v>727</v>
      </c>
      <c r="I229" s="28" t="s">
        <v>728</v>
      </c>
      <c r="J229" s="28"/>
      <c r="K229" t="s">
        <v>582</v>
      </c>
      <c r="L229" s="35" t="s">
        <v>73</v>
      </c>
      <c r="M229" s="1" t="s">
        <v>709</v>
      </c>
      <c r="N229" t="s">
        <v>64</v>
      </c>
      <c r="O229" t="s">
        <v>180</v>
      </c>
      <c r="P229" s="1" t="s">
        <v>65</v>
      </c>
      <c r="Q229">
        <v>2016</v>
      </c>
      <c r="R229">
        <v>2016</v>
      </c>
      <c r="S229">
        <v>2016</v>
      </c>
      <c r="T229" t="s">
        <v>64</v>
      </c>
      <c r="U229" t="s">
        <v>64</v>
      </c>
      <c r="V229" t="s">
        <v>67</v>
      </c>
    </row>
    <row r="230" spans="2:22" ht="80.099999999999994">
      <c r="B230" t="s">
        <v>729</v>
      </c>
      <c r="C230" t="s">
        <v>58</v>
      </c>
      <c r="D230" s="1" t="s">
        <v>144</v>
      </c>
      <c r="E230" s="28" t="s">
        <v>730</v>
      </c>
      <c r="F230" s="28"/>
      <c r="G230" s="1" t="s">
        <v>731</v>
      </c>
      <c r="H230" s="1" t="s">
        <v>732</v>
      </c>
      <c r="I230" s="1" t="s">
        <v>733</v>
      </c>
      <c r="J230" s="1"/>
      <c r="K230" t="s">
        <v>582</v>
      </c>
      <c r="L230" s="35" t="s">
        <v>73</v>
      </c>
      <c r="M230" s="1"/>
      <c r="N230" t="s">
        <v>64</v>
      </c>
      <c r="O230" t="s">
        <v>180</v>
      </c>
      <c r="P230" s="1" t="s">
        <v>65</v>
      </c>
      <c r="Q230">
        <v>2022</v>
      </c>
      <c r="R230">
        <v>2022</v>
      </c>
      <c r="S230" t="s">
        <v>86</v>
      </c>
      <c r="T230" t="s">
        <v>67</v>
      </c>
      <c r="U230" t="s">
        <v>64</v>
      </c>
      <c r="V230" t="s">
        <v>64</v>
      </c>
    </row>
    <row r="231" spans="2:22" ht="80.099999999999994">
      <c r="B231" t="s">
        <v>729</v>
      </c>
      <c r="C231" t="s">
        <v>58</v>
      </c>
      <c r="D231" s="1" t="s">
        <v>144</v>
      </c>
      <c r="E231" s="1" t="s">
        <v>734</v>
      </c>
      <c r="F231" s="1"/>
      <c r="G231" s="1" t="s">
        <v>735</v>
      </c>
      <c r="H231" s="1" t="s">
        <v>732</v>
      </c>
      <c r="I231" s="1" t="s">
        <v>733</v>
      </c>
      <c r="J231" s="1"/>
      <c r="K231" t="s">
        <v>582</v>
      </c>
      <c r="L231" s="35" t="s">
        <v>73</v>
      </c>
      <c r="M231" s="1"/>
      <c r="N231" t="s">
        <v>64</v>
      </c>
      <c r="O231" t="s">
        <v>180</v>
      </c>
      <c r="P231" s="1" t="s">
        <v>65</v>
      </c>
      <c r="Q231">
        <v>2022</v>
      </c>
      <c r="R231">
        <v>2022</v>
      </c>
      <c r="S231" t="s">
        <v>86</v>
      </c>
      <c r="T231" t="s">
        <v>67</v>
      </c>
      <c r="U231" t="s">
        <v>64</v>
      </c>
      <c r="V231" t="s">
        <v>64</v>
      </c>
    </row>
    <row r="232" spans="2:22" ht="48">
      <c r="B232" t="s">
        <v>729</v>
      </c>
      <c r="C232" t="s">
        <v>58</v>
      </c>
      <c r="D232" s="1" t="s">
        <v>649</v>
      </c>
      <c r="E232" s="1" t="s">
        <v>736</v>
      </c>
      <c r="F232" s="1"/>
      <c r="G232" s="28" t="s">
        <v>737</v>
      </c>
      <c r="H232" t="s">
        <v>163</v>
      </c>
      <c r="I232" t="s">
        <v>163</v>
      </c>
      <c r="K232" t="s">
        <v>582</v>
      </c>
      <c r="L232" s="35" t="s">
        <v>73</v>
      </c>
      <c r="M232" s="1"/>
      <c r="N232" t="s">
        <v>64</v>
      </c>
      <c r="O232" t="s">
        <v>180</v>
      </c>
      <c r="P232" s="1" t="s">
        <v>65</v>
      </c>
      <c r="Q232">
        <v>2022</v>
      </c>
      <c r="R232">
        <v>2022</v>
      </c>
      <c r="S232">
        <v>2022</v>
      </c>
      <c r="T232" t="s">
        <v>64</v>
      </c>
      <c r="U232" t="s">
        <v>64</v>
      </c>
      <c r="V232" t="s">
        <v>64</v>
      </c>
    </row>
    <row r="233" spans="2:22" ht="48">
      <c r="B233" t="s">
        <v>729</v>
      </c>
      <c r="C233" t="s">
        <v>58</v>
      </c>
      <c r="D233" s="1" t="s">
        <v>144</v>
      </c>
      <c r="E233" s="1" t="s">
        <v>738</v>
      </c>
      <c r="F233" s="1"/>
      <c r="G233" t="s">
        <v>600</v>
      </c>
      <c r="H233" t="s">
        <v>62</v>
      </c>
      <c r="I233" t="s">
        <v>62</v>
      </c>
      <c r="K233" t="s">
        <v>582</v>
      </c>
      <c r="L233" s="35" t="s">
        <v>73</v>
      </c>
      <c r="M233" s="1"/>
      <c r="N233" t="s">
        <v>64</v>
      </c>
      <c r="O233" t="s">
        <v>180</v>
      </c>
      <c r="P233" s="1" t="s">
        <v>65</v>
      </c>
      <c r="Q233">
        <v>2020</v>
      </c>
      <c r="R233">
        <v>2020</v>
      </c>
      <c r="S233" t="s">
        <v>739</v>
      </c>
      <c r="T233" t="s">
        <v>67</v>
      </c>
      <c r="U233" t="s">
        <v>64</v>
      </c>
      <c r="V233" t="s">
        <v>64</v>
      </c>
    </row>
    <row r="234" spans="2:22" ht="48">
      <c r="B234" t="s">
        <v>729</v>
      </c>
      <c r="C234" t="s">
        <v>58</v>
      </c>
      <c r="D234" s="1" t="s">
        <v>144</v>
      </c>
      <c r="E234" s="1" t="s">
        <v>740</v>
      </c>
      <c r="F234" s="1"/>
      <c r="G234" s="1" t="s">
        <v>741</v>
      </c>
      <c r="H234" t="s">
        <v>742</v>
      </c>
      <c r="I234" t="s">
        <v>304</v>
      </c>
      <c r="K234" t="s">
        <v>582</v>
      </c>
      <c r="L234" s="35" t="s">
        <v>73</v>
      </c>
      <c r="M234" s="1"/>
      <c r="N234" t="s">
        <v>64</v>
      </c>
      <c r="O234" t="s">
        <v>180</v>
      </c>
      <c r="P234" s="1" t="s">
        <v>65</v>
      </c>
      <c r="Q234">
        <v>2020</v>
      </c>
      <c r="R234">
        <v>2020</v>
      </c>
      <c r="S234" t="s">
        <v>112</v>
      </c>
      <c r="T234" t="s">
        <v>67</v>
      </c>
      <c r="U234" t="s">
        <v>64</v>
      </c>
      <c r="V234" t="s">
        <v>64</v>
      </c>
    </row>
    <row r="235" spans="2:22" ht="110.25" customHeight="1">
      <c r="B235" t="s">
        <v>729</v>
      </c>
      <c r="C235" t="s">
        <v>58</v>
      </c>
      <c r="D235" s="1" t="s">
        <v>144</v>
      </c>
      <c r="E235" s="1" t="s">
        <v>743</v>
      </c>
      <c r="F235" s="1"/>
      <c r="G235" t="s">
        <v>744</v>
      </c>
      <c r="H235" s="1" t="s">
        <v>745</v>
      </c>
      <c r="I235" s="1" t="s">
        <v>746</v>
      </c>
      <c r="J235" s="1"/>
      <c r="K235" t="s">
        <v>433</v>
      </c>
      <c r="L235" t="s">
        <v>433</v>
      </c>
      <c r="N235" t="s">
        <v>64</v>
      </c>
      <c r="O235" t="s">
        <v>180</v>
      </c>
      <c r="P235" s="1" t="s">
        <v>65</v>
      </c>
      <c r="Q235">
        <v>2021</v>
      </c>
      <c r="R235">
        <v>2021</v>
      </c>
      <c r="S235">
        <v>2021</v>
      </c>
      <c r="T235" t="s">
        <v>67</v>
      </c>
      <c r="U235" t="s">
        <v>64</v>
      </c>
      <c r="V235" t="s">
        <v>64</v>
      </c>
    </row>
    <row r="236" spans="2:22" ht="102.75" customHeight="1">
      <c r="B236" t="s">
        <v>729</v>
      </c>
      <c r="C236" t="s">
        <v>58</v>
      </c>
      <c r="D236" s="1" t="s">
        <v>144</v>
      </c>
      <c r="E236" s="1" t="s">
        <v>747</v>
      </c>
      <c r="F236" s="1"/>
      <c r="G236" s="28" t="s">
        <v>748</v>
      </c>
      <c r="H236" s="1" t="s">
        <v>745</v>
      </c>
      <c r="I236" s="1" t="s">
        <v>746</v>
      </c>
      <c r="J236" s="1"/>
      <c r="K236" t="s">
        <v>433</v>
      </c>
      <c r="L236" t="s">
        <v>433</v>
      </c>
      <c r="N236" t="s">
        <v>64</v>
      </c>
      <c r="O236" t="s">
        <v>180</v>
      </c>
      <c r="P236" s="1" t="s">
        <v>65</v>
      </c>
      <c r="Q236">
        <v>2021</v>
      </c>
      <c r="R236">
        <v>2021</v>
      </c>
      <c r="S236">
        <v>2021</v>
      </c>
      <c r="T236" t="s">
        <v>67</v>
      </c>
      <c r="U236" t="s">
        <v>64</v>
      </c>
      <c r="V236" t="s">
        <v>64</v>
      </c>
    </row>
    <row r="237" spans="2:22" ht="121.5" customHeight="1">
      <c r="B237" t="s">
        <v>729</v>
      </c>
      <c r="C237" t="s">
        <v>58</v>
      </c>
      <c r="D237" s="1" t="s">
        <v>144</v>
      </c>
      <c r="E237" s="1" t="s">
        <v>749</v>
      </c>
      <c r="F237" s="1"/>
      <c r="G237" s="28" t="s">
        <v>750</v>
      </c>
      <c r="H237" s="28" t="s">
        <v>751</v>
      </c>
      <c r="I237" s="28" t="s">
        <v>752</v>
      </c>
      <c r="J237" s="28"/>
      <c r="K237" t="s">
        <v>582</v>
      </c>
      <c r="L237" s="35" t="s">
        <v>73</v>
      </c>
      <c r="N237" t="s">
        <v>64</v>
      </c>
      <c r="O237" t="s">
        <v>180</v>
      </c>
      <c r="P237" s="1" t="s">
        <v>65</v>
      </c>
      <c r="Q237">
        <v>2022</v>
      </c>
      <c r="R237">
        <v>2022</v>
      </c>
      <c r="S237">
        <v>2022</v>
      </c>
      <c r="T237" t="s">
        <v>67</v>
      </c>
      <c r="U237" t="s">
        <v>64</v>
      </c>
      <c r="V237" t="s">
        <v>64</v>
      </c>
    </row>
    <row r="238" spans="2:22" ht="48">
      <c r="B238" t="s">
        <v>729</v>
      </c>
      <c r="C238" t="s">
        <v>58</v>
      </c>
      <c r="D238" s="1" t="s">
        <v>144</v>
      </c>
      <c r="E238" s="1" t="s">
        <v>753</v>
      </c>
      <c r="F238" s="1"/>
      <c r="G238" s="28" t="s">
        <v>754</v>
      </c>
      <c r="H238" t="s">
        <v>163</v>
      </c>
      <c r="I238" t="s">
        <v>163</v>
      </c>
      <c r="K238" t="s">
        <v>582</v>
      </c>
      <c r="L238" s="35" t="s">
        <v>73</v>
      </c>
      <c r="N238" t="s">
        <v>64</v>
      </c>
      <c r="O238" t="s">
        <v>180</v>
      </c>
      <c r="P238" s="1" t="s">
        <v>65</v>
      </c>
      <c r="Q238">
        <v>2022</v>
      </c>
      <c r="R238">
        <v>2022</v>
      </c>
      <c r="S238">
        <v>2022</v>
      </c>
      <c r="T238" t="s">
        <v>67</v>
      </c>
      <c r="U238" t="s">
        <v>64</v>
      </c>
      <c r="V238" t="s">
        <v>64</v>
      </c>
    </row>
    <row r="239" spans="2:22" ht="63.95">
      <c r="B239" t="s">
        <v>729</v>
      </c>
      <c r="C239" t="s">
        <v>127</v>
      </c>
      <c r="G239" s="1" t="s">
        <v>755</v>
      </c>
    </row>
    <row r="240" spans="2:22" ht="48">
      <c r="B240" t="s">
        <v>756</v>
      </c>
      <c r="C240" t="s">
        <v>58</v>
      </c>
      <c r="D240" s="1" t="s">
        <v>649</v>
      </c>
      <c r="E240" s="1" t="s">
        <v>757</v>
      </c>
      <c r="F240" s="1"/>
      <c r="G240" s="1" t="s">
        <v>758</v>
      </c>
      <c r="H240" s="35" t="s">
        <v>297</v>
      </c>
      <c r="I240" s="35" t="s">
        <v>297</v>
      </c>
      <c r="J240" s="35"/>
      <c r="K240" t="s">
        <v>582</v>
      </c>
      <c r="L240" s="35" t="s">
        <v>73</v>
      </c>
      <c r="N240" t="s">
        <v>64</v>
      </c>
      <c r="O240" t="s">
        <v>180</v>
      </c>
      <c r="P240" s="1" t="s">
        <v>65</v>
      </c>
      <c r="Q240">
        <v>2020</v>
      </c>
      <c r="R240">
        <v>2020</v>
      </c>
      <c r="S240">
        <v>2020</v>
      </c>
      <c r="T240" t="s">
        <v>64</v>
      </c>
      <c r="U240" t="s">
        <v>64</v>
      </c>
      <c r="V240" t="s">
        <v>64</v>
      </c>
    </row>
    <row r="241" spans="2:22" ht="48">
      <c r="B241" t="s">
        <v>756</v>
      </c>
      <c r="C241" t="s">
        <v>58</v>
      </c>
      <c r="D241" s="1" t="s">
        <v>144</v>
      </c>
      <c r="E241" s="1" t="s">
        <v>759</v>
      </c>
      <c r="F241" s="1"/>
      <c r="G241" s="1" t="s">
        <v>760</v>
      </c>
      <c r="H241" s="35" t="s">
        <v>62</v>
      </c>
      <c r="I241" s="35" t="s">
        <v>62</v>
      </c>
      <c r="J241" s="35"/>
      <c r="K241" t="s">
        <v>582</v>
      </c>
      <c r="L241" s="35" t="s">
        <v>73</v>
      </c>
      <c r="N241" t="s">
        <v>64</v>
      </c>
      <c r="O241" t="s">
        <v>180</v>
      </c>
      <c r="P241" s="1" t="s">
        <v>65</v>
      </c>
      <c r="Q241">
        <v>2021</v>
      </c>
      <c r="R241">
        <v>2021</v>
      </c>
      <c r="S241" t="s">
        <v>761</v>
      </c>
      <c r="T241" t="s">
        <v>67</v>
      </c>
      <c r="U241" t="s">
        <v>64</v>
      </c>
      <c r="V241" t="s">
        <v>64</v>
      </c>
    </row>
    <row r="242" spans="2:22" ht="48">
      <c r="B242" t="s">
        <v>756</v>
      </c>
      <c r="C242" t="s">
        <v>58</v>
      </c>
      <c r="D242" s="1" t="s">
        <v>144</v>
      </c>
      <c r="E242" s="1" t="s">
        <v>762</v>
      </c>
      <c r="F242" s="1"/>
      <c r="G242" s="1" t="s">
        <v>763</v>
      </c>
      <c r="H242" s="28" t="s">
        <v>764</v>
      </c>
      <c r="I242" s="28" t="s">
        <v>765</v>
      </c>
      <c r="J242" s="28"/>
      <c r="K242" t="s">
        <v>582</v>
      </c>
      <c r="L242" s="35" t="s">
        <v>73</v>
      </c>
      <c r="N242" t="s">
        <v>64</v>
      </c>
      <c r="O242" t="s">
        <v>180</v>
      </c>
      <c r="P242" s="1" t="s">
        <v>65</v>
      </c>
      <c r="Q242">
        <v>2020</v>
      </c>
      <c r="R242">
        <v>2020</v>
      </c>
      <c r="S242" s="35" t="s">
        <v>112</v>
      </c>
      <c r="T242" t="s">
        <v>67</v>
      </c>
      <c r="U242" t="s">
        <v>64</v>
      </c>
      <c r="V242" t="s">
        <v>64</v>
      </c>
    </row>
    <row r="243" spans="2:22" ht="48">
      <c r="B243" t="s">
        <v>756</v>
      </c>
      <c r="C243" t="s">
        <v>58</v>
      </c>
      <c r="D243" s="1" t="s">
        <v>144</v>
      </c>
      <c r="E243" s="1" t="s">
        <v>766</v>
      </c>
      <c r="F243" s="1"/>
      <c r="G243" s="28" t="s">
        <v>767</v>
      </c>
      <c r="H243" s="35" t="s">
        <v>667</v>
      </c>
      <c r="I243" s="35" t="s">
        <v>431</v>
      </c>
      <c r="J243" s="35"/>
      <c r="K243" t="s">
        <v>582</v>
      </c>
      <c r="L243" s="35" t="s">
        <v>73</v>
      </c>
      <c r="N243" t="s">
        <v>64</v>
      </c>
      <c r="O243" t="s">
        <v>180</v>
      </c>
      <c r="P243" s="1" t="s">
        <v>65</v>
      </c>
      <c r="Q243">
        <v>2020</v>
      </c>
      <c r="R243">
        <v>2021</v>
      </c>
      <c r="S243" s="35" t="s">
        <v>343</v>
      </c>
      <c r="T243" t="s">
        <v>67</v>
      </c>
      <c r="U243" t="s">
        <v>64</v>
      </c>
      <c r="V243" t="s">
        <v>64</v>
      </c>
    </row>
    <row r="244" spans="2:22" ht="96">
      <c r="B244" t="s">
        <v>756</v>
      </c>
      <c r="C244" t="s">
        <v>58</v>
      </c>
      <c r="D244" s="1" t="s">
        <v>768</v>
      </c>
      <c r="E244" s="1" t="s">
        <v>769</v>
      </c>
      <c r="F244" s="1"/>
      <c r="G244" s="1" t="s">
        <v>770</v>
      </c>
      <c r="H244" s="28" t="s">
        <v>771</v>
      </c>
      <c r="I244" s="28" t="s">
        <v>771</v>
      </c>
      <c r="J244" s="28"/>
      <c r="K244" t="s">
        <v>582</v>
      </c>
      <c r="L244" s="35" t="s">
        <v>73</v>
      </c>
      <c r="M244" s="1" t="s">
        <v>772</v>
      </c>
      <c r="N244" t="s">
        <v>64</v>
      </c>
      <c r="O244" t="s">
        <v>180</v>
      </c>
      <c r="P244" s="1" t="s">
        <v>65</v>
      </c>
      <c r="Q244" t="s">
        <v>773</v>
      </c>
      <c r="R244">
        <v>2021</v>
      </c>
      <c r="S244" s="65" t="s">
        <v>355</v>
      </c>
      <c r="U244" t="s">
        <v>64</v>
      </c>
      <c r="V244" t="s">
        <v>67</v>
      </c>
    </row>
    <row r="245" spans="2:22" ht="63.95">
      <c r="B245" t="s">
        <v>756</v>
      </c>
      <c r="C245" t="s">
        <v>127</v>
      </c>
      <c r="D245" s="1" t="s">
        <v>144</v>
      </c>
      <c r="E245" s="1" t="s">
        <v>774</v>
      </c>
      <c r="F245" s="1"/>
      <c r="G245" s="1" t="s">
        <v>775</v>
      </c>
      <c r="H245" t="s">
        <v>62</v>
      </c>
      <c r="I245" t="s">
        <v>62</v>
      </c>
      <c r="N245" t="s">
        <v>64</v>
      </c>
      <c r="O245" t="s">
        <v>180</v>
      </c>
      <c r="P245" s="1" t="s">
        <v>65</v>
      </c>
      <c r="U245" t="s">
        <v>64</v>
      </c>
      <c r="V245" t="s">
        <v>67</v>
      </c>
    </row>
    <row r="246" spans="2:22" ht="63.95">
      <c r="B246" t="s">
        <v>756</v>
      </c>
      <c r="C246" t="s">
        <v>127</v>
      </c>
      <c r="D246" s="1" t="s">
        <v>144</v>
      </c>
      <c r="E246" s="1" t="s">
        <v>776</v>
      </c>
      <c r="F246" s="1"/>
      <c r="G246" s="35" t="s">
        <v>777</v>
      </c>
      <c r="H246" t="s">
        <v>159</v>
      </c>
      <c r="I246" t="s">
        <v>159</v>
      </c>
      <c r="N246" t="s">
        <v>64</v>
      </c>
      <c r="O246" t="s">
        <v>180</v>
      </c>
      <c r="P246" s="1" t="s">
        <v>65</v>
      </c>
      <c r="U246" t="s">
        <v>64</v>
      </c>
      <c r="V246" t="s">
        <v>67</v>
      </c>
    </row>
    <row r="247" spans="2:22" ht="80.099999999999994">
      <c r="B247" t="s">
        <v>756</v>
      </c>
      <c r="C247" t="s">
        <v>127</v>
      </c>
      <c r="D247" s="1" t="s">
        <v>144</v>
      </c>
      <c r="E247" s="1" t="s">
        <v>778</v>
      </c>
      <c r="F247" s="1"/>
      <c r="G247" s="28" t="s">
        <v>779</v>
      </c>
      <c r="H247" t="s">
        <v>159</v>
      </c>
      <c r="I247" t="s">
        <v>159</v>
      </c>
      <c r="N247" t="s">
        <v>64</v>
      </c>
      <c r="O247" t="s">
        <v>180</v>
      </c>
      <c r="P247" s="1" t="s">
        <v>65</v>
      </c>
      <c r="U247" t="s">
        <v>64</v>
      </c>
      <c r="V247" t="s">
        <v>67</v>
      </c>
    </row>
    <row r="248" spans="2:22" ht="80.099999999999994">
      <c r="B248" t="s">
        <v>780</v>
      </c>
      <c r="C248" t="s">
        <v>58</v>
      </c>
      <c r="D248" s="1" t="s">
        <v>59</v>
      </c>
      <c r="E248" s="1" t="s">
        <v>781</v>
      </c>
      <c r="F248" s="1"/>
      <c r="G248" t="s">
        <v>627</v>
      </c>
      <c r="H248" s="1" t="s">
        <v>782</v>
      </c>
      <c r="I248" s="1" t="s">
        <v>783</v>
      </c>
      <c r="J248" s="1"/>
      <c r="K248" t="s">
        <v>582</v>
      </c>
      <c r="L248" s="35" t="s">
        <v>73</v>
      </c>
      <c r="N248" t="s">
        <v>64</v>
      </c>
      <c r="O248" t="s">
        <v>180</v>
      </c>
      <c r="P248" s="1" t="s">
        <v>65</v>
      </c>
      <c r="Q248">
        <v>2022</v>
      </c>
      <c r="R248">
        <v>2022</v>
      </c>
      <c r="S248" t="s">
        <v>86</v>
      </c>
      <c r="T248" t="s">
        <v>67</v>
      </c>
      <c r="U248" t="s">
        <v>64</v>
      </c>
      <c r="V248" t="s">
        <v>67</v>
      </c>
    </row>
    <row r="249" spans="2:22" ht="80.099999999999994">
      <c r="B249" t="s">
        <v>780</v>
      </c>
      <c r="C249" t="s">
        <v>58</v>
      </c>
      <c r="D249" s="1" t="s">
        <v>59</v>
      </c>
      <c r="E249" s="1" t="s">
        <v>784</v>
      </c>
      <c r="F249" s="1"/>
      <c r="G249" s="1" t="s">
        <v>633</v>
      </c>
      <c r="H249" s="1" t="s">
        <v>782</v>
      </c>
      <c r="I249" s="1" t="s">
        <v>783</v>
      </c>
      <c r="J249" s="1"/>
      <c r="K249" t="s">
        <v>582</v>
      </c>
      <c r="L249" s="35" t="s">
        <v>73</v>
      </c>
      <c r="N249" t="s">
        <v>64</v>
      </c>
      <c r="O249" t="s">
        <v>180</v>
      </c>
      <c r="P249" s="1" t="s">
        <v>65</v>
      </c>
      <c r="Q249">
        <v>2022</v>
      </c>
      <c r="R249">
        <v>2022</v>
      </c>
      <c r="S249" t="s">
        <v>86</v>
      </c>
      <c r="T249" t="s">
        <v>67</v>
      </c>
      <c r="U249" t="s">
        <v>64</v>
      </c>
      <c r="V249" t="s">
        <v>67</v>
      </c>
    </row>
    <row r="250" spans="2:22" ht="48">
      <c r="B250" t="s">
        <v>780</v>
      </c>
      <c r="C250" t="s">
        <v>58</v>
      </c>
      <c r="D250" s="1" t="s">
        <v>59</v>
      </c>
      <c r="E250" s="1" t="s">
        <v>785</v>
      </c>
      <c r="F250" s="1"/>
      <c r="G250" s="1" t="s">
        <v>786</v>
      </c>
      <c r="H250" s="1" t="s">
        <v>782</v>
      </c>
      <c r="I250" s="1" t="s">
        <v>783</v>
      </c>
      <c r="J250" s="1"/>
      <c r="K250" t="s">
        <v>582</v>
      </c>
      <c r="L250" s="35" t="s">
        <v>73</v>
      </c>
      <c r="N250" t="s">
        <v>64</v>
      </c>
      <c r="O250" t="s">
        <v>180</v>
      </c>
      <c r="P250" s="1" t="s">
        <v>65</v>
      </c>
      <c r="Q250">
        <v>2021</v>
      </c>
      <c r="R250">
        <v>2021</v>
      </c>
      <c r="S250" t="s">
        <v>343</v>
      </c>
      <c r="T250" t="s">
        <v>67</v>
      </c>
      <c r="U250" t="s">
        <v>64</v>
      </c>
      <c r="V250" t="s">
        <v>64</v>
      </c>
    </row>
    <row r="251" spans="2:22" ht="48">
      <c r="B251" t="s">
        <v>780</v>
      </c>
      <c r="C251" t="s">
        <v>58</v>
      </c>
      <c r="D251" s="1" t="s">
        <v>59</v>
      </c>
      <c r="E251" s="1" t="s">
        <v>787</v>
      </c>
      <c r="F251" s="1"/>
      <c r="G251" s="1" t="s">
        <v>788</v>
      </c>
      <c r="H251" s="1" t="s">
        <v>782</v>
      </c>
      <c r="I251" s="1" t="s">
        <v>783</v>
      </c>
      <c r="J251" s="1"/>
      <c r="K251" t="s">
        <v>582</v>
      </c>
      <c r="L251" s="35" t="s">
        <v>73</v>
      </c>
      <c r="N251" t="s">
        <v>64</v>
      </c>
      <c r="O251" t="s">
        <v>180</v>
      </c>
      <c r="P251" s="1" t="s">
        <v>65</v>
      </c>
      <c r="Q251">
        <v>2022</v>
      </c>
      <c r="R251">
        <v>2022</v>
      </c>
      <c r="S251" t="s">
        <v>86</v>
      </c>
      <c r="T251" t="s">
        <v>67</v>
      </c>
      <c r="U251" t="s">
        <v>64</v>
      </c>
      <c r="V251" t="s">
        <v>67</v>
      </c>
    </row>
    <row r="252" spans="2:22" ht="48">
      <c r="B252" t="s">
        <v>780</v>
      </c>
      <c r="C252" t="s">
        <v>58</v>
      </c>
      <c r="D252" s="1" t="s">
        <v>59</v>
      </c>
      <c r="E252" s="1" t="s">
        <v>789</v>
      </c>
      <c r="F252" s="1"/>
      <c r="G252" s="28" t="s">
        <v>790</v>
      </c>
      <c r="H252" s="28" t="s">
        <v>791</v>
      </c>
      <c r="I252" s="28" t="s">
        <v>792</v>
      </c>
      <c r="J252" s="28"/>
      <c r="K252" t="s">
        <v>582</v>
      </c>
      <c r="L252" s="35" t="s">
        <v>73</v>
      </c>
      <c r="N252" t="s">
        <v>64</v>
      </c>
      <c r="O252" t="s">
        <v>180</v>
      </c>
      <c r="P252" s="1" t="s">
        <v>65</v>
      </c>
      <c r="Q252">
        <v>2022</v>
      </c>
      <c r="R252">
        <v>2022</v>
      </c>
      <c r="S252" t="s">
        <v>86</v>
      </c>
      <c r="T252" t="s">
        <v>67</v>
      </c>
      <c r="U252" t="s">
        <v>64</v>
      </c>
      <c r="V252" t="s">
        <v>67</v>
      </c>
    </row>
    <row r="253" spans="2:22" ht="48">
      <c r="B253" t="s">
        <v>780</v>
      </c>
      <c r="C253" t="s">
        <v>127</v>
      </c>
      <c r="D253" s="1" t="s">
        <v>128</v>
      </c>
      <c r="E253" s="1" t="s">
        <v>793</v>
      </c>
      <c r="F253" s="21" t="s">
        <v>794</v>
      </c>
      <c r="H253" s="1" t="s">
        <v>782</v>
      </c>
      <c r="I253" s="1" t="s">
        <v>783</v>
      </c>
      <c r="J253" s="1"/>
      <c r="K253" t="s">
        <v>582</v>
      </c>
      <c r="L253" s="35" t="s">
        <v>73</v>
      </c>
      <c r="M253" s="1" t="s">
        <v>795</v>
      </c>
      <c r="N253" t="s">
        <v>64</v>
      </c>
      <c r="O253" t="s">
        <v>180</v>
      </c>
      <c r="P253" s="1" t="s">
        <v>65</v>
      </c>
      <c r="Q253">
        <v>2022</v>
      </c>
      <c r="R253">
        <v>2022</v>
      </c>
      <c r="S253">
        <v>2022</v>
      </c>
      <c r="U253" t="s">
        <v>64</v>
      </c>
      <c r="V253" t="s">
        <v>64</v>
      </c>
    </row>
    <row r="254" spans="2:22" ht="111.95">
      <c r="B254" t="s">
        <v>780</v>
      </c>
      <c r="C254" t="s">
        <v>127</v>
      </c>
      <c r="D254" s="1" t="s">
        <v>59</v>
      </c>
      <c r="E254" s="1" t="s">
        <v>796</v>
      </c>
      <c r="F254" s="1"/>
      <c r="H254" t="s">
        <v>163</v>
      </c>
      <c r="I254" t="s">
        <v>163</v>
      </c>
      <c r="N254" t="s">
        <v>64</v>
      </c>
      <c r="O254" t="s">
        <v>180</v>
      </c>
      <c r="P254" s="1" t="s">
        <v>65</v>
      </c>
      <c r="Q254">
        <v>2022</v>
      </c>
      <c r="R254">
        <v>2022</v>
      </c>
      <c r="S254">
        <v>2022</v>
      </c>
      <c r="U254" t="s">
        <v>64</v>
      </c>
      <c r="V254" t="s">
        <v>64</v>
      </c>
    </row>
    <row r="255" spans="2:22" ht="48">
      <c r="B255" t="s">
        <v>780</v>
      </c>
      <c r="C255" t="s">
        <v>127</v>
      </c>
      <c r="D255" s="1" t="s">
        <v>59</v>
      </c>
      <c r="E255" s="1" t="s">
        <v>797</v>
      </c>
      <c r="F255" s="1"/>
      <c r="H255" s="1" t="s">
        <v>798</v>
      </c>
      <c r="I255" s="1" t="s">
        <v>799</v>
      </c>
      <c r="J255" s="1"/>
      <c r="N255" t="s">
        <v>64</v>
      </c>
      <c r="O255" t="s">
        <v>180</v>
      </c>
      <c r="P255" s="1" t="s">
        <v>65</v>
      </c>
      <c r="Q255">
        <v>2022</v>
      </c>
      <c r="R255">
        <v>2022</v>
      </c>
      <c r="S255">
        <v>2022</v>
      </c>
      <c r="U255" t="s">
        <v>64</v>
      </c>
      <c r="V255" t="s">
        <v>64</v>
      </c>
    </row>
    <row r="256" spans="2:22" ht="63.95">
      <c r="B256" t="s">
        <v>800</v>
      </c>
      <c r="C256" t="s">
        <v>58</v>
      </c>
      <c r="D256" s="1" t="s">
        <v>426</v>
      </c>
      <c r="E256" s="1" t="s">
        <v>801</v>
      </c>
      <c r="F256" s="1"/>
      <c r="H256" t="s">
        <v>62</v>
      </c>
      <c r="I256" t="s">
        <v>62</v>
      </c>
      <c r="K256" t="s">
        <v>582</v>
      </c>
      <c r="L256" s="35" t="s">
        <v>73</v>
      </c>
      <c r="N256" t="s">
        <v>67</v>
      </c>
      <c r="O256" s="21" t="s">
        <v>802</v>
      </c>
      <c r="P256" s="1" t="s">
        <v>65</v>
      </c>
      <c r="Q256">
        <v>2021</v>
      </c>
      <c r="R256">
        <v>2021</v>
      </c>
      <c r="S256">
        <v>2021</v>
      </c>
      <c r="T256" t="s">
        <v>67</v>
      </c>
      <c r="U256" t="s">
        <v>64</v>
      </c>
      <c r="V256" t="s">
        <v>64</v>
      </c>
    </row>
    <row r="257" spans="2:22" ht="48">
      <c r="B257" t="s">
        <v>800</v>
      </c>
      <c r="C257" t="s">
        <v>58</v>
      </c>
      <c r="D257" s="1" t="s">
        <v>59</v>
      </c>
      <c r="E257" s="1" t="s">
        <v>803</v>
      </c>
      <c r="F257" s="1"/>
      <c r="G257" s="28" t="s">
        <v>804</v>
      </c>
      <c r="H257" s="1" t="s">
        <v>805</v>
      </c>
      <c r="I257" s="1" t="s">
        <v>806</v>
      </c>
      <c r="J257" s="1"/>
      <c r="K257" t="s">
        <v>582</v>
      </c>
      <c r="L257" s="35" t="s">
        <v>73</v>
      </c>
      <c r="N257" t="s">
        <v>64</v>
      </c>
      <c r="O257" t="s">
        <v>180</v>
      </c>
      <c r="P257" s="1" t="s">
        <v>65</v>
      </c>
      <c r="Q257">
        <v>2020</v>
      </c>
      <c r="R257">
        <v>2020</v>
      </c>
      <c r="S257">
        <v>2020</v>
      </c>
      <c r="T257" t="s">
        <v>67</v>
      </c>
      <c r="U257" t="s">
        <v>64</v>
      </c>
      <c r="V257" t="s">
        <v>64</v>
      </c>
    </row>
    <row r="258" spans="2:22" ht="48">
      <c r="B258" t="s">
        <v>800</v>
      </c>
      <c r="C258" t="s">
        <v>127</v>
      </c>
      <c r="D258" s="1" t="s">
        <v>59</v>
      </c>
      <c r="E258" s="1" t="s">
        <v>807</v>
      </c>
      <c r="F258" s="1"/>
      <c r="H258" t="s">
        <v>808</v>
      </c>
      <c r="I258" t="s">
        <v>808</v>
      </c>
      <c r="N258" t="s">
        <v>64</v>
      </c>
      <c r="O258" t="s">
        <v>180</v>
      </c>
      <c r="P258" s="1" t="s">
        <v>65</v>
      </c>
      <c r="Q258">
        <v>2010</v>
      </c>
      <c r="R258">
        <v>2010</v>
      </c>
      <c r="S258">
        <v>2010</v>
      </c>
      <c r="T258" t="s">
        <v>64</v>
      </c>
      <c r="U258" t="s">
        <v>64</v>
      </c>
      <c r="V258" t="s">
        <v>64</v>
      </c>
    </row>
    <row r="259" spans="2:22" ht="48">
      <c r="B259" t="s">
        <v>809</v>
      </c>
      <c r="C259" t="s">
        <v>58</v>
      </c>
      <c r="D259" s="1" t="s">
        <v>59</v>
      </c>
      <c r="E259" s="1" t="s">
        <v>810</v>
      </c>
      <c r="F259" s="1"/>
      <c r="G259" s="1" t="s">
        <v>811</v>
      </c>
      <c r="H259" s="54" t="s">
        <v>812</v>
      </c>
      <c r="I259" s="54" t="s">
        <v>813</v>
      </c>
      <c r="J259" s="54"/>
      <c r="K259" t="s">
        <v>582</v>
      </c>
      <c r="L259" s="35" t="s">
        <v>73</v>
      </c>
      <c r="N259" t="s">
        <v>64</v>
      </c>
      <c r="O259" t="s">
        <v>180</v>
      </c>
      <c r="P259" s="1" t="s">
        <v>65</v>
      </c>
      <c r="Q259">
        <v>2020</v>
      </c>
      <c r="R259">
        <v>2020</v>
      </c>
      <c r="S259">
        <v>2020</v>
      </c>
      <c r="T259" t="s">
        <v>67</v>
      </c>
      <c r="U259" t="s">
        <v>64</v>
      </c>
      <c r="V259" t="s">
        <v>64</v>
      </c>
    </row>
    <row r="260" spans="2:22" ht="48">
      <c r="B260" t="s">
        <v>809</v>
      </c>
      <c r="C260" t="s">
        <v>58</v>
      </c>
      <c r="D260" s="1" t="s">
        <v>59</v>
      </c>
      <c r="E260" s="1" t="s">
        <v>814</v>
      </c>
      <c r="F260" s="1"/>
      <c r="G260" s="1" t="s">
        <v>815</v>
      </c>
      <c r="H260" t="s">
        <v>163</v>
      </c>
      <c r="I260" t="s">
        <v>163</v>
      </c>
      <c r="K260" t="s">
        <v>582</v>
      </c>
      <c r="L260" s="35" t="s">
        <v>73</v>
      </c>
      <c r="N260" t="s">
        <v>64</v>
      </c>
      <c r="O260" t="s">
        <v>180</v>
      </c>
      <c r="P260" s="1" t="s">
        <v>65</v>
      </c>
      <c r="Q260">
        <v>2020</v>
      </c>
      <c r="R260">
        <v>2020</v>
      </c>
      <c r="S260">
        <v>2020</v>
      </c>
      <c r="T260" t="s">
        <v>67</v>
      </c>
      <c r="U260" t="s">
        <v>64</v>
      </c>
      <c r="V260" t="s">
        <v>64</v>
      </c>
    </row>
    <row r="261" spans="2:22" ht="48">
      <c r="B261" t="s">
        <v>809</v>
      </c>
      <c r="C261" t="s">
        <v>58</v>
      </c>
      <c r="D261" s="1" t="s">
        <v>59</v>
      </c>
      <c r="E261" s="1" t="s">
        <v>816</v>
      </c>
      <c r="F261" s="1"/>
      <c r="G261" s="35" t="s">
        <v>817</v>
      </c>
      <c r="H261" s="51" t="s">
        <v>818</v>
      </c>
      <c r="I261" s="51" t="s">
        <v>819</v>
      </c>
      <c r="J261" s="51"/>
      <c r="K261" t="s">
        <v>582</v>
      </c>
      <c r="L261" s="35" t="s">
        <v>73</v>
      </c>
      <c r="N261" t="s">
        <v>64</v>
      </c>
      <c r="O261" t="s">
        <v>180</v>
      </c>
      <c r="P261" s="1" t="s">
        <v>65</v>
      </c>
      <c r="Q261">
        <v>2020</v>
      </c>
      <c r="R261">
        <v>2020</v>
      </c>
      <c r="S261">
        <v>2020</v>
      </c>
      <c r="T261" t="s">
        <v>67</v>
      </c>
      <c r="U261" t="s">
        <v>64</v>
      </c>
      <c r="V261" t="s">
        <v>64</v>
      </c>
    </row>
    <row r="262" spans="2:22" ht="63.95">
      <c r="B262" t="s">
        <v>809</v>
      </c>
      <c r="C262" t="s">
        <v>127</v>
      </c>
      <c r="D262" s="1" t="s">
        <v>144</v>
      </c>
      <c r="E262" s="1" t="s">
        <v>820</v>
      </c>
      <c r="F262" s="1"/>
      <c r="G262" s="1" t="s">
        <v>821</v>
      </c>
      <c r="H262" s="35" t="s">
        <v>297</v>
      </c>
      <c r="I262" s="35" t="s">
        <v>297</v>
      </c>
      <c r="J262" s="35"/>
      <c r="K262" s="1" t="s">
        <v>658</v>
      </c>
      <c r="L262" s="1" t="s">
        <v>165</v>
      </c>
      <c r="M262" s="1" t="s">
        <v>822</v>
      </c>
      <c r="N262" t="s">
        <v>64</v>
      </c>
      <c r="O262" t="s">
        <v>180</v>
      </c>
      <c r="P262" s="1" t="s">
        <v>65</v>
      </c>
      <c r="Q262">
        <v>2020</v>
      </c>
      <c r="R262">
        <v>2020</v>
      </c>
      <c r="S262">
        <v>2020</v>
      </c>
      <c r="T262" t="s">
        <v>67</v>
      </c>
      <c r="U262" t="s">
        <v>64</v>
      </c>
      <c r="V262" t="s">
        <v>67</v>
      </c>
    </row>
    <row r="263" spans="2:22" ht="63.95">
      <c r="B263" t="s">
        <v>809</v>
      </c>
      <c r="C263" t="s">
        <v>127</v>
      </c>
      <c r="D263" s="1" t="s">
        <v>144</v>
      </c>
      <c r="E263" s="1" t="s">
        <v>823</v>
      </c>
      <c r="F263" s="1"/>
      <c r="G263" s="1" t="s">
        <v>824</v>
      </c>
      <c r="H263" t="s">
        <v>825</v>
      </c>
      <c r="I263" t="s">
        <v>431</v>
      </c>
      <c r="K263" s="1" t="s">
        <v>658</v>
      </c>
      <c r="L263" s="1" t="s">
        <v>165</v>
      </c>
      <c r="M263" s="1" t="s">
        <v>822</v>
      </c>
      <c r="N263" t="s">
        <v>64</v>
      </c>
      <c r="O263" t="s">
        <v>180</v>
      </c>
      <c r="P263" s="1" t="s">
        <v>65</v>
      </c>
      <c r="Q263">
        <v>2020</v>
      </c>
      <c r="R263">
        <v>2020</v>
      </c>
      <c r="S263">
        <v>2020</v>
      </c>
      <c r="T263" t="s">
        <v>67</v>
      </c>
      <c r="U263" t="s">
        <v>64</v>
      </c>
      <c r="V263" t="s">
        <v>67</v>
      </c>
    </row>
    <row r="264" spans="2:22" ht="63.95">
      <c r="B264" t="s">
        <v>809</v>
      </c>
      <c r="C264" t="s">
        <v>127</v>
      </c>
      <c r="D264" s="1" t="s">
        <v>649</v>
      </c>
      <c r="E264" s="1" t="s">
        <v>826</v>
      </c>
      <c r="F264" s="21" t="s">
        <v>827</v>
      </c>
      <c r="G264" s="1" t="s">
        <v>828</v>
      </c>
      <c r="H264" s="35" t="s">
        <v>829</v>
      </c>
      <c r="I264" s="28" t="s">
        <v>304</v>
      </c>
      <c r="J264" s="35"/>
      <c r="K264" s="1" t="s">
        <v>658</v>
      </c>
      <c r="L264" s="1" t="s">
        <v>165</v>
      </c>
      <c r="M264" s="1" t="s">
        <v>822</v>
      </c>
      <c r="N264" t="s">
        <v>64</v>
      </c>
      <c r="O264" t="s">
        <v>180</v>
      </c>
      <c r="P264" s="1" t="s">
        <v>65</v>
      </c>
      <c r="Q264">
        <v>2020</v>
      </c>
      <c r="R264">
        <v>2020</v>
      </c>
      <c r="S264">
        <v>2020</v>
      </c>
      <c r="T264" t="s">
        <v>67</v>
      </c>
      <c r="U264" t="s">
        <v>64</v>
      </c>
      <c r="V264" t="s">
        <v>67</v>
      </c>
    </row>
    <row r="265" spans="2:22" ht="63.95">
      <c r="B265" t="s">
        <v>830</v>
      </c>
      <c r="C265" t="s">
        <v>58</v>
      </c>
      <c r="D265" s="1" t="s">
        <v>144</v>
      </c>
      <c r="E265" s="1" t="s">
        <v>831</v>
      </c>
      <c r="F265" s="1"/>
      <c r="G265" s="1" t="s">
        <v>832</v>
      </c>
      <c r="H265" s="1" t="s">
        <v>833</v>
      </c>
      <c r="I265" s="1" t="s">
        <v>833</v>
      </c>
      <c r="J265" s="1"/>
      <c r="K265" t="s">
        <v>582</v>
      </c>
      <c r="L265" s="35" t="s">
        <v>73</v>
      </c>
      <c r="M265" t="s">
        <v>834</v>
      </c>
      <c r="N265" t="s">
        <v>64</v>
      </c>
      <c r="O265" t="s">
        <v>180</v>
      </c>
      <c r="P265" s="1" t="s">
        <v>65</v>
      </c>
      <c r="Q265">
        <v>2022</v>
      </c>
      <c r="R265">
        <v>2022</v>
      </c>
      <c r="S265" t="s">
        <v>86</v>
      </c>
      <c r="T265" t="s">
        <v>67</v>
      </c>
      <c r="U265" t="s">
        <v>64</v>
      </c>
      <c r="V265" t="s">
        <v>67</v>
      </c>
    </row>
    <row r="266" spans="2:22" ht="63.95">
      <c r="B266" t="s">
        <v>830</v>
      </c>
      <c r="C266" t="s">
        <v>58</v>
      </c>
      <c r="D266" s="1" t="s">
        <v>144</v>
      </c>
      <c r="E266" s="1" t="s">
        <v>835</v>
      </c>
      <c r="F266" s="1"/>
      <c r="G266" s="1" t="s">
        <v>836</v>
      </c>
      <c r="H266" s="1" t="s">
        <v>837</v>
      </c>
      <c r="I266" s="1" t="s">
        <v>174</v>
      </c>
      <c r="J266" s="1"/>
      <c r="K266" t="s">
        <v>582</v>
      </c>
      <c r="L266" s="35" t="s">
        <v>73</v>
      </c>
      <c r="N266" t="s">
        <v>64</v>
      </c>
      <c r="O266" t="s">
        <v>180</v>
      </c>
      <c r="P266" s="1" t="s">
        <v>65</v>
      </c>
      <c r="Q266">
        <v>2022</v>
      </c>
      <c r="R266">
        <v>2022</v>
      </c>
      <c r="S266" t="s">
        <v>86</v>
      </c>
      <c r="T266" t="s">
        <v>67</v>
      </c>
      <c r="U266" t="s">
        <v>64</v>
      </c>
      <c r="V266" t="s">
        <v>67</v>
      </c>
    </row>
    <row r="267" spans="2:22" ht="48">
      <c r="B267" t="s">
        <v>830</v>
      </c>
      <c r="C267" t="s">
        <v>58</v>
      </c>
      <c r="D267" s="1" t="s">
        <v>144</v>
      </c>
      <c r="E267" s="1" t="s">
        <v>838</v>
      </c>
      <c r="F267" s="1"/>
      <c r="G267" s="1" t="s">
        <v>836</v>
      </c>
      <c r="H267" s="28" t="s">
        <v>839</v>
      </c>
      <c r="I267" s="28" t="s">
        <v>840</v>
      </c>
      <c r="J267" s="28"/>
      <c r="K267" t="s">
        <v>582</v>
      </c>
      <c r="L267" s="35" t="s">
        <v>73</v>
      </c>
      <c r="N267" t="s">
        <v>64</v>
      </c>
      <c r="O267" t="s">
        <v>180</v>
      </c>
      <c r="P267" s="1" t="s">
        <v>65</v>
      </c>
      <c r="Q267">
        <v>2022</v>
      </c>
      <c r="R267">
        <v>2022</v>
      </c>
      <c r="S267">
        <v>2022</v>
      </c>
      <c r="T267" t="s">
        <v>67</v>
      </c>
      <c r="U267" t="s">
        <v>64</v>
      </c>
      <c r="V267" t="s">
        <v>67</v>
      </c>
    </row>
    <row r="268" spans="2:22" ht="63.95">
      <c r="B268" t="s">
        <v>830</v>
      </c>
      <c r="C268" t="s">
        <v>127</v>
      </c>
      <c r="D268" s="1" t="s">
        <v>59</v>
      </c>
      <c r="E268" s="1" t="s">
        <v>841</v>
      </c>
      <c r="F268" s="1"/>
      <c r="G268" s="1" t="s">
        <v>842</v>
      </c>
      <c r="H268" s="28" t="s">
        <v>839</v>
      </c>
      <c r="I268" s="28" t="s">
        <v>840</v>
      </c>
      <c r="J268" s="28"/>
      <c r="N268" t="s">
        <v>64</v>
      </c>
      <c r="O268" t="s">
        <v>180</v>
      </c>
      <c r="P268" s="1" t="s">
        <v>65</v>
      </c>
      <c r="Q268">
        <v>2022</v>
      </c>
      <c r="R268">
        <v>2022</v>
      </c>
      <c r="S268">
        <v>2022</v>
      </c>
      <c r="T268" t="s">
        <v>67</v>
      </c>
      <c r="U268" t="s">
        <v>64</v>
      </c>
      <c r="V268" t="s">
        <v>67</v>
      </c>
    </row>
    <row r="269" spans="2:22" ht="80.099999999999994">
      <c r="B269" s="1" t="s">
        <v>843</v>
      </c>
      <c r="C269" t="s">
        <v>58</v>
      </c>
      <c r="D269" s="1" t="s">
        <v>59</v>
      </c>
      <c r="E269" s="1" t="s">
        <v>844</v>
      </c>
      <c r="F269" s="1"/>
      <c r="H269" s="28" t="s">
        <v>845</v>
      </c>
      <c r="I269" s="28" t="s">
        <v>846</v>
      </c>
      <c r="J269" s="28"/>
      <c r="K269" t="s">
        <v>582</v>
      </c>
      <c r="L269" s="35" t="s">
        <v>73</v>
      </c>
      <c r="N269" t="s">
        <v>64</v>
      </c>
      <c r="O269" t="s">
        <v>180</v>
      </c>
      <c r="P269" s="1" t="s">
        <v>65</v>
      </c>
      <c r="Q269">
        <v>2022</v>
      </c>
      <c r="R269">
        <v>2022</v>
      </c>
      <c r="S269" t="s">
        <v>847</v>
      </c>
      <c r="T269" t="s">
        <v>67</v>
      </c>
      <c r="U269" t="s">
        <v>64</v>
      </c>
      <c r="V269" t="s">
        <v>64</v>
      </c>
    </row>
    <row r="270" spans="2:22" ht="48">
      <c r="B270" s="1" t="s">
        <v>843</v>
      </c>
      <c r="C270" t="s">
        <v>58</v>
      </c>
      <c r="D270" s="1" t="s">
        <v>649</v>
      </c>
      <c r="E270" s="1" t="s">
        <v>848</v>
      </c>
      <c r="F270" s="1"/>
      <c r="G270" s="1" t="s">
        <v>849</v>
      </c>
      <c r="H270" t="s">
        <v>62</v>
      </c>
      <c r="I270" t="s">
        <v>62</v>
      </c>
      <c r="K270" t="s">
        <v>582</v>
      </c>
      <c r="L270" s="35" t="s">
        <v>73</v>
      </c>
      <c r="N270" t="s">
        <v>64</v>
      </c>
      <c r="O270" t="s">
        <v>180</v>
      </c>
      <c r="P270" s="1" t="s">
        <v>65</v>
      </c>
      <c r="Q270">
        <v>2022</v>
      </c>
      <c r="R270">
        <v>2022</v>
      </c>
      <c r="S270">
        <v>2022</v>
      </c>
      <c r="T270" t="s">
        <v>67</v>
      </c>
      <c r="U270" t="s">
        <v>64</v>
      </c>
      <c r="V270" t="s">
        <v>64</v>
      </c>
    </row>
    <row r="271" spans="2:22" ht="48">
      <c r="B271" s="1" t="s">
        <v>843</v>
      </c>
      <c r="C271" t="s">
        <v>58</v>
      </c>
      <c r="D271" s="1" t="s">
        <v>620</v>
      </c>
      <c r="E271" s="1" t="s">
        <v>850</v>
      </c>
      <c r="F271" s="1"/>
      <c r="G271" s="1" t="s">
        <v>851</v>
      </c>
      <c r="H271" t="s">
        <v>62</v>
      </c>
      <c r="I271" t="s">
        <v>62</v>
      </c>
      <c r="K271" t="s">
        <v>582</v>
      </c>
      <c r="L271" s="35" t="s">
        <v>73</v>
      </c>
      <c r="N271" t="s">
        <v>64</v>
      </c>
      <c r="O271" t="s">
        <v>180</v>
      </c>
      <c r="P271" s="1" t="s">
        <v>65</v>
      </c>
      <c r="Q271">
        <v>2022</v>
      </c>
      <c r="R271">
        <v>2022</v>
      </c>
      <c r="S271">
        <v>2022</v>
      </c>
      <c r="T271" t="s">
        <v>67</v>
      </c>
      <c r="U271" t="s">
        <v>64</v>
      </c>
      <c r="V271" t="s">
        <v>64</v>
      </c>
    </row>
    <row r="272" spans="2:22" ht="48">
      <c r="B272" s="1" t="s">
        <v>843</v>
      </c>
      <c r="C272" t="s">
        <v>58</v>
      </c>
      <c r="D272" s="1" t="s">
        <v>649</v>
      </c>
      <c r="E272" s="1" t="s">
        <v>852</v>
      </c>
      <c r="F272" s="1"/>
      <c r="G272" s="1" t="s">
        <v>849</v>
      </c>
      <c r="H272" t="s">
        <v>163</v>
      </c>
      <c r="I272" t="s">
        <v>163</v>
      </c>
      <c r="K272" t="s">
        <v>582</v>
      </c>
      <c r="L272" s="35" t="s">
        <v>73</v>
      </c>
      <c r="N272" t="s">
        <v>64</v>
      </c>
      <c r="O272" t="s">
        <v>180</v>
      </c>
      <c r="P272" s="1" t="s">
        <v>65</v>
      </c>
      <c r="Q272">
        <v>2022</v>
      </c>
      <c r="R272">
        <v>2022</v>
      </c>
      <c r="S272">
        <v>2022</v>
      </c>
      <c r="T272" t="s">
        <v>67</v>
      </c>
      <c r="U272" t="s">
        <v>64</v>
      </c>
      <c r="V272" t="s">
        <v>64</v>
      </c>
    </row>
    <row r="273" spans="2:22" ht="32.1">
      <c r="B273" s="1" t="s">
        <v>843</v>
      </c>
      <c r="C273" t="s">
        <v>58</v>
      </c>
      <c r="D273" s="1" t="s">
        <v>649</v>
      </c>
      <c r="E273" s="1" t="s">
        <v>853</v>
      </c>
      <c r="F273" s="1"/>
      <c r="G273" s="1" t="s">
        <v>851</v>
      </c>
      <c r="H273" t="s">
        <v>163</v>
      </c>
      <c r="I273" t="s">
        <v>163</v>
      </c>
      <c r="K273" t="s">
        <v>582</v>
      </c>
      <c r="L273" s="35" t="s">
        <v>73</v>
      </c>
      <c r="N273" t="s">
        <v>64</v>
      </c>
      <c r="O273" t="s">
        <v>180</v>
      </c>
      <c r="P273" s="1" t="s">
        <v>65</v>
      </c>
      <c r="Q273">
        <v>2022</v>
      </c>
      <c r="R273">
        <v>2022</v>
      </c>
      <c r="S273">
        <v>2022</v>
      </c>
      <c r="T273" t="s">
        <v>67</v>
      </c>
      <c r="U273" t="s">
        <v>64</v>
      </c>
      <c r="V273" t="s">
        <v>64</v>
      </c>
    </row>
    <row r="274" spans="2:22" ht="32.1">
      <c r="B274" s="1" t="s">
        <v>843</v>
      </c>
      <c r="C274" t="s">
        <v>58</v>
      </c>
      <c r="D274" s="1" t="s">
        <v>649</v>
      </c>
      <c r="E274" s="1" t="s">
        <v>850</v>
      </c>
      <c r="F274" s="1"/>
      <c r="G274" s="1" t="s">
        <v>854</v>
      </c>
      <c r="H274" t="s">
        <v>602</v>
      </c>
      <c r="I274" t="s">
        <v>431</v>
      </c>
      <c r="K274" t="s">
        <v>582</v>
      </c>
      <c r="L274" s="35" t="s">
        <v>73</v>
      </c>
      <c r="N274" t="s">
        <v>64</v>
      </c>
      <c r="O274" t="s">
        <v>180</v>
      </c>
      <c r="P274" s="1" t="s">
        <v>65</v>
      </c>
      <c r="Q274">
        <v>2022</v>
      </c>
      <c r="R274">
        <v>2022</v>
      </c>
      <c r="S274">
        <v>2022</v>
      </c>
      <c r="T274" t="s">
        <v>67</v>
      </c>
      <c r="U274" t="s">
        <v>64</v>
      </c>
      <c r="V274" t="s">
        <v>64</v>
      </c>
    </row>
    <row r="275" spans="2:22" ht="48">
      <c r="B275" s="1" t="s">
        <v>843</v>
      </c>
      <c r="C275" t="s">
        <v>127</v>
      </c>
      <c r="D275" s="1" t="s">
        <v>620</v>
      </c>
      <c r="E275" s="1" t="s">
        <v>855</v>
      </c>
      <c r="F275" s="1"/>
      <c r="G275" s="1" t="s">
        <v>856</v>
      </c>
      <c r="H275" s="28" t="s">
        <v>845</v>
      </c>
      <c r="I275" s="28" t="s">
        <v>846</v>
      </c>
      <c r="J275" s="28"/>
      <c r="K275" s="1" t="s">
        <v>658</v>
      </c>
      <c r="L275" s="1" t="s">
        <v>165</v>
      </c>
      <c r="M275" s="1" t="s">
        <v>857</v>
      </c>
      <c r="N275" t="s">
        <v>64</v>
      </c>
      <c r="O275" t="s">
        <v>180</v>
      </c>
      <c r="P275" s="1" t="s">
        <v>65</v>
      </c>
      <c r="Q275">
        <v>2022</v>
      </c>
      <c r="R275">
        <v>2022</v>
      </c>
      <c r="S275">
        <v>2022</v>
      </c>
      <c r="T275" t="s">
        <v>67</v>
      </c>
      <c r="U275" t="s">
        <v>64</v>
      </c>
      <c r="V275" t="s">
        <v>67</v>
      </c>
    </row>
    <row r="276" spans="2:22" ht="80.099999999999994">
      <c r="B276" t="s">
        <v>858</v>
      </c>
      <c r="C276" t="s">
        <v>575</v>
      </c>
      <c r="D276" s="1" t="s">
        <v>144</v>
      </c>
      <c r="E276" s="1" t="s">
        <v>859</v>
      </c>
      <c r="F276" s="1"/>
      <c r="H276" s="1" t="s">
        <v>860</v>
      </c>
      <c r="I276" s="1" t="s">
        <v>861</v>
      </c>
      <c r="J276" s="1"/>
      <c r="K276" t="s">
        <v>582</v>
      </c>
      <c r="L276" s="35" t="s">
        <v>73</v>
      </c>
      <c r="N276" t="s">
        <v>67</v>
      </c>
      <c r="P276" s="1" t="s">
        <v>65</v>
      </c>
      <c r="Q276">
        <v>2021</v>
      </c>
      <c r="R276">
        <v>2021</v>
      </c>
      <c r="S276">
        <v>2021</v>
      </c>
      <c r="T276" t="s">
        <v>67</v>
      </c>
      <c r="U276" t="s">
        <v>64</v>
      </c>
      <c r="V276" t="s">
        <v>64</v>
      </c>
    </row>
    <row r="277" spans="2:22" ht="48">
      <c r="B277" t="s">
        <v>858</v>
      </c>
      <c r="C277" t="s">
        <v>575</v>
      </c>
      <c r="D277" s="1" t="s">
        <v>144</v>
      </c>
      <c r="E277" s="1" t="s">
        <v>862</v>
      </c>
      <c r="F277" s="1"/>
      <c r="H277" s="1" t="s">
        <v>297</v>
      </c>
      <c r="I277" s="1" t="s">
        <v>297</v>
      </c>
      <c r="J277" s="1"/>
      <c r="K277" t="s">
        <v>582</v>
      </c>
      <c r="L277" s="35" t="s">
        <v>73</v>
      </c>
      <c r="N277" t="s">
        <v>67</v>
      </c>
      <c r="P277" s="1" t="s">
        <v>65</v>
      </c>
      <c r="Q277">
        <v>2021</v>
      </c>
      <c r="R277">
        <v>2021</v>
      </c>
      <c r="S277">
        <v>2021</v>
      </c>
      <c r="T277" t="s">
        <v>67</v>
      </c>
      <c r="U277" t="s">
        <v>64</v>
      </c>
      <c r="V277" t="s">
        <v>64</v>
      </c>
    </row>
    <row r="278" spans="2:22" ht="48">
      <c r="B278" t="s">
        <v>858</v>
      </c>
      <c r="C278" t="s">
        <v>127</v>
      </c>
      <c r="D278" s="1" t="s">
        <v>144</v>
      </c>
      <c r="E278" s="1" t="s">
        <v>863</v>
      </c>
      <c r="F278" s="1"/>
      <c r="G278" t="s">
        <v>864</v>
      </c>
      <c r="H278" s="1" t="s">
        <v>865</v>
      </c>
      <c r="I278" s="1" t="s">
        <v>865</v>
      </c>
      <c r="J278" s="1"/>
      <c r="P278" s="1" t="s">
        <v>65</v>
      </c>
      <c r="U278" t="s">
        <v>64</v>
      </c>
      <c r="V278" t="s">
        <v>67</v>
      </c>
    </row>
    <row r="279" spans="2:22" ht="48">
      <c r="B279" t="s">
        <v>866</v>
      </c>
      <c r="C279" t="s">
        <v>575</v>
      </c>
      <c r="D279" s="1" t="s">
        <v>144</v>
      </c>
      <c r="E279" t="s">
        <v>171</v>
      </c>
      <c r="G279" s="1" t="s">
        <v>867</v>
      </c>
      <c r="H279" s="1" t="s">
        <v>868</v>
      </c>
      <c r="I279" s="1" t="s">
        <v>869</v>
      </c>
      <c r="J279" s="1"/>
      <c r="K279" t="s">
        <v>582</v>
      </c>
      <c r="L279" s="35" t="s">
        <v>73</v>
      </c>
      <c r="N279" t="s">
        <v>64</v>
      </c>
      <c r="O279" t="s">
        <v>64</v>
      </c>
      <c r="P279" s="1" t="s">
        <v>65</v>
      </c>
      <c r="Q279">
        <v>2021</v>
      </c>
      <c r="R279">
        <v>2021</v>
      </c>
      <c r="S279">
        <v>2021</v>
      </c>
      <c r="T279" t="s">
        <v>67</v>
      </c>
      <c r="U279" t="s">
        <v>64</v>
      </c>
      <c r="V279" t="s">
        <v>64</v>
      </c>
    </row>
    <row r="280" spans="2:22" ht="32.1">
      <c r="B280" t="s">
        <v>866</v>
      </c>
      <c r="C280" t="s">
        <v>127</v>
      </c>
      <c r="D280" s="1" t="s">
        <v>59</v>
      </c>
      <c r="E280" s="1" t="s">
        <v>870</v>
      </c>
      <c r="F280" s="1"/>
      <c r="G280" t="s">
        <v>871</v>
      </c>
      <c r="H280" s="1" t="s">
        <v>872</v>
      </c>
      <c r="I280" s="1" t="s">
        <v>872</v>
      </c>
      <c r="J280" s="1"/>
      <c r="K280" s="1" t="s">
        <v>658</v>
      </c>
      <c r="L280" s="1" t="s">
        <v>165</v>
      </c>
      <c r="M280" t="s">
        <v>873</v>
      </c>
      <c r="N280" t="s">
        <v>64</v>
      </c>
      <c r="O280" t="s">
        <v>64</v>
      </c>
      <c r="P280" s="1" t="s">
        <v>65</v>
      </c>
      <c r="Q280">
        <v>2023</v>
      </c>
      <c r="R280">
        <v>2023</v>
      </c>
      <c r="S280">
        <v>2023</v>
      </c>
      <c r="T280" t="s">
        <v>64</v>
      </c>
      <c r="U280" t="s">
        <v>64</v>
      </c>
      <c r="V280" t="s">
        <v>67</v>
      </c>
    </row>
    <row r="281" spans="2:22" ht="80.099999999999994">
      <c r="B281" t="s">
        <v>866</v>
      </c>
      <c r="C281" t="s">
        <v>575</v>
      </c>
      <c r="D281" s="1" t="s">
        <v>649</v>
      </c>
      <c r="E281" t="s">
        <v>874</v>
      </c>
      <c r="F281" s="21" t="s">
        <v>875</v>
      </c>
      <c r="G281" s="1" t="s">
        <v>876</v>
      </c>
      <c r="H281" t="s">
        <v>877</v>
      </c>
      <c r="I281" t="s">
        <v>878</v>
      </c>
      <c r="K281" s="1" t="s">
        <v>658</v>
      </c>
      <c r="L281" s="1" t="s">
        <v>165</v>
      </c>
      <c r="N281" t="s">
        <v>64</v>
      </c>
      <c r="O281" t="s">
        <v>64</v>
      </c>
      <c r="P281" s="1" t="s">
        <v>65</v>
      </c>
      <c r="Q281">
        <v>2020</v>
      </c>
      <c r="R281">
        <v>2020</v>
      </c>
      <c r="S281">
        <v>2020</v>
      </c>
      <c r="T281" t="s">
        <v>64</v>
      </c>
      <c r="U281" t="s">
        <v>64</v>
      </c>
      <c r="V281" t="s">
        <v>67</v>
      </c>
    </row>
    <row r="282" spans="2:22" ht="80.099999999999994">
      <c r="B282" t="s">
        <v>879</v>
      </c>
      <c r="C282" t="s">
        <v>575</v>
      </c>
      <c r="D282" s="1" t="s">
        <v>144</v>
      </c>
      <c r="E282" t="s">
        <v>58</v>
      </c>
      <c r="G282" s="1" t="s">
        <v>880</v>
      </c>
      <c r="H282" s="1" t="s">
        <v>860</v>
      </c>
      <c r="I282" s="1" t="s">
        <v>861</v>
      </c>
      <c r="J282" s="1"/>
      <c r="K282" t="s">
        <v>582</v>
      </c>
      <c r="L282" s="35" t="s">
        <v>73</v>
      </c>
      <c r="N282" t="s">
        <v>67</v>
      </c>
      <c r="O282" s="21" t="s">
        <v>881</v>
      </c>
      <c r="P282" s="1" t="s">
        <v>65</v>
      </c>
      <c r="Q282">
        <v>2022</v>
      </c>
      <c r="R282">
        <v>2022</v>
      </c>
      <c r="S282">
        <v>2022</v>
      </c>
      <c r="T282" t="s">
        <v>67</v>
      </c>
      <c r="U282" t="s">
        <v>64</v>
      </c>
      <c r="V282" t="s">
        <v>64</v>
      </c>
    </row>
    <row r="283" spans="2:22" ht="48">
      <c r="B283" t="s">
        <v>879</v>
      </c>
      <c r="C283" t="s">
        <v>127</v>
      </c>
      <c r="D283" s="1" t="s">
        <v>144</v>
      </c>
      <c r="E283" s="1" t="s">
        <v>882</v>
      </c>
      <c r="F283" s="1"/>
      <c r="G283" s="1" t="s">
        <v>883</v>
      </c>
      <c r="H283" t="s">
        <v>62</v>
      </c>
      <c r="I283" t="s">
        <v>62</v>
      </c>
      <c r="K283" t="s">
        <v>582</v>
      </c>
      <c r="L283" s="35" t="s">
        <v>73</v>
      </c>
      <c r="M283" s="1" t="s">
        <v>884</v>
      </c>
      <c r="N283" t="s">
        <v>64</v>
      </c>
      <c r="O283" t="s">
        <v>64</v>
      </c>
      <c r="P283" s="1" t="s">
        <v>65</v>
      </c>
      <c r="T283" t="s">
        <v>64</v>
      </c>
      <c r="U283" t="s">
        <v>64</v>
      </c>
      <c r="V283" t="s">
        <v>67</v>
      </c>
    </row>
    <row r="284" spans="2:22" ht="32.1">
      <c r="B284" t="s">
        <v>885</v>
      </c>
      <c r="C284" t="s">
        <v>58</v>
      </c>
      <c r="D284" s="1" t="s">
        <v>59</v>
      </c>
      <c r="E284" s="1" t="s">
        <v>886</v>
      </c>
      <c r="F284" s="1"/>
      <c r="G284" s="1" t="s">
        <v>887</v>
      </c>
      <c r="H284" t="s">
        <v>742</v>
      </c>
      <c r="I284" s="1" t="s">
        <v>304</v>
      </c>
      <c r="K284" t="s">
        <v>582</v>
      </c>
      <c r="L284" s="35" t="s">
        <v>73</v>
      </c>
      <c r="N284" t="s">
        <v>64</v>
      </c>
      <c r="O284" t="s">
        <v>64</v>
      </c>
      <c r="P284" s="1" t="s">
        <v>65</v>
      </c>
      <c r="Q284">
        <v>2021</v>
      </c>
      <c r="R284">
        <v>2021</v>
      </c>
      <c r="S284" t="s">
        <v>343</v>
      </c>
      <c r="T284" t="s">
        <v>67</v>
      </c>
      <c r="U284" t="s">
        <v>64</v>
      </c>
      <c r="V284" t="s">
        <v>64</v>
      </c>
    </row>
    <row r="285" spans="2:22" ht="48">
      <c r="B285" t="s">
        <v>885</v>
      </c>
      <c r="C285" t="s">
        <v>575</v>
      </c>
      <c r="D285" s="1" t="s">
        <v>144</v>
      </c>
      <c r="E285" s="1" t="s">
        <v>888</v>
      </c>
      <c r="F285" s="21" t="s">
        <v>889</v>
      </c>
      <c r="G285" s="1" t="s">
        <v>890</v>
      </c>
      <c r="H285" s="35" t="s">
        <v>297</v>
      </c>
      <c r="I285" s="35" t="s">
        <v>297</v>
      </c>
      <c r="J285" s="35"/>
      <c r="K285" t="s">
        <v>582</v>
      </c>
      <c r="L285" s="35" t="s">
        <v>73</v>
      </c>
      <c r="N285" t="s">
        <v>64</v>
      </c>
      <c r="O285" t="s">
        <v>64</v>
      </c>
      <c r="P285" s="1" t="s">
        <v>65</v>
      </c>
      <c r="Q285">
        <v>2020</v>
      </c>
      <c r="R285">
        <v>2020</v>
      </c>
      <c r="S285" t="s">
        <v>891</v>
      </c>
      <c r="T285" t="s">
        <v>67</v>
      </c>
      <c r="U285" t="s">
        <v>64</v>
      </c>
      <c r="V285" t="s">
        <v>67</v>
      </c>
    </row>
    <row r="286" spans="2:22" ht="48">
      <c r="B286" t="s">
        <v>885</v>
      </c>
      <c r="C286" t="s">
        <v>575</v>
      </c>
      <c r="D286" s="1" t="s">
        <v>144</v>
      </c>
      <c r="E286" s="1" t="s">
        <v>892</v>
      </c>
      <c r="F286" s="21" t="s">
        <v>893</v>
      </c>
      <c r="G286" s="1" t="s">
        <v>894</v>
      </c>
      <c r="H286" s="35" t="s">
        <v>62</v>
      </c>
      <c r="I286" s="35" t="s">
        <v>62</v>
      </c>
      <c r="J286" s="35"/>
      <c r="K286" t="s">
        <v>582</v>
      </c>
      <c r="L286" s="35" t="s">
        <v>73</v>
      </c>
      <c r="N286" t="s">
        <v>64</v>
      </c>
      <c r="O286" t="s">
        <v>64</v>
      </c>
      <c r="P286" s="1" t="s">
        <v>65</v>
      </c>
      <c r="Q286">
        <v>2020</v>
      </c>
      <c r="R286">
        <v>2020</v>
      </c>
      <c r="S286" t="s">
        <v>891</v>
      </c>
      <c r="T286" t="s">
        <v>67</v>
      </c>
      <c r="U286" t="s">
        <v>64</v>
      </c>
      <c r="V286" t="s">
        <v>67</v>
      </c>
    </row>
    <row r="287" spans="2:22" ht="48">
      <c r="B287" t="s">
        <v>885</v>
      </c>
      <c r="C287" t="s">
        <v>575</v>
      </c>
      <c r="D287" s="1" t="s">
        <v>144</v>
      </c>
      <c r="E287" s="1" t="s">
        <v>895</v>
      </c>
      <c r="F287" s="21" t="s">
        <v>896</v>
      </c>
      <c r="G287" s="1" t="s">
        <v>887</v>
      </c>
      <c r="H287" s="35" t="s">
        <v>297</v>
      </c>
      <c r="I287" s="35" t="s">
        <v>297</v>
      </c>
      <c r="J287" s="35"/>
      <c r="K287" t="s">
        <v>582</v>
      </c>
      <c r="L287" s="35" t="s">
        <v>73</v>
      </c>
      <c r="N287" t="s">
        <v>64</v>
      </c>
      <c r="O287" t="s">
        <v>64</v>
      </c>
      <c r="P287" s="1" t="s">
        <v>65</v>
      </c>
      <c r="Q287">
        <v>2021</v>
      </c>
      <c r="R287">
        <v>2021</v>
      </c>
      <c r="S287" t="s">
        <v>897</v>
      </c>
      <c r="T287" t="s">
        <v>67</v>
      </c>
      <c r="U287" t="s">
        <v>64</v>
      </c>
      <c r="V287" t="s">
        <v>67</v>
      </c>
    </row>
    <row r="288" spans="2:22" ht="63.95">
      <c r="B288" t="s">
        <v>879</v>
      </c>
      <c r="C288" t="s">
        <v>127</v>
      </c>
      <c r="D288" s="1" t="s">
        <v>59</v>
      </c>
      <c r="E288" s="1" t="s">
        <v>898</v>
      </c>
      <c r="F288" s="1"/>
      <c r="G288" t="s">
        <v>899</v>
      </c>
      <c r="H288" s="35" t="s">
        <v>297</v>
      </c>
      <c r="I288" s="35" t="s">
        <v>297</v>
      </c>
      <c r="J288" s="35"/>
      <c r="K288" t="s">
        <v>582</v>
      </c>
      <c r="L288" s="35" t="s">
        <v>73</v>
      </c>
      <c r="M288" s="1" t="s">
        <v>900</v>
      </c>
      <c r="N288" t="s">
        <v>64</v>
      </c>
      <c r="O288" t="s">
        <v>64</v>
      </c>
      <c r="P288" s="1" t="s">
        <v>65</v>
      </c>
      <c r="U288" t="s">
        <v>64</v>
      </c>
      <c r="V288" t="s">
        <v>67</v>
      </c>
    </row>
    <row r="289" spans="2:22" ht="48">
      <c r="B289" t="s">
        <v>901</v>
      </c>
      <c r="C289" t="s">
        <v>575</v>
      </c>
      <c r="D289" s="1" t="s">
        <v>902</v>
      </c>
      <c r="E289" t="s">
        <v>903</v>
      </c>
      <c r="G289" s="1" t="s">
        <v>904</v>
      </c>
      <c r="H289" t="s">
        <v>905</v>
      </c>
      <c r="I289" t="s">
        <v>906</v>
      </c>
      <c r="K289" t="s">
        <v>582</v>
      </c>
      <c r="L289" s="35" t="s">
        <v>73</v>
      </c>
      <c r="N289" t="s">
        <v>64</v>
      </c>
      <c r="O289" t="s">
        <v>64</v>
      </c>
      <c r="P289" s="1" t="s">
        <v>65</v>
      </c>
      <c r="Q289">
        <v>2020</v>
      </c>
      <c r="R289">
        <v>2020</v>
      </c>
      <c r="S289" t="s">
        <v>112</v>
      </c>
      <c r="T289" t="s">
        <v>67</v>
      </c>
      <c r="U289" t="s">
        <v>64</v>
      </c>
      <c r="V289" t="s">
        <v>64</v>
      </c>
    </row>
    <row r="290" spans="2:22" ht="48">
      <c r="B290" t="s">
        <v>901</v>
      </c>
      <c r="C290" t="s">
        <v>575</v>
      </c>
      <c r="D290" s="1" t="s">
        <v>144</v>
      </c>
      <c r="E290" s="1" t="s">
        <v>907</v>
      </c>
      <c r="F290" s="1"/>
      <c r="G290" s="1" t="s">
        <v>908</v>
      </c>
      <c r="H290" s="1" t="s">
        <v>909</v>
      </c>
      <c r="I290" s="1" t="s">
        <v>910</v>
      </c>
      <c r="J290" s="1"/>
      <c r="K290" t="s">
        <v>582</v>
      </c>
      <c r="L290" s="35" t="s">
        <v>73</v>
      </c>
      <c r="N290" t="s">
        <v>64</v>
      </c>
      <c r="O290" t="s">
        <v>64</v>
      </c>
      <c r="P290" s="1" t="s">
        <v>65</v>
      </c>
      <c r="Q290">
        <v>2020</v>
      </c>
      <c r="R290">
        <v>2020</v>
      </c>
      <c r="S290">
        <v>2020</v>
      </c>
      <c r="T290" t="s">
        <v>67</v>
      </c>
      <c r="U290" t="s">
        <v>64</v>
      </c>
      <c r="V290" t="s">
        <v>64</v>
      </c>
    </row>
    <row r="291" spans="2:22" ht="32.1">
      <c r="B291" t="s">
        <v>901</v>
      </c>
      <c r="C291" t="s">
        <v>127</v>
      </c>
      <c r="D291" s="1" t="s">
        <v>911</v>
      </c>
    </row>
    <row r="292" spans="2:22" ht="48">
      <c r="B292" t="s">
        <v>912</v>
      </c>
      <c r="C292" t="s">
        <v>575</v>
      </c>
      <c r="D292" s="1" t="s">
        <v>649</v>
      </c>
      <c r="E292" s="1" t="s">
        <v>913</v>
      </c>
      <c r="F292" s="21"/>
      <c r="G292" t="s">
        <v>914</v>
      </c>
      <c r="H292" t="s">
        <v>915</v>
      </c>
      <c r="I292" t="s">
        <v>916</v>
      </c>
      <c r="K292" t="s">
        <v>582</v>
      </c>
      <c r="L292" s="35" t="s">
        <v>73</v>
      </c>
      <c r="N292" t="s">
        <v>64</v>
      </c>
      <c r="O292" t="s">
        <v>64</v>
      </c>
      <c r="P292" s="1" t="s">
        <v>65</v>
      </c>
      <c r="Q292">
        <v>2022</v>
      </c>
      <c r="R292">
        <v>2022</v>
      </c>
      <c r="S292">
        <v>2022</v>
      </c>
      <c r="T292" t="s">
        <v>67</v>
      </c>
      <c r="U292" t="s">
        <v>64</v>
      </c>
      <c r="V292" t="s">
        <v>64</v>
      </c>
    </row>
    <row r="293" spans="2:22" ht="80.099999999999994">
      <c r="B293" t="s">
        <v>912</v>
      </c>
      <c r="C293" t="s">
        <v>58</v>
      </c>
      <c r="D293" s="1" t="s">
        <v>59</v>
      </c>
      <c r="E293" s="1" t="s">
        <v>917</v>
      </c>
      <c r="F293" s="1"/>
      <c r="G293" t="s">
        <v>627</v>
      </c>
      <c r="H293" s="1" t="s">
        <v>918</v>
      </c>
      <c r="I293" s="1" t="s">
        <v>919</v>
      </c>
      <c r="J293" s="1"/>
      <c r="K293" t="s">
        <v>582</v>
      </c>
      <c r="L293" s="35" t="s">
        <v>73</v>
      </c>
      <c r="N293" t="s">
        <v>64</v>
      </c>
      <c r="O293" t="s">
        <v>64</v>
      </c>
      <c r="P293" s="1" t="s">
        <v>65</v>
      </c>
      <c r="Q293">
        <v>2022</v>
      </c>
      <c r="R293">
        <v>2022</v>
      </c>
      <c r="S293" t="s">
        <v>86</v>
      </c>
      <c r="T293" t="s">
        <v>67</v>
      </c>
      <c r="U293" t="s">
        <v>64</v>
      </c>
      <c r="V293" t="s">
        <v>64</v>
      </c>
    </row>
    <row r="294" spans="2:22" ht="111.95">
      <c r="B294" t="s">
        <v>912</v>
      </c>
      <c r="C294" t="s">
        <v>58</v>
      </c>
      <c r="D294" s="1" t="s">
        <v>59</v>
      </c>
      <c r="E294" s="1" t="s">
        <v>920</v>
      </c>
      <c r="F294" s="1"/>
      <c r="G294" s="1" t="s">
        <v>921</v>
      </c>
      <c r="H294" s="1" t="s">
        <v>918</v>
      </c>
      <c r="I294" s="1" t="s">
        <v>919</v>
      </c>
      <c r="J294" s="1"/>
      <c r="K294" t="s">
        <v>582</v>
      </c>
      <c r="L294" s="35" t="s">
        <v>73</v>
      </c>
      <c r="N294" t="s">
        <v>64</v>
      </c>
      <c r="O294" t="s">
        <v>64</v>
      </c>
      <c r="P294" s="1" t="s">
        <v>65</v>
      </c>
      <c r="Q294">
        <v>2022</v>
      </c>
      <c r="R294">
        <v>2022</v>
      </c>
      <c r="S294" t="s">
        <v>86</v>
      </c>
      <c r="T294" t="s">
        <v>67</v>
      </c>
      <c r="U294" t="s">
        <v>64</v>
      </c>
      <c r="V294" t="s">
        <v>64</v>
      </c>
    </row>
    <row r="295" spans="2:22" ht="96">
      <c r="B295" t="s">
        <v>912</v>
      </c>
      <c r="C295" t="s">
        <v>58</v>
      </c>
      <c r="D295" s="1" t="s">
        <v>59</v>
      </c>
      <c r="E295" s="1" t="s">
        <v>922</v>
      </c>
      <c r="F295" s="1"/>
      <c r="G295" t="s">
        <v>923</v>
      </c>
      <c r="H295" s="35" t="s">
        <v>912</v>
      </c>
      <c r="I295" s="35" t="s">
        <v>293</v>
      </c>
      <c r="J295" s="35"/>
      <c r="K295" t="s">
        <v>582</v>
      </c>
      <c r="L295" s="35" t="s">
        <v>73</v>
      </c>
      <c r="N295" t="s">
        <v>64</v>
      </c>
      <c r="O295" t="s">
        <v>64</v>
      </c>
      <c r="P295" s="1" t="s">
        <v>65</v>
      </c>
      <c r="Q295">
        <v>2022</v>
      </c>
      <c r="R295">
        <v>2022</v>
      </c>
      <c r="S295" t="s">
        <v>86</v>
      </c>
      <c r="T295" t="s">
        <v>67</v>
      </c>
      <c r="U295" t="s">
        <v>64</v>
      </c>
      <c r="V295" t="s">
        <v>64</v>
      </c>
    </row>
    <row r="296" spans="2:22" ht="96">
      <c r="B296" t="s">
        <v>912</v>
      </c>
      <c r="C296" t="s">
        <v>58</v>
      </c>
      <c r="D296" s="1" t="s">
        <v>59</v>
      </c>
      <c r="E296" s="1" t="s">
        <v>924</v>
      </c>
      <c r="F296" s="1"/>
      <c r="G296" t="s">
        <v>925</v>
      </c>
      <c r="H296" s="35" t="s">
        <v>912</v>
      </c>
      <c r="I296" s="35" t="s">
        <v>293</v>
      </c>
      <c r="J296" s="35"/>
      <c r="K296" t="s">
        <v>582</v>
      </c>
      <c r="L296" s="35" t="s">
        <v>73</v>
      </c>
      <c r="N296" t="s">
        <v>64</v>
      </c>
      <c r="O296" t="s">
        <v>64</v>
      </c>
      <c r="P296" s="1" t="s">
        <v>65</v>
      </c>
      <c r="Q296">
        <v>2022</v>
      </c>
      <c r="R296">
        <v>2022</v>
      </c>
      <c r="S296" t="s">
        <v>86</v>
      </c>
      <c r="T296" t="s">
        <v>67</v>
      </c>
      <c r="U296" t="s">
        <v>64</v>
      </c>
      <c r="V296" t="s">
        <v>64</v>
      </c>
    </row>
    <row r="297" spans="2:22" ht="32.1">
      <c r="B297" t="s">
        <v>912</v>
      </c>
      <c r="C297" t="s">
        <v>127</v>
      </c>
      <c r="D297" s="1" t="s">
        <v>911</v>
      </c>
    </row>
  </sheetData>
  <hyperlinks>
    <hyperlink ref="O75" r:id="rId1" xr:uid="{FC82B995-2ADD-497D-B322-514077A5D280}"/>
    <hyperlink ref="O173" r:id="rId2" xr:uid="{F1CFAE0A-363A-48A9-AD38-564B7A28B293}"/>
    <hyperlink ref="O185" r:id="rId3" xr:uid="{C0AEBD23-665B-488D-B312-0732A5239718}"/>
    <hyperlink ref="O51" r:id="rId4" xr:uid="{C332683F-4A1A-4301-91CA-B8CA5079BE27}"/>
    <hyperlink ref="O50" r:id="rId5" xr:uid="{EA28E564-6C51-4BED-BB85-C7FC194061CB}"/>
    <hyperlink ref="O203" r:id="rId6" xr:uid="{C03DF83D-4B25-4A65-B265-DA57E26BFA50}"/>
    <hyperlink ref="O204" r:id="rId7" xr:uid="{69D81E97-5176-4870-AAA6-7ACE42D714A9}"/>
    <hyperlink ref="O205" r:id="rId8" xr:uid="{0E788AD4-2387-449C-AB6F-8E281389D393}"/>
    <hyperlink ref="O256" r:id="rId9" xr:uid="{93C27AFC-B882-4F25-A80A-DF9029960792}"/>
    <hyperlink ref="O282" r:id="rId10" xr:uid="{B1A689B2-F7D6-4882-AD47-258044524718}"/>
    <hyperlink ref="F20" r:id="rId11" xr:uid="{2EDCD2C6-170E-4A3D-83FE-86E091A4C02A}"/>
    <hyperlink ref="F47" r:id="rId12" xr:uid="{1FDC8120-7AAA-49C8-8CF2-E19507A60B6D}"/>
    <hyperlink ref="F48" r:id="rId13" xr:uid="{895E96E7-5544-46E8-B388-6C19E01765DE}"/>
    <hyperlink ref="F49" r:id="rId14" xr:uid="{A2D7B91B-ABB4-4BB8-8969-438BF72D483B}"/>
    <hyperlink ref="F50" r:id="rId15" xr:uid="{593FA40A-8014-4E3B-AB63-E2A8D4BD34DC}"/>
    <hyperlink ref="F51" r:id="rId16" xr:uid="{0FF23904-0FD8-4F47-8A4B-460AE6D36217}"/>
    <hyperlink ref="F52" r:id="rId17" xr:uid="{6BCFDC55-1B23-47DE-A43E-8CD661253544}"/>
    <hyperlink ref="F73" r:id="rId18" xr:uid="{5F119B3E-4B76-431E-BC4E-0E33437BD8EF}"/>
    <hyperlink ref="F74" r:id="rId19" xr:uid="{061577D6-ED50-4932-A019-DD675A528CF5}"/>
    <hyperlink ref="F75" r:id="rId20" location="DP" xr:uid="{EEA7B88F-E1EB-44B9-B63E-0B58BC1AC0A1}"/>
    <hyperlink ref="F128" r:id="rId21" xr:uid="{4A96905F-623A-43A0-B2E0-12E20B2BDB25}"/>
    <hyperlink ref="F129" r:id="rId22" xr:uid="{A1BCAB5F-842E-4640-9CE9-1617502658A1}"/>
    <hyperlink ref="F130" r:id="rId23" xr:uid="{02AE6FDA-C248-4CF7-8826-90C24CFE4D38}"/>
    <hyperlink ref="F131" r:id="rId24" xr:uid="{A9F4015C-BB48-4A76-ADBB-11F58184A9EA}"/>
    <hyperlink ref="F132" r:id="rId25" xr:uid="{E301BC26-865F-41CB-B5DF-DF32437ECE5B}"/>
    <hyperlink ref="F133" r:id="rId26" xr:uid="{70B6B171-3FC0-40FA-8C00-1D66C59F53D9}"/>
    <hyperlink ref="F135" r:id="rId27" xr:uid="{57B7F268-C8BF-403D-B67D-4AAFE4E693BC}"/>
    <hyperlink ref="F136" r:id="rId28" xr:uid="{FB0D4AEF-DEDC-44E0-8268-1E72C0ABF9D0}"/>
    <hyperlink ref="F137" r:id="rId29" xr:uid="{C5DA3A58-08C2-46A4-A113-0A139112F574}"/>
    <hyperlink ref="F139" r:id="rId30" xr:uid="{62027A0E-114A-4EF6-9B8F-319045EB6A2C}"/>
    <hyperlink ref="F140" r:id="rId31" xr:uid="{362295AD-3615-4F12-93B2-B5E093ECA53D}"/>
    <hyperlink ref="F141" r:id="rId32" xr:uid="{F1CA9C67-1389-4810-BB02-4CF4A06FCDDF}"/>
    <hyperlink ref="F142" r:id="rId33" xr:uid="{0776E8C2-4B17-4A93-B6D9-C29056BF6D52}"/>
    <hyperlink ref="F143" r:id="rId34" xr:uid="{011957C5-30D7-40E1-AF95-044833709650}"/>
    <hyperlink ref="F144" r:id="rId35" xr:uid="{FE336CC6-128C-44DF-A918-F1833689A26D}"/>
    <hyperlink ref="F154" r:id="rId36" xr:uid="{7669AB2F-456D-4D07-8BEA-CC629841B323}"/>
    <hyperlink ref="F155" r:id="rId37" xr:uid="{4FAD3DB4-C2D1-44A7-8313-9B747B3F5646}"/>
    <hyperlink ref="F156" r:id="rId38" xr:uid="{44BE161D-426A-4402-98D8-902EE310B164}"/>
    <hyperlink ref="F157" r:id="rId39" xr:uid="{AA1580C6-D8D7-45BE-9895-F0874D160D94}"/>
    <hyperlink ref="F163" r:id="rId40" xr:uid="{22B50862-5615-42DB-8E46-BC10433FFE9C}"/>
    <hyperlink ref="F164" r:id="rId41" xr:uid="{E5C10072-1244-453C-96AD-6C012A6D7D9C}"/>
    <hyperlink ref="F165" r:id="rId42" xr:uid="{3603858F-AA96-44C6-8AEE-7AE676FA970A}"/>
    <hyperlink ref="F166" r:id="rId43" xr:uid="{2D1AEE39-D9B8-4EA1-AC78-343297B56C73}"/>
    <hyperlink ref="F167" r:id="rId44" xr:uid="{5899F593-50B5-4902-817B-CD7A4676542A}"/>
    <hyperlink ref="F194" r:id="rId45" xr:uid="{C5C6233E-1586-489A-938F-9E76CBD74E9E}"/>
    <hyperlink ref="F207" r:id="rId46" xr:uid="{5832DFF5-6A3A-4383-9E2B-A54E3426D8EB}"/>
    <hyperlink ref="F215" r:id="rId47" xr:uid="{E741EBFC-2F3E-4A16-86DB-BCEC1BFE2C01}"/>
    <hyperlink ref="F216" r:id="rId48" xr:uid="{5F0BEC74-9114-466B-9C29-B4ACC0BCD910}"/>
    <hyperlink ref="F229" r:id="rId49" xr:uid="{3A4560C3-EB59-44A7-B9E0-594BDED30FB4}"/>
    <hyperlink ref="F253" r:id="rId50" xr:uid="{357F88E1-CCC9-4622-B101-F65D52EA49B2}"/>
    <hyperlink ref="F264" r:id="rId51" xr:uid="{2745ABCE-C76B-485E-A693-F2DDD7C5E02A}"/>
    <hyperlink ref="F281" r:id="rId52" xr:uid="{0DF1E2C0-671A-4C72-ACA8-681FFAF66762}"/>
    <hyperlink ref="F285" r:id="rId53" xr:uid="{E802767F-5F2E-476C-93B9-314F794D8AB7}"/>
    <hyperlink ref="F286" r:id="rId54" xr:uid="{B22B7B77-88CE-4150-9A92-C35B7561CD2C}"/>
    <hyperlink ref="F287" r:id="rId55" xr:uid="{399669E4-FBD1-4A7B-902A-1E8FEC240B6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2AE1-ECC4-444B-A6E2-8CA4595A1621}">
  <dimension ref="A1:S151"/>
  <sheetViews>
    <sheetView workbookViewId="0">
      <pane ySplit="1" topLeftCell="A118" activePane="bottomLeft" state="frozen"/>
      <selection pane="bottomLeft" activeCell="E149" sqref="E149"/>
    </sheetView>
  </sheetViews>
  <sheetFormatPr defaultColWidth="8.85546875" defaultRowHeight="15"/>
  <cols>
    <col min="1" max="1" width="11.42578125" style="80" customWidth="1"/>
    <col min="2" max="2" width="16.85546875" style="79" customWidth="1"/>
    <col min="3" max="3" width="16.42578125" style="79" customWidth="1"/>
    <col min="4" max="4" width="17.85546875" style="79" customWidth="1"/>
    <col min="5" max="5" width="23.140625" style="79" customWidth="1"/>
    <col min="6" max="6" width="27.42578125" style="79" customWidth="1"/>
    <col min="7" max="7" width="14.42578125" style="79" customWidth="1"/>
    <col min="8" max="8" width="20.140625" style="79" customWidth="1"/>
    <col min="9" max="9" width="18.42578125" style="79" customWidth="1"/>
    <col min="10" max="10" width="8.85546875" style="80"/>
    <col min="11" max="11" width="13.140625" style="79" customWidth="1"/>
    <col min="12" max="12" width="10.42578125" style="80" customWidth="1"/>
    <col min="13" max="16" width="8.85546875" style="80"/>
    <col min="17" max="17" width="18.28515625" style="79" customWidth="1"/>
    <col min="18" max="16384" width="8.85546875" style="80"/>
  </cols>
  <sheetData>
    <row r="1" spans="1:17" s="81" customFormat="1" ht="62.25" customHeight="1">
      <c r="A1" s="81" t="s">
        <v>1</v>
      </c>
      <c r="B1" s="81" t="s">
        <v>48</v>
      </c>
      <c r="C1" s="81" t="s">
        <v>49</v>
      </c>
      <c r="D1" s="81" t="s">
        <v>19</v>
      </c>
      <c r="E1" s="81" t="s">
        <v>21</v>
      </c>
      <c r="F1" s="81" t="s">
        <v>23</v>
      </c>
      <c r="G1" s="81" t="s">
        <v>25</v>
      </c>
      <c r="H1" s="81" t="s">
        <v>27</v>
      </c>
      <c r="I1" s="81" t="s">
        <v>29</v>
      </c>
      <c r="J1" s="81" t="s">
        <v>31</v>
      </c>
      <c r="K1" s="81" t="s">
        <v>33</v>
      </c>
      <c r="L1" s="81" t="s">
        <v>35</v>
      </c>
      <c r="M1" s="81" t="s">
        <v>37</v>
      </c>
      <c r="N1" s="81" t="s">
        <v>50</v>
      </c>
      <c r="O1" s="81" t="s">
        <v>41</v>
      </c>
      <c r="P1" s="81" t="s">
        <v>44</v>
      </c>
      <c r="Q1" s="81" t="s">
        <v>46</v>
      </c>
    </row>
    <row r="2" spans="1:17" ht="144">
      <c r="B2" s="79" t="s">
        <v>143</v>
      </c>
      <c r="C2" s="79" t="s">
        <v>926</v>
      </c>
      <c r="D2" s="79" t="s">
        <v>927</v>
      </c>
      <c r="E2" s="79" t="s">
        <v>928</v>
      </c>
      <c r="F2" s="79" t="s">
        <v>929</v>
      </c>
      <c r="G2" s="79" t="s">
        <v>62</v>
      </c>
      <c r="H2" s="79" t="s">
        <v>930</v>
      </c>
      <c r="J2" s="80" t="s">
        <v>64</v>
      </c>
      <c r="K2" s="79" t="s">
        <v>64</v>
      </c>
      <c r="L2" s="75" t="s">
        <v>65</v>
      </c>
      <c r="M2" s="80">
        <v>2011</v>
      </c>
      <c r="N2" s="80" t="s">
        <v>67</v>
      </c>
      <c r="O2" s="80" t="s">
        <v>64</v>
      </c>
      <c r="P2" s="80" t="s">
        <v>64</v>
      </c>
      <c r="Q2" s="79" t="s">
        <v>931</v>
      </c>
    </row>
    <row r="3" spans="1:17" ht="80.099999999999994">
      <c r="B3" s="79" t="s">
        <v>143</v>
      </c>
      <c r="C3" s="79" t="s">
        <v>932</v>
      </c>
      <c r="D3" s="79" t="s">
        <v>927</v>
      </c>
      <c r="E3" s="79" t="s">
        <v>933</v>
      </c>
      <c r="F3" s="79" t="s">
        <v>934</v>
      </c>
      <c r="G3" s="79" t="s">
        <v>163</v>
      </c>
      <c r="H3" s="79" t="s">
        <v>433</v>
      </c>
      <c r="J3" s="80" t="s">
        <v>64</v>
      </c>
      <c r="K3" s="79" t="s">
        <v>64</v>
      </c>
      <c r="L3" s="75" t="s">
        <v>65</v>
      </c>
      <c r="M3" s="80">
        <v>2013</v>
      </c>
      <c r="N3" s="80" t="s">
        <v>64</v>
      </c>
      <c r="O3" s="80" t="s">
        <v>64</v>
      </c>
      <c r="P3" s="80" t="s">
        <v>64</v>
      </c>
    </row>
    <row r="4" spans="1:17" ht="80.099999999999994">
      <c r="B4" s="79" t="s">
        <v>143</v>
      </c>
      <c r="C4" s="79" t="s">
        <v>932</v>
      </c>
      <c r="D4" s="79" t="s">
        <v>59</v>
      </c>
      <c r="E4" s="79" t="s">
        <v>935</v>
      </c>
      <c r="F4" s="79" t="s">
        <v>934</v>
      </c>
      <c r="G4" s="79" t="s">
        <v>936</v>
      </c>
      <c r="H4" s="79" t="s">
        <v>433</v>
      </c>
      <c r="J4" s="80" t="s">
        <v>64</v>
      </c>
      <c r="K4" s="79" t="s">
        <v>64</v>
      </c>
      <c r="L4" s="75" t="s">
        <v>65</v>
      </c>
      <c r="M4" s="80">
        <v>2013</v>
      </c>
      <c r="N4" s="80" t="s">
        <v>64</v>
      </c>
      <c r="O4" s="80" t="s">
        <v>64</v>
      </c>
      <c r="P4" s="80" t="s">
        <v>64</v>
      </c>
    </row>
    <row r="5" spans="1:17" ht="48">
      <c r="B5" s="79" t="s">
        <v>143</v>
      </c>
      <c r="C5" s="79" t="s">
        <v>937</v>
      </c>
      <c r="D5" s="79" t="s">
        <v>59</v>
      </c>
      <c r="E5" s="79" t="s">
        <v>938</v>
      </c>
      <c r="F5" s="79" t="s">
        <v>939</v>
      </c>
      <c r="G5" s="79" t="s">
        <v>163</v>
      </c>
      <c r="I5" s="79" t="s">
        <v>940</v>
      </c>
      <c r="J5" s="80" t="s">
        <v>64</v>
      </c>
      <c r="K5" s="79" t="s">
        <v>64</v>
      </c>
      <c r="L5" s="75" t="s">
        <v>65</v>
      </c>
      <c r="M5" s="80">
        <v>2010</v>
      </c>
      <c r="N5" s="80" t="s">
        <v>64</v>
      </c>
      <c r="O5" s="80" t="s">
        <v>64</v>
      </c>
      <c r="P5" s="80" t="s">
        <v>64</v>
      </c>
    </row>
    <row r="6" spans="1:17" ht="128.1">
      <c r="B6" s="79" t="s">
        <v>143</v>
      </c>
      <c r="C6" s="79" t="s">
        <v>926</v>
      </c>
      <c r="D6" s="79" t="s">
        <v>59</v>
      </c>
      <c r="E6" s="79" t="s">
        <v>941</v>
      </c>
      <c r="F6" s="79" t="s">
        <v>942</v>
      </c>
      <c r="G6" s="79" t="s">
        <v>163</v>
      </c>
      <c r="H6" s="79" t="s">
        <v>433</v>
      </c>
      <c r="J6" s="80" t="s">
        <v>64</v>
      </c>
      <c r="K6" s="79" t="s">
        <v>64</v>
      </c>
      <c r="L6" s="75" t="s">
        <v>65</v>
      </c>
      <c r="M6" s="80">
        <v>2009</v>
      </c>
      <c r="N6" s="80" t="s">
        <v>64</v>
      </c>
      <c r="O6" s="80" t="s">
        <v>64</v>
      </c>
      <c r="P6" s="80" t="s">
        <v>64</v>
      </c>
      <c r="Q6" s="79" t="s">
        <v>943</v>
      </c>
    </row>
    <row r="7" spans="1:17" ht="144">
      <c r="B7" s="79" t="s">
        <v>143</v>
      </c>
      <c r="C7" s="79" t="s">
        <v>926</v>
      </c>
      <c r="D7" s="79" t="s">
        <v>59</v>
      </c>
      <c r="E7" s="79" t="s">
        <v>944</v>
      </c>
      <c r="F7" s="79" t="s">
        <v>929</v>
      </c>
      <c r="G7" s="79" t="s">
        <v>62</v>
      </c>
      <c r="H7" s="79" t="s">
        <v>930</v>
      </c>
      <c r="J7" s="80" t="s">
        <v>64</v>
      </c>
      <c r="K7" s="79" t="s">
        <v>64</v>
      </c>
      <c r="L7" s="75" t="s">
        <v>65</v>
      </c>
      <c r="M7" s="80">
        <v>2011</v>
      </c>
      <c r="N7" s="80" t="s">
        <v>67</v>
      </c>
      <c r="O7" s="80" t="s">
        <v>64</v>
      </c>
      <c r="P7" s="80" t="s">
        <v>64</v>
      </c>
    </row>
    <row r="8" spans="1:17" ht="128.1">
      <c r="B8" s="79" t="s">
        <v>143</v>
      </c>
      <c r="C8" s="79" t="s">
        <v>926</v>
      </c>
      <c r="D8" s="79" t="s">
        <v>59</v>
      </c>
      <c r="E8" s="79" t="s">
        <v>945</v>
      </c>
      <c r="F8" s="79" t="s">
        <v>946</v>
      </c>
      <c r="G8" s="79" t="s">
        <v>62</v>
      </c>
      <c r="H8" s="79" t="s">
        <v>930</v>
      </c>
      <c r="J8" s="80" t="s">
        <v>64</v>
      </c>
      <c r="K8" s="79" t="s">
        <v>64</v>
      </c>
      <c r="L8" s="75" t="s">
        <v>65</v>
      </c>
      <c r="M8" s="80">
        <v>2011</v>
      </c>
      <c r="N8" s="80" t="s">
        <v>64</v>
      </c>
      <c r="O8" s="80" t="s">
        <v>64</v>
      </c>
      <c r="P8" s="80" t="s">
        <v>64</v>
      </c>
    </row>
    <row r="9" spans="1:17" ht="48">
      <c r="B9" s="79" t="s">
        <v>143</v>
      </c>
      <c r="C9" s="79" t="s">
        <v>926</v>
      </c>
      <c r="D9" s="79" t="s">
        <v>59</v>
      </c>
      <c r="E9" s="79" t="s">
        <v>947</v>
      </c>
      <c r="F9" s="79" t="s">
        <v>948</v>
      </c>
      <c r="G9" s="79" t="s">
        <v>62</v>
      </c>
      <c r="H9" s="79" t="s">
        <v>930</v>
      </c>
      <c r="J9" s="80" t="s">
        <v>64</v>
      </c>
      <c r="K9" s="79" t="s">
        <v>64</v>
      </c>
      <c r="L9" s="75" t="s">
        <v>65</v>
      </c>
      <c r="M9" s="80">
        <v>2011</v>
      </c>
      <c r="N9" s="80" t="s">
        <v>64</v>
      </c>
      <c r="O9" s="80" t="s">
        <v>64</v>
      </c>
      <c r="P9" s="80" t="s">
        <v>64</v>
      </c>
    </row>
    <row r="10" spans="1:17" ht="48">
      <c r="B10" s="79" t="s">
        <v>143</v>
      </c>
      <c r="C10" s="79" t="s">
        <v>926</v>
      </c>
      <c r="D10" s="79" t="s">
        <v>59</v>
      </c>
      <c r="E10" s="79" t="s">
        <v>949</v>
      </c>
      <c r="F10" s="79" t="s">
        <v>950</v>
      </c>
      <c r="G10" s="79" t="s">
        <v>163</v>
      </c>
      <c r="H10" s="79" t="s">
        <v>951</v>
      </c>
      <c r="J10" s="80" t="s">
        <v>64</v>
      </c>
      <c r="K10" s="79" t="s">
        <v>64</v>
      </c>
      <c r="L10" s="75" t="s">
        <v>65</v>
      </c>
      <c r="M10" s="80">
        <v>2009</v>
      </c>
      <c r="N10" s="80" t="s">
        <v>64</v>
      </c>
      <c r="O10" s="80" t="s">
        <v>64</v>
      </c>
      <c r="P10" s="80" t="s">
        <v>64</v>
      </c>
      <c r="Q10" s="79" t="s">
        <v>952</v>
      </c>
    </row>
    <row r="11" spans="1:17" ht="48">
      <c r="B11" s="79" t="s">
        <v>143</v>
      </c>
      <c r="C11" s="79" t="s">
        <v>926</v>
      </c>
      <c r="D11" s="79" t="s">
        <v>59</v>
      </c>
      <c r="E11" s="79" t="s">
        <v>953</v>
      </c>
      <c r="F11" s="79" t="s">
        <v>954</v>
      </c>
      <c r="G11" s="79" t="s">
        <v>297</v>
      </c>
      <c r="H11" s="79" t="s">
        <v>951</v>
      </c>
      <c r="J11" s="80" t="s">
        <v>64</v>
      </c>
      <c r="K11" s="79" t="s">
        <v>64</v>
      </c>
      <c r="L11" s="75" t="s">
        <v>65</v>
      </c>
      <c r="M11" s="80">
        <v>2010</v>
      </c>
      <c r="N11" s="80" t="s">
        <v>64</v>
      </c>
      <c r="O11" s="80" t="s">
        <v>64</v>
      </c>
      <c r="P11" s="80" t="s">
        <v>64</v>
      </c>
      <c r="Q11" s="79" t="s">
        <v>952</v>
      </c>
    </row>
    <row r="12" spans="1:17" ht="32.1">
      <c r="B12" s="79" t="s">
        <v>143</v>
      </c>
      <c r="C12" s="79" t="s">
        <v>926</v>
      </c>
      <c r="D12" s="79" t="s">
        <v>59</v>
      </c>
      <c r="E12" s="79" t="s">
        <v>955</v>
      </c>
      <c r="F12" s="79" t="s">
        <v>954</v>
      </c>
      <c r="G12" s="79" t="s">
        <v>62</v>
      </c>
      <c r="H12" s="79" t="s">
        <v>951</v>
      </c>
      <c r="J12" s="80" t="s">
        <v>64</v>
      </c>
      <c r="K12" s="79" t="s">
        <v>64</v>
      </c>
      <c r="L12" s="75" t="s">
        <v>65</v>
      </c>
      <c r="M12" s="80">
        <v>2010</v>
      </c>
      <c r="N12" s="80" t="s">
        <v>64</v>
      </c>
      <c r="O12" s="80" t="s">
        <v>64</v>
      </c>
      <c r="P12" s="80" t="s">
        <v>64</v>
      </c>
      <c r="Q12" s="79" t="s">
        <v>952</v>
      </c>
    </row>
    <row r="13" spans="1:17" ht="192">
      <c r="B13" s="79" t="s">
        <v>143</v>
      </c>
      <c r="C13" s="79" t="s">
        <v>932</v>
      </c>
      <c r="D13" s="79" t="s">
        <v>59</v>
      </c>
      <c r="E13" s="79" t="s">
        <v>956</v>
      </c>
      <c r="F13" s="79" t="s">
        <v>957</v>
      </c>
      <c r="G13" s="79" t="s">
        <v>297</v>
      </c>
      <c r="H13" s="79" t="s">
        <v>433</v>
      </c>
      <c r="J13" s="80" t="s">
        <v>64</v>
      </c>
      <c r="K13" s="79" t="s">
        <v>64</v>
      </c>
      <c r="L13" s="75" t="s">
        <v>65</v>
      </c>
      <c r="O13" s="80" t="s">
        <v>64</v>
      </c>
      <c r="P13" s="80" t="s">
        <v>64</v>
      </c>
      <c r="Q13" s="79" t="s">
        <v>958</v>
      </c>
    </row>
    <row r="14" spans="1:17" ht="96">
      <c r="B14" s="79" t="s">
        <v>143</v>
      </c>
      <c r="C14" s="79" t="s">
        <v>959</v>
      </c>
      <c r="D14" s="79" t="s">
        <v>59</v>
      </c>
      <c r="E14" s="79" t="s">
        <v>960</v>
      </c>
      <c r="F14" s="79" t="s">
        <v>961</v>
      </c>
      <c r="G14" s="79" t="s">
        <v>109</v>
      </c>
      <c r="H14" s="79" t="s">
        <v>962</v>
      </c>
      <c r="J14" s="80" t="s">
        <v>64</v>
      </c>
      <c r="K14" s="79" t="s">
        <v>64</v>
      </c>
      <c r="L14" s="75" t="s">
        <v>65</v>
      </c>
      <c r="M14" s="80">
        <v>2015</v>
      </c>
      <c r="N14" s="80" t="s">
        <v>64</v>
      </c>
      <c r="O14" s="80" t="s">
        <v>64</v>
      </c>
      <c r="P14" s="80" t="s">
        <v>64</v>
      </c>
    </row>
    <row r="15" spans="1:17" ht="111.95">
      <c r="B15" s="79" t="s">
        <v>143</v>
      </c>
      <c r="C15" s="79" t="s">
        <v>963</v>
      </c>
      <c r="D15" s="79" t="s">
        <v>59</v>
      </c>
      <c r="E15" s="79" t="s">
        <v>964</v>
      </c>
      <c r="F15" s="79" t="s">
        <v>965</v>
      </c>
      <c r="G15" s="79" t="s">
        <v>62</v>
      </c>
      <c r="H15" s="79" t="s">
        <v>433</v>
      </c>
      <c r="J15" s="80" t="s">
        <v>64</v>
      </c>
      <c r="K15" s="79" t="s">
        <v>64</v>
      </c>
      <c r="L15" s="75" t="s">
        <v>65</v>
      </c>
      <c r="M15" s="80">
        <v>2021</v>
      </c>
      <c r="N15" s="80" t="s">
        <v>64</v>
      </c>
      <c r="O15" s="80" t="s">
        <v>64</v>
      </c>
      <c r="P15" s="80" t="s">
        <v>64</v>
      </c>
      <c r="Q15" s="79" t="s">
        <v>966</v>
      </c>
    </row>
    <row r="16" spans="1:17" s="53" customFormat="1" ht="48">
      <c r="B16" s="52" t="s">
        <v>57</v>
      </c>
      <c r="C16" s="52" t="s">
        <v>959</v>
      </c>
      <c r="D16" s="52" t="s">
        <v>59</v>
      </c>
      <c r="E16" s="52" t="s">
        <v>967</v>
      </c>
      <c r="F16" s="52" t="s">
        <v>968</v>
      </c>
      <c r="G16" s="52" t="s">
        <v>109</v>
      </c>
      <c r="H16" s="52" t="s">
        <v>516</v>
      </c>
      <c r="I16" s="52" t="s">
        <v>969</v>
      </c>
      <c r="J16" s="53" t="s">
        <v>64</v>
      </c>
      <c r="K16" s="52" t="s">
        <v>64</v>
      </c>
      <c r="L16" s="36" t="s">
        <v>65</v>
      </c>
      <c r="M16" s="53">
        <v>2020</v>
      </c>
      <c r="N16" s="53" t="s">
        <v>64</v>
      </c>
      <c r="O16" s="53" t="s">
        <v>64</v>
      </c>
      <c r="P16" s="53" t="s">
        <v>64</v>
      </c>
      <c r="Q16" s="52"/>
    </row>
    <row r="17" spans="2:16" ht="48">
      <c r="B17" s="79" t="s">
        <v>57</v>
      </c>
      <c r="C17" s="79" t="s">
        <v>959</v>
      </c>
      <c r="D17" s="79" t="s">
        <v>970</v>
      </c>
      <c r="E17" s="79" t="s">
        <v>971</v>
      </c>
      <c r="F17" s="79" t="s">
        <v>972</v>
      </c>
      <c r="G17" s="79" t="s">
        <v>109</v>
      </c>
      <c r="H17" s="79" t="s">
        <v>516</v>
      </c>
      <c r="I17" s="79" t="s">
        <v>122</v>
      </c>
      <c r="J17" s="80" t="s">
        <v>64</v>
      </c>
      <c r="K17" s="79" t="s">
        <v>64</v>
      </c>
      <c r="L17" s="75" t="s">
        <v>65</v>
      </c>
      <c r="M17" s="80">
        <v>2010</v>
      </c>
      <c r="N17" s="80" t="s">
        <v>64</v>
      </c>
      <c r="O17" s="80" t="s">
        <v>64</v>
      </c>
      <c r="P17" s="80" t="s">
        <v>64</v>
      </c>
    </row>
    <row r="18" spans="2:16" ht="80.099999999999994">
      <c r="B18" s="79" t="s">
        <v>57</v>
      </c>
      <c r="C18" s="79" t="s">
        <v>973</v>
      </c>
      <c r="D18" s="79" t="s">
        <v>59</v>
      </c>
      <c r="E18" s="79" t="s">
        <v>974</v>
      </c>
      <c r="F18" s="79" t="s">
        <v>975</v>
      </c>
      <c r="G18" s="79" t="s">
        <v>62</v>
      </c>
      <c r="I18" s="79" t="s">
        <v>976</v>
      </c>
      <c r="J18" s="80" t="s">
        <v>64</v>
      </c>
      <c r="K18" s="79" t="s">
        <v>64</v>
      </c>
      <c r="L18" s="75" t="s">
        <v>65</v>
      </c>
      <c r="M18" s="80">
        <v>2021</v>
      </c>
      <c r="N18" s="80" t="s">
        <v>64</v>
      </c>
      <c r="O18" s="80" t="s">
        <v>64</v>
      </c>
      <c r="P18" s="80" t="s">
        <v>64</v>
      </c>
    </row>
    <row r="19" spans="2:16" ht="80.099999999999994">
      <c r="B19" s="79" t="s">
        <v>57</v>
      </c>
      <c r="C19" s="79" t="s">
        <v>973</v>
      </c>
      <c r="D19" s="79" t="s">
        <v>59</v>
      </c>
      <c r="E19" s="79" t="s">
        <v>977</v>
      </c>
      <c r="F19" s="79" t="s">
        <v>975</v>
      </c>
      <c r="G19" s="79" t="s">
        <v>62</v>
      </c>
      <c r="I19" s="79" t="s">
        <v>976</v>
      </c>
      <c r="J19" s="80" t="s">
        <v>64</v>
      </c>
      <c r="K19" s="79" t="s">
        <v>64</v>
      </c>
      <c r="L19" s="75" t="s">
        <v>65</v>
      </c>
      <c r="M19" s="80">
        <v>2021</v>
      </c>
      <c r="N19" s="80" t="s">
        <v>64</v>
      </c>
      <c r="O19" s="80" t="s">
        <v>64</v>
      </c>
      <c r="P19" s="80" t="s">
        <v>64</v>
      </c>
    </row>
    <row r="20" spans="2:16" ht="80.099999999999994">
      <c r="B20" s="79" t="s">
        <v>57</v>
      </c>
      <c r="C20" s="79" t="s">
        <v>973</v>
      </c>
      <c r="D20" s="79" t="s">
        <v>59</v>
      </c>
      <c r="E20" s="79" t="s">
        <v>978</v>
      </c>
      <c r="F20" s="79" t="s">
        <v>979</v>
      </c>
      <c r="G20" s="79" t="s">
        <v>62</v>
      </c>
      <c r="I20" s="79" t="s">
        <v>976</v>
      </c>
      <c r="J20" s="80" t="s">
        <v>64</v>
      </c>
      <c r="K20" s="79" t="s">
        <v>64</v>
      </c>
      <c r="L20" s="75" t="s">
        <v>65</v>
      </c>
      <c r="M20" s="80">
        <v>2021</v>
      </c>
      <c r="N20" s="80" t="s">
        <v>64</v>
      </c>
      <c r="O20" s="80" t="s">
        <v>64</v>
      </c>
      <c r="P20" s="80" t="s">
        <v>64</v>
      </c>
    </row>
    <row r="21" spans="2:16" ht="80.099999999999994">
      <c r="B21" s="79" t="s">
        <v>57</v>
      </c>
      <c r="C21" s="79" t="s">
        <v>973</v>
      </c>
      <c r="D21" s="79" t="s">
        <v>59</v>
      </c>
      <c r="E21" s="79" t="s">
        <v>980</v>
      </c>
      <c r="F21" s="79" t="s">
        <v>981</v>
      </c>
      <c r="G21" s="79" t="s">
        <v>62</v>
      </c>
      <c r="I21" s="79" t="s">
        <v>976</v>
      </c>
      <c r="J21" s="80" t="s">
        <v>64</v>
      </c>
      <c r="K21" s="79" t="s">
        <v>64</v>
      </c>
      <c r="L21" s="75" t="s">
        <v>65</v>
      </c>
      <c r="M21" s="80">
        <v>2021</v>
      </c>
      <c r="N21" s="80" t="s">
        <v>64</v>
      </c>
      <c r="O21" s="80" t="s">
        <v>64</v>
      </c>
      <c r="P21" s="80" t="s">
        <v>64</v>
      </c>
    </row>
    <row r="22" spans="2:16" ht="80.099999999999994">
      <c r="B22" s="79" t="s">
        <v>57</v>
      </c>
      <c r="C22" s="79" t="s">
        <v>973</v>
      </c>
      <c r="D22" s="79" t="s">
        <v>59</v>
      </c>
      <c r="E22" s="79" t="s">
        <v>982</v>
      </c>
      <c r="F22" s="79" t="s">
        <v>983</v>
      </c>
      <c r="G22" s="79" t="s">
        <v>62</v>
      </c>
      <c r="I22" s="79" t="s">
        <v>976</v>
      </c>
      <c r="J22" s="80" t="s">
        <v>64</v>
      </c>
      <c r="K22" s="79" t="s">
        <v>64</v>
      </c>
      <c r="L22" s="75" t="s">
        <v>65</v>
      </c>
      <c r="M22" s="80">
        <v>2021</v>
      </c>
      <c r="N22" s="80" t="s">
        <v>64</v>
      </c>
      <c r="O22" s="80" t="s">
        <v>64</v>
      </c>
      <c r="P22" s="80" t="s">
        <v>64</v>
      </c>
    </row>
    <row r="23" spans="2:16" ht="80.099999999999994">
      <c r="B23" s="79" t="s">
        <v>57</v>
      </c>
      <c r="C23" s="79" t="s">
        <v>973</v>
      </c>
      <c r="D23" s="79" t="s">
        <v>59</v>
      </c>
      <c r="E23" s="79" t="s">
        <v>984</v>
      </c>
      <c r="F23" s="79" t="s">
        <v>975</v>
      </c>
      <c r="G23" s="79" t="s">
        <v>62</v>
      </c>
      <c r="I23" s="79" t="s">
        <v>976</v>
      </c>
      <c r="J23" s="80" t="s">
        <v>64</v>
      </c>
      <c r="K23" s="79" t="s">
        <v>64</v>
      </c>
      <c r="L23" s="75" t="s">
        <v>65</v>
      </c>
      <c r="M23" s="80">
        <v>2021</v>
      </c>
      <c r="N23" s="80" t="s">
        <v>64</v>
      </c>
      <c r="O23" s="80" t="s">
        <v>64</v>
      </c>
      <c r="P23" s="80" t="s">
        <v>64</v>
      </c>
    </row>
    <row r="24" spans="2:16" ht="80.099999999999994">
      <c r="B24" s="79" t="s">
        <v>57</v>
      </c>
      <c r="C24" s="79" t="s">
        <v>973</v>
      </c>
      <c r="D24" s="79" t="s">
        <v>59</v>
      </c>
      <c r="E24" s="79" t="s">
        <v>985</v>
      </c>
      <c r="F24" s="79" t="s">
        <v>975</v>
      </c>
      <c r="G24" s="79" t="s">
        <v>62</v>
      </c>
      <c r="I24" s="79" t="s">
        <v>976</v>
      </c>
      <c r="J24" s="80" t="s">
        <v>64</v>
      </c>
      <c r="K24" s="79" t="s">
        <v>64</v>
      </c>
      <c r="L24" s="75" t="s">
        <v>65</v>
      </c>
      <c r="M24" s="80">
        <v>2021</v>
      </c>
      <c r="N24" s="80" t="s">
        <v>64</v>
      </c>
      <c r="O24" s="80" t="s">
        <v>64</v>
      </c>
      <c r="P24" s="80" t="s">
        <v>64</v>
      </c>
    </row>
    <row r="25" spans="2:16" ht="80.099999999999994">
      <c r="B25" s="79" t="s">
        <v>57</v>
      </c>
      <c r="C25" s="79" t="s">
        <v>973</v>
      </c>
      <c r="D25" s="79" t="s">
        <v>59</v>
      </c>
      <c r="E25" s="79" t="s">
        <v>986</v>
      </c>
      <c r="F25" s="79" t="s">
        <v>987</v>
      </c>
      <c r="G25" s="79" t="s">
        <v>62</v>
      </c>
      <c r="I25" s="79" t="s">
        <v>976</v>
      </c>
      <c r="J25" s="80" t="s">
        <v>64</v>
      </c>
      <c r="K25" s="79" t="s">
        <v>64</v>
      </c>
      <c r="L25" s="75" t="s">
        <v>65</v>
      </c>
      <c r="M25" s="80">
        <v>2021</v>
      </c>
      <c r="N25" s="80" t="s">
        <v>64</v>
      </c>
      <c r="O25" s="80" t="s">
        <v>64</v>
      </c>
      <c r="P25" s="80" t="s">
        <v>64</v>
      </c>
    </row>
    <row r="26" spans="2:16" ht="80.099999999999994">
      <c r="B26" s="79" t="s">
        <v>57</v>
      </c>
      <c r="C26" s="79" t="s">
        <v>973</v>
      </c>
      <c r="D26" s="79" t="s">
        <v>59</v>
      </c>
      <c r="E26" s="79" t="s">
        <v>988</v>
      </c>
      <c r="F26" s="79" t="s">
        <v>987</v>
      </c>
      <c r="G26" s="79" t="s">
        <v>62</v>
      </c>
      <c r="I26" s="79" t="s">
        <v>976</v>
      </c>
      <c r="J26" s="80" t="s">
        <v>64</v>
      </c>
      <c r="K26" s="79" t="s">
        <v>64</v>
      </c>
      <c r="L26" s="75" t="s">
        <v>65</v>
      </c>
      <c r="M26" s="80">
        <v>2021</v>
      </c>
      <c r="N26" s="80" t="s">
        <v>64</v>
      </c>
      <c r="O26" s="80" t="s">
        <v>64</v>
      </c>
      <c r="P26" s="80" t="s">
        <v>64</v>
      </c>
    </row>
    <row r="27" spans="2:16" ht="80.099999999999994">
      <c r="B27" s="79" t="s">
        <v>57</v>
      </c>
      <c r="C27" s="79" t="s">
        <v>973</v>
      </c>
      <c r="D27" s="79" t="s">
        <v>59</v>
      </c>
      <c r="E27" s="79" t="s">
        <v>989</v>
      </c>
      <c r="F27" s="79" t="s">
        <v>990</v>
      </c>
      <c r="G27" s="79" t="s">
        <v>62</v>
      </c>
      <c r="I27" s="79" t="s">
        <v>976</v>
      </c>
      <c r="J27" s="80" t="s">
        <v>64</v>
      </c>
      <c r="K27" s="79" t="s">
        <v>64</v>
      </c>
      <c r="L27" s="75" t="s">
        <v>65</v>
      </c>
      <c r="M27" s="80">
        <v>2021</v>
      </c>
      <c r="N27" s="80" t="s">
        <v>64</v>
      </c>
      <c r="O27" s="80" t="s">
        <v>64</v>
      </c>
      <c r="P27" s="80" t="s">
        <v>64</v>
      </c>
    </row>
    <row r="28" spans="2:16" ht="80.099999999999994">
      <c r="B28" s="79" t="s">
        <v>57</v>
      </c>
      <c r="C28" s="79" t="s">
        <v>973</v>
      </c>
      <c r="D28" s="79" t="s">
        <v>59</v>
      </c>
      <c r="E28" s="79" t="s">
        <v>991</v>
      </c>
      <c r="F28" s="79" t="s">
        <v>992</v>
      </c>
      <c r="G28" s="79" t="s">
        <v>62</v>
      </c>
      <c r="I28" s="79" t="s">
        <v>976</v>
      </c>
      <c r="J28" s="80" t="s">
        <v>64</v>
      </c>
      <c r="K28" s="79" t="s">
        <v>64</v>
      </c>
      <c r="L28" s="75" t="s">
        <v>65</v>
      </c>
      <c r="M28" s="80">
        <v>2021</v>
      </c>
      <c r="N28" s="80" t="s">
        <v>64</v>
      </c>
      <c r="O28" s="80" t="s">
        <v>64</v>
      </c>
      <c r="P28" s="80" t="s">
        <v>64</v>
      </c>
    </row>
    <row r="29" spans="2:16" ht="192">
      <c r="B29" s="79" t="s">
        <v>57</v>
      </c>
      <c r="C29" s="79" t="s">
        <v>973</v>
      </c>
      <c r="D29" s="79" t="s">
        <v>649</v>
      </c>
      <c r="E29" s="79" t="s">
        <v>993</v>
      </c>
      <c r="F29" s="79" t="s">
        <v>994</v>
      </c>
      <c r="G29" s="79" t="s">
        <v>62</v>
      </c>
      <c r="I29" s="79" t="s">
        <v>995</v>
      </c>
      <c r="J29" s="80" t="s">
        <v>64</v>
      </c>
      <c r="K29" s="79" t="s">
        <v>64</v>
      </c>
      <c r="L29" s="80" t="s">
        <v>65</v>
      </c>
      <c r="M29" s="80">
        <v>2021</v>
      </c>
      <c r="N29" s="80" t="s">
        <v>64</v>
      </c>
      <c r="O29" s="80" t="s">
        <v>64</v>
      </c>
      <c r="P29" s="80" t="s">
        <v>64</v>
      </c>
    </row>
    <row r="30" spans="2:16" ht="80.099999999999994">
      <c r="B30" s="79" t="s">
        <v>170</v>
      </c>
      <c r="C30" s="79" t="s">
        <v>932</v>
      </c>
      <c r="D30" s="79" t="s">
        <v>649</v>
      </c>
      <c r="E30" s="79" t="s">
        <v>996</v>
      </c>
      <c r="F30" s="79" t="s">
        <v>997</v>
      </c>
      <c r="G30" s="79" t="s">
        <v>742</v>
      </c>
      <c r="H30" s="79" t="s">
        <v>433</v>
      </c>
      <c r="J30" s="80" t="s">
        <v>64</v>
      </c>
      <c r="K30" s="79" t="s">
        <v>64</v>
      </c>
      <c r="L30" s="80" t="s">
        <v>65</v>
      </c>
      <c r="M30" s="80">
        <v>2020</v>
      </c>
      <c r="N30" s="80" t="s">
        <v>67</v>
      </c>
      <c r="O30" s="80" t="s">
        <v>64</v>
      </c>
      <c r="P30" s="80" t="s">
        <v>64</v>
      </c>
    </row>
    <row r="31" spans="2:16" ht="32.1">
      <c r="B31" s="79" t="s">
        <v>170</v>
      </c>
      <c r="C31" s="79" t="s">
        <v>998</v>
      </c>
      <c r="D31" s="79" t="s">
        <v>649</v>
      </c>
      <c r="E31" s="79" t="s">
        <v>999</v>
      </c>
      <c r="F31" s="79" t="s">
        <v>1000</v>
      </c>
      <c r="G31" s="79" t="s">
        <v>742</v>
      </c>
      <c r="H31" s="79" t="s">
        <v>433</v>
      </c>
      <c r="J31" s="80" t="s">
        <v>64</v>
      </c>
      <c r="K31" s="79" t="s">
        <v>64</v>
      </c>
      <c r="L31" s="80" t="s">
        <v>65</v>
      </c>
      <c r="M31" s="80">
        <v>2020</v>
      </c>
      <c r="N31" s="80" t="s">
        <v>67</v>
      </c>
      <c r="O31" s="80" t="s">
        <v>64</v>
      </c>
      <c r="P31" s="80" t="s">
        <v>64</v>
      </c>
    </row>
    <row r="32" spans="2:16" ht="128.1">
      <c r="B32" s="79" t="s">
        <v>170</v>
      </c>
      <c r="C32" s="79" t="s">
        <v>959</v>
      </c>
      <c r="D32" s="79" t="s">
        <v>59</v>
      </c>
      <c r="E32" s="79" t="s">
        <v>1001</v>
      </c>
      <c r="F32" s="79" t="s">
        <v>1002</v>
      </c>
      <c r="G32" s="79" t="s">
        <v>1003</v>
      </c>
      <c r="H32" s="79" t="s">
        <v>516</v>
      </c>
      <c r="J32" s="80" t="s">
        <v>64</v>
      </c>
      <c r="K32" s="79" t="s">
        <v>64</v>
      </c>
      <c r="L32" s="80" t="s">
        <v>65</v>
      </c>
      <c r="M32" s="80">
        <v>2020</v>
      </c>
      <c r="N32" s="80" t="s">
        <v>64</v>
      </c>
      <c r="O32" s="80" t="s">
        <v>64</v>
      </c>
      <c r="P32" s="80" t="s">
        <v>64</v>
      </c>
    </row>
    <row r="33" spans="2:17" ht="128.1">
      <c r="B33" s="79" t="s">
        <v>170</v>
      </c>
      <c r="C33" s="79" t="s">
        <v>959</v>
      </c>
      <c r="D33" s="79" t="s">
        <v>59</v>
      </c>
      <c r="E33" s="79" t="s">
        <v>1004</v>
      </c>
      <c r="F33" s="79" t="s">
        <v>1002</v>
      </c>
      <c r="G33" s="79" t="s">
        <v>1003</v>
      </c>
      <c r="H33" s="79" t="s">
        <v>516</v>
      </c>
      <c r="J33" s="80" t="s">
        <v>64</v>
      </c>
      <c r="K33" s="79" t="s">
        <v>64</v>
      </c>
      <c r="L33" s="80" t="s">
        <v>65</v>
      </c>
      <c r="M33" s="80">
        <v>2020</v>
      </c>
      <c r="N33" s="80" t="s">
        <v>64</v>
      </c>
      <c r="O33" s="80" t="s">
        <v>64</v>
      </c>
      <c r="P33" s="80" t="s">
        <v>64</v>
      </c>
    </row>
    <row r="34" spans="2:17" ht="128.1">
      <c r="B34" s="79" t="s">
        <v>170</v>
      </c>
      <c r="C34" s="79" t="s">
        <v>959</v>
      </c>
      <c r="D34" s="79" t="s">
        <v>59</v>
      </c>
      <c r="E34" s="79" t="s">
        <v>1005</v>
      </c>
      <c r="F34" s="79" t="s">
        <v>1002</v>
      </c>
      <c r="G34" s="79" t="s">
        <v>1003</v>
      </c>
      <c r="H34" s="79" t="s">
        <v>516</v>
      </c>
      <c r="J34" s="80" t="s">
        <v>64</v>
      </c>
      <c r="K34" s="79" t="s">
        <v>64</v>
      </c>
      <c r="L34" s="80" t="s">
        <v>65</v>
      </c>
      <c r="M34" s="80">
        <v>2020</v>
      </c>
      <c r="N34" s="80" t="s">
        <v>64</v>
      </c>
      <c r="O34" s="80" t="s">
        <v>64</v>
      </c>
      <c r="P34" s="80" t="s">
        <v>64</v>
      </c>
    </row>
    <row r="35" spans="2:17" ht="32.1">
      <c r="B35" s="79" t="s">
        <v>170</v>
      </c>
      <c r="C35" s="79" t="s">
        <v>959</v>
      </c>
      <c r="D35" s="79" t="s">
        <v>59</v>
      </c>
      <c r="E35" s="79" t="s">
        <v>1006</v>
      </c>
      <c r="F35" s="79" t="s">
        <v>1007</v>
      </c>
      <c r="G35" s="79" t="s">
        <v>109</v>
      </c>
      <c r="H35" s="76" t="s">
        <v>516</v>
      </c>
      <c r="J35" s="80" t="s">
        <v>64</v>
      </c>
      <c r="K35" s="79" t="s">
        <v>64</v>
      </c>
      <c r="L35" s="80" t="s">
        <v>65</v>
      </c>
      <c r="M35" s="80">
        <v>2020</v>
      </c>
      <c r="O35" s="80" t="s">
        <v>64</v>
      </c>
      <c r="P35" s="80" t="s">
        <v>64</v>
      </c>
    </row>
    <row r="36" spans="2:17" ht="48">
      <c r="B36" s="79" t="s">
        <v>170</v>
      </c>
      <c r="C36" s="79" t="s">
        <v>959</v>
      </c>
      <c r="D36" s="79" t="s">
        <v>59</v>
      </c>
      <c r="E36" s="79" t="s">
        <v>1008</v>
      </c>
      <c r="F36" s="79" t="s">
        <v>1007</v>
      </c>
      <c r="G36" s="79" t="s">
        <v>109</v>
      </c>
      <c r="H36" s="76" t="s">
        <v>516</v>
      </c>
      <c r="J36" s="80" t="s">
        <v>64</v>
      </c>
      <c r="K36" s="79" t="s">
        <v>64</v>
      </c>
      <c r="L36" s="80" t="s">
        <v>65</v>
      </c>
      <c r="M36" s="80">
        <v>2020</v>
      </c>
      <c r="O36" s="80" t="s">
        <v>64</v>
      </c>
      <c r="P36" s="80" t="s">
        <v>64</v>
      </c>
    </row>
    <row r="37" spans="2:17" ht="32.1">
      <c r="B37" s="79" t="s">
        <v>170</v>
      </c>
      <c r="C37" s="79" t="s">
        <v>959</v>
      </c>
      <c r="D37" s="79" t="s">
        <v>59</v>
      </c>
      <c r="E37" s="79" t="s">
        <v>1009</v>
      </c>
      <c r="F37" s="79" t="s">
        <v>1007</v>
      </c>
      <c r="G37" s="79" t="s">
        <v>109</v>
      </c>
      <c r="H37" s="76" t="s">
        <v>516</v>
      </c>
      <c r="J37" s="80" t="s">
        <v>64</v>
      </c>
      <c r="K37" s="79" t="s">
        <v>64</v>
      </c>
      <c r="L37" s="80" t="s">
        <v>65</v>
      </c>
      <c r="M37" s="80">
        <v>2020</v>
      </c>
      <c r="O37" s="80" t="s">
        <v>64</v>
      </c>
      <c r="P37" s="80" t="s">
        <v>64</v>
      </c>
    </row>
    <row r="38" spans="2:17" ht="159.94999999999999">
      <c r="B38" s="79" t="s">
        <v>185</v>
      </c>
      <c r="C38" s="79" t="s">
        <v>1010</v>
      </c>
      <c r="D38" s="79" t="s">
        <v>59</v>
      </c>
      <c r="E38" s="79" t="s">
        <v>1011</v>
      </c>
      <c r="F38" s="79" t="s">
        <v>1012</v>
      </c>
      <c r="G38" s="79" t="s">
        <v>1013</v>
      </c>
      <c r="H38" s="79" t="s">
        <v>73</v>
      </c>
      <c r="J38" s="80" t="s">
        <v>64</v>
      </c>
      <c r="K38" s="79" t="s">
        <v>64</v>
      </c>
      <c r="M38" s="80">
        <v>2017</v>
      </c>
      <c r="N38" s="80" t="s">
        <v>64</v>
      </c>
      <c r="O38" s="80" t="s">
        <v>64</v>
      </c>
      <c r="P38" s="80" t="s">
        <v>64</v>
      </c>
    </row>
    <row r="39" spans="2:17" ht="159.94999999999999">
      <c r="B39" s="79" t="s">
        <v>185</v>
      </c>
      <c r="C39" s="79" t="s">
        <v>1014</v>
      </c>
      <c r="D39" s="79" t="s">
        <v>59</v>
      </c>
      <c r="E39" s="79" t="s">
        <v>1015</v>
      </c>
      <c r="F39" s="79" t="s">
        <v>1012</v>
      </c>
      <c r="G39" s="79" t="s">
        <v>1013</v>
      </c>
      <c r="H39" s="79" t="s">
        <v>73</v>
      </c>
      <c r="J39" s="80" t="s">
        <v>64</v>
      </c>
      <c r="K39" s="79" t="s">
        <v>64</v>
      </c>
      <c r="L39" s="75" t="s">
        <v>65</v>
      </c>
      <c r="M39" s="80">
        <v>2017</v>
      </c>
      <c r="N39" s="80" t="s">
        <v>64</v>
      </c>
      <c r="O39" s="80" t="s">
        <v>64</v>
      </c>
      <c r="P39" s="80" t="s">
        <v>64</v>
      </c>
    </row>
    <row r="40" spans="2:17" ht="48">
      <c r="B40" s="79" t="s">
        <v>244</v>
      </c>
      <c r="C40" s="79" t="s">
        <v>963</v>
      </c>
      <c r="D40" s="79" t="s">
        <v>59</v>
      </c>
      <c r="E40" s="79" t="s">
        <v>1016</v>
      </c>
      <c r="F40" s="79" t="s">
        <v>1017</v>
      </c>
      <c r="G40" s="79" t="s">
        <v>62</v>
      </c>
      <c r="H40" s="79" t="s">
        <v>433</v>
      </c>
      <c r="J40" s="80" t="s">
        <v>64</v>
      </c>
      <c r="K40" s="79" t="s">
        <v>64</v>
      </c>
      <c r="L40" s="80" t="s">
        <v>65</v>
      </c>
      <c r="M40" s="80">
        <v>2021</v>
      </c>
      <c r="N40" s="80" t="s">
        <v>64</v>
      </c>
      <c r="O40" s="80" t="s">
        <v>64</v>
      </c>
      <c r="P40" s="80" t="s">
        <v>64</v>
      </c>
    </row>
    <row r="41" spans="2:17" ht="255.95">
      <c r="B41" s="79" t="s">
        <v>244</v>
      </c>
      <c r="C41" s="79" t="s">
        <v>1018</v>
      </c>
      <c r="D41" s="79" t="s">
        <v>59</v>
      </c>
      <c r="E41" s="79" t="s">
        <v>1019</v>
      </c>
      <c r="F41" s="79" t="s">
        <v>1020</v>
      </c>
      <c r="G41" s="79" t="s">
        <v>1021</v>
      </c>
      <c r="H41" s="79" t="s">
        <v>433</v>
      </c>
      <c r="J41" s="80" t="s">
        <v>64</v>
      </c>
      <c r="K41" s="79" t="s">
        <v>64</v>
      </c>
      <c r="L41" s="80" t="s">
        <v>65</v>
      </c>
      <c r="M41" s="80">
        <v>2021</v>
      </c>
      <c r="N41" s="80" t="s">
        <v>67</v>
      </c>
      <c r="O41" s="80" t="s">
        <v>64</v>
      </c>
      <c r="P41" s="80" t="s">
        <v>64</v>
      </c>
      <c r="Q41" s="79" t="s">
        <v>1022</v>
      </c>
    </row>
    <row r="42" spans="2:17" ht="48">
      <c r="B42" s="79" t="s">
        <v>244</v>
      </c>
      <c r="C42" s="79" t="s">
        <v>963</v>
      </c>
      <c r="D42" s="79" t="s">
        <v>59</v>
      </c>
      <c r="E42" s="79" t="s">
        <v>1023</v>
      </c>
      <c r="F42" s="79" t="s">
        <v>1024</v>
      </c>
      <c r="G42" s="79" t="s">
        <v>1025</v>
      </c>
      <c r="H42" s="79" t="s">
        <v>433</v>
      </c>
      <c r="J42" s="80" t="s">
        <v>64</v>
      </c>
      <c r="K42" s="79" t="s">
        <v>64</v>
      </c>
      <c r="L42" s="80" t="s">
        <v>65</v>
      </c>
      <c r="M42" s="80">
        <v>2021</v>
      </c>
      <c r="N42" s="80" t="s">
        <v>67</v>
      </c>
      <c r="O42" s="80" t="s">
        <v>64</v>
      </c>
      <c r="P42" s="80" t="s">
        <v>64</v>
      </c>
      <c r="Q42" s="79" t="s">
        <v>1022</v>
      </c>
    </row>
    <row r="43" spans="2:17" ht="255.95">
      <c r="B43" s="79" t="s">
        <v>244</v>
      </c>
      <c r="C43" s="79" t="s">
        <v>1018</v>
      </c>
      <c r="D43" s="79" t="s">
        <v>59</v>
      </c>
      <c r="E43" s="79" t="s">
        <v>1026</v>
      </c>
      <c r="F43" s="79" t="s">
        <v>1020</v>
      </c>
      <c r="G43" s="79" t="s">
        <v>1027</v>
      </c>
      <c r="H43" s="79" t="s">
        <v>433</v>
      </c>
      <c r="J43" s="80" t="s">
        <v>64</v>
      </c>
      <c r="K43" s="79" t="s">
        <v>64</v>
      </c>
      <c r="L43" s="80" t="s">
        <v>65</v>
      </c>
      <c r="M43" s="80">
        <v>2020</v>
      </c>
      <c r="N43" s="80" t="s">
        <v>67</v>
      </c>
      <c r="O43" s="80" t="s">
        <v>64</v>
      </c>
      <c r="P43" s="80" t="s">
        <v>64</v>
      </c>
    </row>
    <row r="44" spans="2:17" ht="63.95">
      <c r="B44" s="79" t="s">
        <v>244</v>
      </c>
      <c r="C44" s="79" t="s">
        <v>963</v>
      </c>
      <c r="D44" s="79" t="s">
        <v>59</v>
      </c>
      <c r="E44" s="79" t="s">
        <v>1026</v>
      </c>
      <c r="F44" s="79" t="s">
        <v>1028</v>
      </c>
      <c r="G44" s="79" t="s">
        <v>1027</v>
      </c>
      <c r="H44" s="79" t="s">
        <v>433</v>
      </c>
      <c r="J44" s="80" t="s">
        <v>64</v>
      </c>
      <c r="K44" s="79" t="s">
        <v>64</v>
      </c>
      <c r="L44" s="80" t="s">
        <v>65</v>
      </c>
      <c r="M44" s="80">
        <v>2020</v>
      </c>
      <c r="N44" s="80" t="s">
        <v>67</v>
      </c>
      <c r="O44" s="80" t="s">
        <v>64</v>
      </c>
      <c r="P44" s="80" t="s">
        <v>64</v>
      </c>
    </row>
    <row r="45" spans="2:17" ht="96">
      <c r="B45" s="79" t="s">
        <v>244</v>
      </c>
      <c r="C45" s="79" t="s">
        <v>1029</v>
      </c>
      <c r="D45" s="79" t="s">
        <v>59</v>
      </c>
      <c r="E45" s="79" t="s">
        <v>1030</v>
      </c>
      <c r="F45" s="79" t="s">
        <v>1031</v>
      </c>
      <c r="G45" s="79" t="s">
        <v>62</v>
      </c>
      <c r="H45" s="79" t="s">
        <v>433</v>
      </c>
      <c r="J45" s="80" t="s">
        <v>64</v>
      </c>
      <c r="K45" s="79" t="s">
        <v>64</v>
      </c>
      <c r="M45" s="80">
        <v>2020</v>
      </c>
      <c r="N45" s="80" t="s">
        <v>64</v>
      </c>
      <c r="O45" s="80" t="s">
        <v>64</v>
      </c>
      <c r="P45" s="80" t="s">
        <v>64</v>
      </c>
    </row>
    <row r="46" spans="2:17" ht="80.099999999999994">
      <c r="B46" s="79" t="s">
        <v>331</v>
      </c>
      <c r="C46" s="79" t="s">
        <v>932</v>
      </c>
      <c r="D46" s="79" t="s">
        <v>128</v>
      </c>
      <c r="E46" s="79" t="s">
        <v>1032</v>
      </c>
      <c r="F46" s="79" t="s">
        <v>1033</v>
      </c>
      <c r="G46" s="79" t="s">
        <v>62</v>
      </c>
      <c r="H46" s="79" t="s">
        <v>433</v>
      </c>
      <c r="I46" s="76"/>
      <c r="J46" s="80" t="s">
        <v>64</v>
      </c>
      <c r="K46" s="79" t="s">
        <v>64</v>
      </c>
      <c r="L46" s="75" t="s">
        <v>65</v>
      </c>
      <c r="M46" s="80">
        <v>2019</v>
      </c>
      <c r="N46" s="80" t="s">
        <v>64</v>
      </c>
      <c r="O46" s="80" t="s">
        <v>64</v>
      </c>
      <c r="P46" s="80" t="s">
        <v>64</v>
      </c>
    </row>
    <row r="47" spans="2:17" ht="32.1">
      <c r="B47" s="79" t="s">
        <v>389</v>
      </c>
      <c r="C47" s="79" t="s">
        <v>1034</v>
      </c>
      <c r="D47" s="79" t="s">
        <v>1035</v>
      </c>
      <c r="E47" s="79" t="s">
        <v>1036</v>
      </c>
      <c r="F47" s="79" t="s">
        <v>1037</v>
      </c>
      <c r="G47" s="79" t="s">
        <v>394</v>
      </c>
      <c r="H47" s="79" t="s">
        <v>433</v>
      </c>
      <c r="J47" s="80" t="s">
        <v>64</v>
      </c>
      <c r="K47" s="79" t="s">
        <v>64</v>
      </c>
      <c r="L47" s="80" t="s">
        <v>65</v>
      </c>
      <c r="M47" s="80">
        <v>2020</v>
      </c>
      <c r="N47" s="80" t="s">
        <v>64</v>
      </c>
      <c r="O47" s="80" t="s">
        <v>64</v>
      </c>
      <c r="P47" s="80" t="s">
        <v>64</v>
      </c>
    </row>
    <row r="48" spans="2:17" ht="48">
      <c r="B48" s="79" t="s">
        <v>389</v>
      </c>
      <c r="C48" s="79" t="s">
        <v>1038</v>
      </c>
      <c r="D48" s="79" t="s">
        <v>1035</v>
      </c>
      <c r="E48" s="79" t="s">
        <v>1036</v>
      </c>
      <c r="F48" s="79" t="s">
        <v>1039</v>
      </c>
      <c r="G48" s="79" t="s">
        <v>394</v>
      </c>
      <c r="H48" s="79" t="s">
        <v>433</v>
      </c>
      <c r="J48" s="80" t="s">
        <v>64</v>
      </c>
      <c r="K48" s="79" t="s">
        <v>64</v>
      </c>
      <c r="L48" s="80" t="s">
        <v>65</v>
      </c>
      <c r="M48" s="80">
        <v>2020</v>
      </c>
      <c r="N48" s="80" t="s">
        <v>64</v>
      </c>
      <c r="O48" s="80" t="s">
        <v>64</v>
      </c>
      <c r="P48" s="80" t="s">
        <v>64</v>
      </c>
    </row>
    <row r="49" spans="2:16" ht="48">
      <c r="B49" s="79" t="s">
        <v>389</v>
      </c>
      <c r="C49" s="79" t="s">
        <v>1040</v>
      </c>
      <c r="D49" s="79" t="s">
        <v>927</v>
      </c>
      <c r="E49" s="79" t="s">
        <v>1041</v>
      </c>
      <c r="F49" s="79" t="s">
        <v>1042</v>
      </c>
      <c r="G49" s="79" t="s">
        <v>1043</v>
      </c>
      <c r="I49" s="79" t="s">
        <v>401</v>
      </c>
      <c r="J49" s="80" t="s">
        <v>64</v>
      </c>
      <c r="K49" s="79" t="s">
        <v>64</v>
      </c>
      <c r="L49" s="75" t="s">
        <v>65</v>
      </c>
      <c r="M49" s="80">
        <v>2012</v>
      </c>
      <c r="N49" s="80" t="s">
        <v>67</v>
      </c>
      <c r="O49" s="80" t="s">
        <v>64</v>
      </c>
      <c r="P49" s="80" t="s">
        <v>64</v>
      </c>
    </row>
    <row r="50" spans="2:16" ht="48">
      <c r="B50" s="79" t="s">
        <v>389</v>
      </c>
      <c r="C50" s="79" t="s">
        <v>1040</v>
      </c>
      <c r="D50" s="79" t="s">
        <v>927</v>
      </c>
      <c r="E50" s="79" t="s">
        <v>1044</v>
      </c>
      <c r="F50" s="79" t="s">
        <v>1045</v>
      </c>
      <c r="G50" s="79" t="s">
        <v>394</v>
      </c>
      <c r="I50" s="79" t="s">
        <v>401</v>
      </c>
      <c r="J50" s="80" t="s">
        <v>64</v>
      </c>
      <c r="K50" s="79" t="s">
        <v>64</v>
      </c>
      <c r="L50" s="75" t="s">
        <v>65</v>
      </c>
      <c r="M50" s="80">
        <v>2014</v>
      </c>
      <c r="N50" s="80" t="s">
        <v>67</v>
      </c>
      <c r="O50" s="80" t="s">
        <v>64</v>
      </c>
      <c r="P50" s="80" t="s">
        <v>64</v>
      </c>
    </row>
    <row r="51" spans="2:16" ht="48">
      <c r="B51" s="79" t="s">
        <v>389</v>
      </c>
      <c r="C51" s="79" t="s">
        <v>1040</v>
      </c>
      <c r="D51" s="79" t="s">
        <v>927</v>
      </c>
      <c r="E51" s="79" t="s">
        <v>1046</v>
      </c>
      <c r="F51" s="79" t="s">
        <v>1047</v>
      </c>
      <c r="G51" s="79" t="s">
        <v>394</v>
      </c>
      <c r="I51" s="79" t="s">
        <v>401</v>
      </c>
      <c r="J51" s="80" t="s">
        <v>64</v>
      </c>
      <c r="K51" s="79" t="s">
        <v>64</v>
      </c>
      <c r="L51" s="75" t="s">
        <v>65</v>
      </c>
      <c r="M51" s="80">
        <v>2014</v>
      </c>
      <c r="N51" s="80" t="s">
        <v>67</v>
      </c>
      <c r="O51" s="80" t="s">
        <v>64</v>
      </c>
      <c r="P51" s="80" t="s">
        <v>64</v>
      </c>
    </row>
    <row r="52" spans="2:16" ht="48">
      <c r="B52" s="79" t="s">
        <v>389</v>
      </c>
      <c r="C52" s="79" t="s">
        <v>926</v>
      </c>
      <c r="D52" s="79" t="s">
        <v>927</v>
      </c>
      <c r="E52" s="79" t="s">
        <v>1048</v>
      </c>
      <c r="F52" s="79" t="s">
        <v>1049</v>
      </c>
      <c r="G52" s="79" t="s">
        <v>1050</v>
      </c>
      <c r="H52" s="79" t="s">
        <v>433</v>
      </c>
      <c r="J52" s="80" t="s">
        <v>64</v>
      </c>
      <c r="K52" s="79" t="s">
        <v>64</v>
      </c>
      <c r="L52" s="75" t="s">
        <v>65</v>
      </c>
      <c r="M52" s="80">
        <v>2021</v>
      </c>
      <c r="N52" s="80" t="s">
        <v>67</v>
      </c>
      <c r="O52" s="80" t="s">
        <v>64</v>
      </c>
      <c r="P52" s="80" t="s">
        <v>64</v>
      </c>
    </row>
    <row r="53" spans="2:16" ht="48">
      <c r="B53" s="79" t="s">
        <v>389</v>
      </c>
      <c r="C53" s="79" t="s">
        <v>1051</v>
      </c>
      <c r="D53" s="79" t="s">
        <v>927</v>
      </c>
      <c r="E53" s="79" t="s">
        <v>1051</v>
      </c>
      <c r="F53" s="79" t="s">
        <v>1052</v>
      </c>
      <c r="G53" s="79" t="s">
        <v>394</v>
      </c>
      <c r="I53" s="79" t="s">
        <v>1053</v>
      </c>
      <c r="J53" s="80" t="s">
        <v>64</v>
      </c>
      <c r="K53" s="79" t="s">
        <v>64</v>
      </c>
      <c r="L53" s="75" t="s">
        <v>65</v>
      </c>
      <c r="M53" s="80">
        <v>2014</v>
      </c>
      <c r="N53" s="80" t="s">
        <v>67</v>
      </c>
      <c r="O53" s="80" t="s">
        <v>64</v>
      </c>
      <c r="P53" s="80" t="s">
        <v>64</v>
      </c>
    </row>
    <row r="54" spans="2:16" ht="32.1">
      <c r="B54" s="79" t="s">
        <v>389</v>
      </c>
      <c r="C54" s="79" t="s">
        <v>1054</v>
      </c>
      <c r="D54" s="79" t="s">
        <v>927</v>
      </c>
      <c r="E54" s="82" t="s">
        <v>1055</v>
      </c>
      <c r="F54" s="79" t="s">
        <v>1056</v>
      </c>
      <c r="G54" s="79" t="s">
        <v>829</v>
      </c>
      <c r="H54" s="79" t="s">
        <v>433</v>
      </c>
      <c r="J54" s="80" t="s">
        <v>64</v>
      </c>
      <c r="K54" s="79" t="s">
        <v>64</v>
      </c>
      <c r="L54" s="75" t="s">
        <v>65</v>
      </c>
      <c r="M54" s="80">
        <v>2018</v>
      </c>
      <c r="N54" s="80" t="s">
        <v>67</v>
      </c>
      <c r="O54" s="80" t="s">
        <v>64</v>
      </c>
      <c r="P54" s="80" t="s">
        <v>64</v>
      </c>
    </row>
    <row r="55" spans="2:16" ht="48">
      <c r="B55" s="79" t="s">
        <v>389</v>
      </c>
      <c r="C55" s="79" t="s">
        <v>1054</v>
      </c>
      <c r="D55" s="79" t="s">
        <v>927</v>
      </c>
      <c r="E55" s="79" t="s">
        <v>1057</v>
      </c>
      <c r="F55" s="79" t="s">
        <v>1056</v>
      </c>
      <c r="G55" s="79" t="s">
        <v>394</v>
      </c>
      <c r="I55" s="79" t="s">
        <v>1053</v>
      </c>
      <c r="J55" s="80" t="s">
        <v>64</v>
      </c>
      <c r="K55" s="79" t="s">
        <v>64</v>
      </c>
      <c r="L55" s="75" t="s">
        <v>65</v>
      </c>
      <c r="M55" s="80">
        <v>2014</v>
      </c>
      <c r="N55" s="80" t="s">
        <v>67</v>
      </c>
      <c r="O55" s="80" t="s">
        <v>64</v>
      </c>
      <c r="P55" s="80" t="s">
        <v>64</v>
      </c>
    </row>
    <row r="56" spans="2:16" ht="224.1">
      <c r="B56" s="79" t="s">
        <v>389</v>
      </c>
      <c r="C56" s="79" t="s">
        <v>1058</v>
      </c>
      <c r="D56" s="79" t="s">
        <v>927</v>
      </c>
      <c r="E56" s="79" t="s">
        <v>1059</v>
      </c>
      <c r="F56" s="79" t="s">
        <v>1060</v>
      </c>
      <c r="G56" s="79" t="s">
        <v>62</v>
      </c>
      <c r="I56" s="79" t="s">
        <v>1061</v>
      </c>
      <c r="J56" s="80" t="s">
        <v>64</v>
      </c>
      <c r="K56" s="79" t="s">
        <v>64</v>
      </c>
      <c r="L56" s="75" t="s">
        <v>65</v>
      </c>
      <c r="M56" s="80">
        <v>2018</v>
      </c>
      <c r="N56" s="80" t="s">
        <v>67</v>
      </c>
      <c r="O56" s="80" t="s">
        <v>64</v>
      </c>
      <c r="P56" s="80" t="s">
        <v>64</v>
      </c>
    </row>
    <row r="57" spans="2:16" ht="63.95">
      <c r="B57" s="79" t="s">
        <v>389</v>
      </c>
      <c r="C57" s="79" t="s">
        <v>1058</v>
      </c>
      <c r="D57" s="79" t="s">
        <v>927</v>
      </c>
      <c r="E57" s="79" t="s">
        <v>1062</v>
      </c>
      <c r="F57" s="79" t="s">
        <v>1063</v>
      </c>
      <c r="G57" s="79" t="s">
        <v>394</v>
      </c>
      <c r="I57" s="79" t="s">
        <v>1064</v>
      </c>
      <c r="J57" s="80" t="s">
        <v>64</v>
      </c>
      <c r="K57" s="79" t="s">
        <v>64</v>
      </c>
      <c r="L57" s="75" t="s">
        <v>65</v>
      </c>
      <c r="M57" s="80">
        <v>2020</v>
      </c>
      <c r="N57" s="80" t="s">
        <v>67</v>
      </c>
      <c r="O57" s="80" t="s">
        <v>64</v>
      </c>
      <c r="P57" s="80" t="s">
        <v>64</v>
      </c>
    </row>
    <row r="58" spans="2:16" ht="48">
      <c r="B58" s="79" t="s">
        <v>389</v>
      </c>
      <c r="C58" s="79" t="s">
        <v>1040</v>
      </c>
      <c r="D58" s="79" t="s">
        <v>927</v>
      </c>
      <c r="E58" s="79" t="s">
        <v>1065</v>
      </c>
      <c r="F58" s="79" t="s">
        <v>1066</v>
      </c>
      <c r="G58" s="79" t="s">
        <v>394</v>
      </c>
      <c r="I58" s="79" t="s">
        <v>401</v>
      </c>
      <c r="J58" s="80" t="s">
        <v>64</v>
      </c>
      <c r="K58" s="79" t="s">
        <v>64</v>
      </c>
      <c r="L58" s="75" t="s">
        <v>65</v>
      </c>
      <c r="M58" s="80">
        <v>2014</v>
      </c>
      <c r="N58" s="80" t="s">
        <v>67</v>
      </c>
      <c r="O58" s="80" t="s">
        <v>64</v>
      </c>
      <c r="P58" s="80" t="s">
        <v>64</v>
      </c>
    </row>
    <row r="59" spans="2:16" ht="48">
      <c r="B59" s="79" t="s">
        <v>389</v>
      </c>
      <c r="C59" s="79" t="s">
        <v>1040</v>
      </c>
      <c r="D59" s="79" t="s">
        <v>927</v>
      </c>
      <c r="E59" s="79" t="s">
        <v>1067</v>
      </c>
      <c r="F59" s="79" t="s">
        <v>1068</v>
      </c>
      <c r="G59" s="79" t="s">
        <v>394</v>
      </c>
      <c r="I59" s="79" t="s">
        <v>401</v>
      </c>
      <c r="J59" s="80" t="s">
        <v>64</v>
      </c>
      <c r="K59" s="79" t="s">
        <v>64</v>
      </c>
      <c r="L59" s="75" t="s">
        <v>65</v>
      </c>
      <c r="M59" s="80">
        <v>2014</v>
      </c>
      <c r="N59" s="80" t="s">
        <v>67</v>
      </c>
      <c r="O59" s="80" t="s">
        <v>64</v>
      </c>
      <c r="P59" s="80" t="s">
        <v>64</v>
      </c>
    </row>
    <row r="60" spans="2:16" ht="48">
      <c r="B60" s="79" t="s">
        <v>389</v>
      </c>
      <c r="C60" s="79" t="s">
        <v>1040</v>
      </c>
      <c r="D60" s="79" t="s">
        <v>927</v>
      </c>
      <c r="E60" s="79" t="s">
        <v>1069</v>
      </c>
      <c r="F60" s="79" t="s">
        <v>1070</v>
      </c>
      <c r="G60" s="79" t="s">
        <v>297</v>
      </c>
      <c r="I60" s="79" t="s">
        <v>401</v>
      </c>
      <c r="J60" s="80" t="s">
        <v>64</v>
      </c>
      <c r="K60" s="79" t="s">
        <v>64</v>
      </c>
      <c r="L60" s="75" t="s">
        <v>65</v>
      </c>
      <c r="M60" s="80">
        <v>2014</v>
      </c>
      <c r="N60" s="80" t="s">
        <v>67</v>
      </c>
      <c r="O60" s="80" t="s">
        <v>64</v>
      </c>
      <c r="P60" s="80" t="s">
        <v>64</v>
      </c>
    </row>
    <row r="61" spans="2:16" ht="48">
      <c r="B61" s="79" t="s">
        <v>389</v>
      </c>
      <c r="C61" s="79" t="s">
        <v>1040</v>
      </c>
      <c r="D61" s="79" t="s">
        <v>927</v>
      </c>
      <c r="E61" s="79" t="s">
        <v>1071</v>
      </c>
      <c r="F61" s="79" t="s">
        <v>1072</v>
      </c>
      <c r="G61" s="79" t="s">
        <v>394</v>
      </c>
      <c r="I61" s="79" t="s">
        <v>1073</v>
      </c>
      <c r="J61" s="80" t="s">
        <v>64</v>
      </c>
      <c r="K61" s="79" t="s">
        <v>64</v>
      </c>
      <c r="L61" s="75" t="s">
        <v>65</v>
      </c>
      <c r="M61" s="80">
        <v>2018</v>
      </c>
      <c r="N61" s="80" t="s">
        <v>67</v>
      </c>
      <c r="O61" s="80" t="s">
        <v>64</v>
      </c>
      <c r="P61" s="80" t="s">
        <v>64</v>
      </c>
    </row>
    <row r="62" spans="2:16" ht="48">
      <c r="B62" s="79" t="s">
        <v>389</v>
      </c>
      <c r="C62" s="79" t="s">
        <v>1040</v>
      </c>
      <c r="D62" s="79" t="s">
        <v>927</v>
      </c>
      <c r="E62" s="79" t="s">
        <v>1074</v>
      </c>
      <c r="F62" s="79" t="s">
        <v>1075</v>
      </c>
      <c r="G62" s="79" t="s">
        <v>394</v>
      </c>
      <c r="I62" s="79" t="s">
        <v>1073</v>
      </c>
      <c r="J62" s="80" t="s">
        <v>64</v>
      </c>
      <c r="K62" s="79" t="s">
        <v>64</v>
      </c>
      <c r="L62" s="75" t="s">
        <v>65</v>
      </c>
      <c r="M62" s="80">
        <v>2017</v>
      </c>
      <c r="N62" s="80" t="s">
        <v>67</v>
      </c>
      <c r="O62" s="80" t="s">
        <v>64</v>
      </c>
      <c r="P62" s="80" t="s">
        <v>64</v>
      </c>
    </row>
    <row r="63" spans="2:16" ht="63.95">
      <c r="B63" s="79" t="s">
        <v>389</v>
      </c>
      <c r="C63" s="79" t="s">
        <v>1040</v>
      </c>
      <c r="D63" s="79" t="s">
        <v>927</v>
      </c>
      <c r="E63" s="79" t="s">
        <v>1076</v>
      </c>
      <c r="F63" s="79" t="s">
        <v>1077</v>
      </c>
      <c r="G63" s="79" t="s">
        <v>394</v>
      </c>
      <c r="I63" s="79" t="s">
        <v>1064</v>
      </c>
      <c r="J63" s="80" t="s">
        <v>64</v>
      </c>
      <c r="K63" s="79" t="s">
        <v>64</v>
      </c>
      <c r="L63" s="75" t="s">
        <v>65</v>
      </c>
      <c r="M63" s="80">
        <v>2016</v>
      </c>
      <c r="N63" s="80" t="s">
        <v>67</v>
      </c>
      <c r="O63" s="80" t="s">
        <v>64</v>
      </c>
      <c r="P63" s="80" t="s">
        <v>64</v>
      </c>
    </row>
    <row r="64" spans="2:16" ht="48">
      <c r="B64" s="79" t="s">
        <v>389</v>
      </c>
      <c r="C64" s="79" t="s">
        <v>1078</v>
      </c>
      <c r="D64" s="79" t="s">
        <v>927</v>
      </c>
      <c r="E64" s="79" t="s">
        <v>1079</v>
      </c>
      <c r="F64" s="79" t="s">
        <v>1080</v>
      </c>
      <c r="G64" s="79" t="s">
        <v>1043</v>
      </c>
      <c r="I64" s="79" t="s">
        <v>1081</v>
      </c>
      <c r="J64" s="80" t="s">
        <v>64</v>
      </c>
      <c r="K64" s="79" t="s">
        <v>64</v>
      </c>
      <c r="L64" s="75" t="s">
        <v>65</v>
      </c>
      <c r="M64" s="80">
        <v>2014</v>
      </c>
      <c r="N64" s="80" t="s">
        <v>67</v>
      </c>
      <c r="O64" s="80" t="s">
        <v>64</v>
      </c>
      <c r="P64" s="80" t="s">
        <v>64</v>
      </c>
    </row>
    <row r="65" spans="2:16" ht="48">
      <c r="B65" s="79" t="s">
        <v>389</v>
      </c>
      <c r="C65" s="79" t="s">
        <v>1078</v>
      </c>
      <c r="D65" s="79" t="s">
        <v>927</v>
      </c>
      <c r="E65" s="79" t="s">
        <v>1082</v>
      </c>
      <c r="F65" s="79" t="s">
        <v>1083</v>
      </c>
      <c r="G65" s="79" t="s">
        <v>394</v>
      </c>
      <c r="I65" s="79" t="s">
        <v>1081</v>
      </c>
      <c r="J65" s="80" t="s">
        <v>64</v>
      </c>
      <c r="K65" s="79" t="s">
        <v>64</v>
      </c>
      <c r="L65" s="75" t="s">
        <v>65</v>
      </c>
      <c r="M65" s="80">
        <v>2013</v>
      </c>
      <c r="N65" s="80" t="s">
        <v>67</v>
      </c>
      <c r="O65" s="80" t="s">
        <v>64</v>
      </c>
      <c r="P65" s="80" t="s">
        <v>64</v>
      </c>
    </row>
    <row r="66" spans="2:16" ht="32.1">
      <c r="B66" s="79" t="s">
        <v>389</v>
      </c>
      <c r="C66" s="79" t="s">
        <v>1078</v>
      </c>
      <c r="D66" s="79" t="s">
        <v>927</v>
      </c>
      <c r="E66" s="79" t="s">
        <v>1084</v>
      </c>
      <c r="F66" s="79" t="s">
        <v>1085</v>
      </c>
      <c r="G66" s="79" t="s">
        <v>394</v>
      </c>
      <c r="I66" s="79" t="s">
        <v>1086</v>
      </c>
      <c r="J66" s="80" t="s">
        <v>64</v>
      </c>
      <c r="K66" s="79" t="s">
        <v>64</v>
      </c>
      <c r="L66" s="75" t="s">
        <v>65</v>
      </c>
      <c r="M66" s="80">
        <v>2011</v>
      </c>
      <c r="N66" s="80" t="s">
        <v>64</v>
      </c>
      <c r="O66" s="80" t="s">
        <v>64</v>
      </c>
      <c r="P66" s="80" t="s">
        <v>64</v>
      </c>
    </row>
    <row r="67" spans="2:16" ht="80.099999999999994">
      <c r="B67" s="79" t="s">
        <v>389</v>
      </c>
      <c r="C67" s="79" t="s">
        <v>932</v>
      </c>
      <c r="D67" s="79" t="s">
        <v>927</v>
      </c>
      <c r="E67" s="79" t="s">
        <v>932</v>
      </c>
      <c r="F67" s="79" t="s">
        <v>1087</v>
      </c>
      <c r="G67" s="79" t="s">
        <v>394</v>
      </c>
      <c r="H67" s="79" t="s">
        <v>433</v>
      </c>
      <c r="J67" s="80" t="s">
        <v>64</v>
      </c>
      <c r="K67" s="79" t="s">
        <v>64</v>
      </c>
      <c r="L67" s="75" t="s">
        <v>65</v>
      </c>
      <c r="M67" s="80">
        <v>2021</v>
      </c>
      <c r="N67" s="80" t="s">
        <v>67</v>
      </c>
      <c r="O67" s="80" t="s">
        <v>64</v>
      </c>
      <c r="P67" s="80" t="s">
        <v>64</v>
      </c>
    </row>
    <row r="68" spans="2:16" ht="48">
      <c r="B68" s="79" t="s">
        <v>389</v>
      </c>
      <c r="C68" s="79" t="s">
        <v>1088</v>
      </c>
      <c r="D68" s="79" t="s">
        <v>927</v>
      </c>
      <c r="E68" s="79" t="s">
        <v>1089</v>
      </c>
      <c r="F68" s="79" t="s">
        <v>1090</v>
      </c>
      <c r="G68" s="79" t="s">
        <v>1043</v>
      </c>
      <c r="I68" s="79" t="s">
        <v>1081</v>
      </c>
      <c r="J68" s="80" t="s">
        <v>64</v>
      </c>
      <c r="K68" s="79" t="s">
        <v>64</v>
      </c>
      <c r="L68" s="75" t="s">
        <v>65</v>
      </c>
      <c r="M68" s="80">
        <v>2019</v>
      </c>
      <c r="N68" s="80" t="s">
        <v>67</v>
      </c>
      <c r="O68" s="80" t="s">
        <v>64</v>
      </c>
      <c r="P68" s="80" t="s">
        <v>64</v>
      </c>
    </row>
    <row r="69" spans="2:16" ht="48">
      <c r="B69" s="79" t="s">
        <v>389</v>
      </c>
      <c r="C69" s="79" t="s">
        <v>1091</v>
      </c>
      <c r="D69" s="79" t="s">
        <v>927</v>
      </c>
      <c r="E69" s="79" t="s">
        <v>1092</v>
      </c>
      <c r="F69" s="79" t="s">
        <v>1093</v>
      </c>
      <c r="G69" s="79" t="s">
        <v>1043</v>
      </c>
      <c r="I69" s="79" t="s">
        <v>1081</v>
      </c>
      <c r="J69" s="80" t="s">
        <v>64</v>
      </c>
      <c r="K69" s="79" t="s">
        <v>64</v>
      </c>
      <c r="L69" s="75" t="s">
        <v>65</v>
      </c>
      <c r="M69" s="80">
        <v>2020</v>
      </c>
      <c r="N69" s="80" t="s">
        <v>67</v>
      </c>
      <c r="O69" s="80" t="s">
        <v>64</v>
      </c>
      <c r="P69" s="80" t="s">
        <v>64</v>
      </c>
    </row>
    <row r="70" spans="2:16" ht="48">
      <c r="B70" s="79" t="s">
        <v>389</v>
      </c>
      <c r="C70" s="79" t="s">
        <v>1094</v>
      </c>
      <c r="D70" s="79" t="s">
        <v>927</v>
      </c>
      <c r="E70" s="79" t="s">
        <v>1095</v>
      </c>
      <c r="F70" s="79" t="s">
        <v>1096</v>
      </c>
      <c r="G70" s="79" t="s">
        <v>1043</v>
      </c>
      <c r="I70" s="79" t="s">
        <v>1081</v>
      </c>
      <c r="J70" s="80" t="s">
        <v>64</v>
      </c>
      <c r="K70" s="79" t="s">
        <v>64</v>
      </c>
      <c r="L70" s="75" t="s">
        <v>65</v>
      </c>
      <c r="M70" s="80">
        <v>2020</v>
      </c>
      <c r="N70" s="80" t="s">
        <v>67</v>
      </c>
      <c r="O70" s="80" t="s">
        <v>64</v>
      </c>
      <c r="P70" s="80" t="s">
        <v>64</v>
      </c>
    </row>
    <row r="71" spans="2:16" ht="48">
      <c r="B71" s="79" t="s">
        <v>389</v>
      </c>
      <c r="C71" s="79" t="s">
        <v>1014</v>
      </c>
      <c r="D71" s="79" t="s">
        <v>927</v>
      </c>
      <c r="E71" s="79" t="s">
        <v>1097</v>
      </c>
      <c r="F71" s="79" t="s">
        <v>1098</v>
      </c>
      <c r="G71" s="79" t="s">
        <v>1043</v>
      </c>
      <c r="I71" s="79" t="s">
        <v>1081</v>
      </c>
      <c r="J71" s="80" t="s">
        <v>64</v>
      </c>
      <c r="K71" s="79" t="s">
        <v>64</v>
      </c>
      <c r="L71" s="75" t="s">
        <v>65</v>
      </c>
      <c r="M71" s="80">
        <v>2022</v>
      </c>
      <c r="N71" s="80" t="s">
        <v>67</v>
      </c>
      <c r="O71" s="80" t="s">
        <v>64</v>
      </c>
      <c r="P71" s="80" t="s">
        <v>64</v>
      </c>
    </row>
    <row r="72" spans="2:16" ht="32.1">
      <c r="B72" s="79" t="s">
        <v>389</v>
      </c>
      <c r="C72" s="79" t="s">
        <v>1094</v>
      </c>
      <c r="D72" s="79" t="s">
        <v>927</v>
      </c>
      <c r="E72" s="79" t="s">
        <v>1099</v>
      </c>
      <c r="F72" s="79" t="s">
        <v>1100</v>
      </c>
      <c r="G72" s="79" t="s">
        <v>829</v>
      </c>
      <c r="H72" s="79" t="s">
        <v>433</v>
      </c>
      <c r="J72" s="80" t="s">
        <v>64</v>
      </c>
      <c r="K72" s="79" t="s">
        <v>64</v>
      </c>
      <c r="L72" s="75" t="s">
        <v>65</v>
      </c>
      <c r="M72" s="80">
        <v>2019</v>
      </c>
      <c r="N72" s="80" t="s">
        <v>67</v>
      </c>
      <c r="O72" s="80" t="s">
        <v>64</v>
      </c>
      <c r="P72" s="80" t="s">
        <v>64</v>
      </c>
    </row>
    <row r="73" spans="2:16" ht="48">
      <c r="B73" s="79" t="s">
        <v>389</v>
      </c>
      <c r="C73" s="79" t="s">
        <v>1014</v>
      </c>
      <c r="D73" s="79" t="s">
        <v>927</v>
      </c>
      <c r="E73" s="79" t="s">
        <v>1101</v>
      </c>
      <c r="F73" s="79" t="s">
        <v>1102</v>
      </c>
      <c r="G73" s="79" t="s">
        <v>1043</v>
      </c>
      <c r="I73" s="79" t="s">
        <v>1081</v>
      </c>
      <c r="J73" s="80" t="s">
        <v>64</v>
      </c>
      <c r="K73" s="79" t="s">
        <v>64</v>
      </c>
      <c r="L73" s="75" t="s">
        <v>65</v>
      </c>
      <c r="M73" s="80">
        <v>2015</v>
      </c>
      <c r="N73" s="80" t="s">
        <v>67</v>
      </c>
      <c r="O73" s="80" t="s">
        <v>64</v>
      </c>
      <c r="P73" s="80" t="s">
        <v>64</v>
      </c>
    </row>
    <row r="74" spans="2:16" ht="48">
      <c r="B74" s="79" t="s">
        <v>389</v>
      </c>
      <c r="C74" s="79" t="s">
        <v>1094</v>
      </c>
      <c r="D74" s="79" t="s">
        <v>927</v>
      </c>
      <c r="E74" s="79" t="s">
        <v>1103</v>
      </c>
      <c r="F74" s="79" t="s">
        <v>1104</v>
      </c>
      <c r="G74" s="79" t="s">
        <v>1043</v>
      </c>
      <c r="I74" s="79" t="s">
        <v>1081</v>
      </c>
      <c r="J74" s="80" t="s">
        <v>64</v>
      </c>
      <c r="K74" s="79" t="s">
        <v>64</v>
      </c>
      <c r="L74" s="75" t="s">
        <v>65</v>
      </c>
      <c r="M74" s="80">
        <v>2021</v>
      </c>
      <c r="N74" s="80" t="s">
        <v>67</v>
      </c>
      <c r="O74" s="80" t="s">
        <v>64</v>
      </c>
      <c r="P74" s="80" t="s">
        <v>64</v>
      </c>
    </row>
    <row r="75" spans="2:16" ht="80.099999999999994">
      <c r="B75" s="79" t="s">
        <v>389</v>
      </c>
      <c r="C75" s="79" t="s">
        <v>1088</v>
      </c>
      <c r="D75" s="79" t="s">
        <v>927</v>
      </c>
      <c r="E75" s="79" t="s">
        <v>1105</v>
      </c>
      <c r="F75" s="79" t="s">
        <v>1106</v>
      </c>
      <c r="G75" s="79" t="s">
        <v>1043</v>
      </c>
      <c r="I75" s="79" t="s">
        <v>1081</v>
      </c>
      <c r="J75" s="80" t="s">
        <v>64</v>
      </c>
      <c r="K75" s="79" t="s">
        <v>64</v>
      </c>
      <c r="L75" s="75" t="s">
        <v>65</v>
      </c>
      <c r="M75" s="80">
        <v>2014</v>
      </c>
      <c r="N75" s="80" t="s">
        <v>67</v>
      </c>
      <c r="O75" s="80" t="s">
        <v>64</v>
      </c>
      <c r="P75" s="80" t="s">
        <v>64</v>
      </c>
    </row>
    <row r="76" spans="2:16" ht="80.099999999999994">
      <c r="B76" s="79" t="s">
        <v>389</v>
      </c>
      <c r="C76" s="79" t="s">
        <v>1091</v>
      </c>
      <c r="D76" s="79" t="s">
        <v>927</v>
      </c>
      <c r="E76" s="79" t="s">
        <v>1107</v>
      </c>
      <c r="F76" s="79" t="s">
        <v>1108</v>
      </c>
      <c r="G76" s="79" t="s">
        <v>1043</v>
      </c>
      <c r="I76" s="79" t="s">
        <v>1081</v>
      </c>
      <c r="J76" s="80" t="s">
        <v>64</v>
      </c>
      <c r="K76" s="79" t="s">
        <v>64</v>
      </c>
      <c r="L76" s="75" t="s">
        <v>65</v>
      </c>
      <c r="M76" s="80">
        <v>2014</v>
      </c>
      <c r="N76" s="80" t="s">
        <v>67</v>
      </c>
      <c r="O76" s="80" t="s">
        <v>64</v>
      </c>
      <c r="P76" s="80" t="s">
        <v>64</v>
      </c>
    </row>
    <row r="77" spans="2:16" ht="48">
      <c r="B77" s="79" t="s">
        <v>389</v>
      </c>
      <c r="C77" s="79" t="s">
        <v>1094</v>
      </c>
      <c r="D77" s="79" t="s">
        <v>927</v>
      </c>
      <c r="E77" s="79" t="s">
        <v>1109</v>
      </c>
      <c r="F77" s="79" t="s">
        <v>1110</v>
      </c>
      <c r="G77" s="79" t="s">
        <v>1043</v>
      </c>
      <c r="I77" s="79" t="s">
        <v>1081</v>
      </c>
      <c r="J77" s="80" t="s">
        <v>64</v>
      </c>
      <c r="K77" s="79" t="s">
        <v>64</v>
      </c>
      <c r="L77" s="75" t="s">
        <v>65</v>
      </c>
      <c r="M77" s="80">
        <v>2014</v>
      </c>
      <c r="N77" s="80" t="s">
        <v>67</v>
      </c>
      <c r="O77" s="80" t="s">
        <v>64</v>
      </c>
      <c r="P77" s="80" t="s">
        <v>64</v>
      </c>
    </row>
    <row r="78" spans="2:16" ht="48">
      <c r="B78" s="79" t="s">
        <v>389</v>
      </c>
      <c r="C78" s="79" t="s">
        <v>1094</v>
      </c>
      <c r="D78" s="79" t="s">
        <v>927</v>
      </c>
      <c r="E78" s="79" t="s">
        <v>1111</v>
      </c>
      <c r="F78" s="79" t="s">
        <v>1112</v>
      </c>
      <c r="G78" s="79" t="s">
        <v>1043</v>
      </c>
      <c r="I78" s="79" t="s">
        <v>1081</v>
      </c>
      <c r="J78" s="80" t="s">
        <v>64</v>
      </c>
      <c r="K78" s="79" t="s">
        <v>64</v>
      </c>
      <c r="L78" s="75" t="s">
        <v>65</v>
      </c>
      <c r="M78" s="80">
        <v>2014</v>
      </c>
      <c r="N78" s="80" t="s">
        <v>67</v>
      </c>
      <c r="O78" s="80" t="s">
        <v>64</v>
      </c>
      <c r="P78" s="80" t="s">
        <v>64</v>
      </c>
    </row>
    <row r="79" spans="2:16" ht="48">
      <c r="B79" s="79" t="s">
        <v>389</v>
      </c>
      <c r="C79" s="79" t="s">
        <v>1094</v>
      </c>
      <c r="D79" s="79" t="s">
        <v>927</v>
      </c>
      <c r="E79" s="79" t="s">
        <v>1113</v>
      </c>
      <c r="F79" s="79" t="s">
        <v>1096</v>
      </c>
      <c r="G79" s="79" t="s">
        <v>1043</v>
      </c>
      <c r="I79" s="79" t="s">
        <v>1081</v>
      </c>
      <c r="J79" s="80" t="s">
        <v>64</v>
      </c>
      <c r="K79" s="79" t="s">
        <v>64</v>
      </c>
      <c r="L79" s="75" t="s">
        <v>65</v>
      </c>
      <c r="M79" s="80">
        <v>2014</v>
      </c>
      <c r="N79" s="80" t="s">
        <v>64</v>
      </c>
      <c r="O79" s="80" t="s">
        <v>64</v>
      </c>
      <c r="P79" s="80" t="s">
        <v>64</v>
      </c>
    </row>
    <row r="80" spans="2:16" ht="63.95">
      <c r="B80" s="79" t="s">
        <v>389</v>
      </c>
      <c r="C80" s="79" t="s">
        <v>1114</v>
      </c>
      <c r="D80" s="79" t="s">
        <v>927</v>
      </c>
      <c r="E80" s="79" t="s">
        <v>1115</v>
      </c>
      <c r="F80" s="79" t="s">
        <v>1116</v>
      </c>
      <c r="G80" s="79" t="s">
        <v>1043</v>
      </c>
      <c r="I80" s="79" t="s">
        <v>1081</v>
      </c>
      <c r="J80" s="80" t="s">
        <v>64</v>
      </c>
      <c r="K80" s="79" t="s">
        <v>64</v>
      </c>
      <c r="L80" s="75" t="s">
        <v>65</v>
      </c>
      <c r="M80" s="80">
        <v>2019</v>
      </c>
      <c r="N80" s="80" t="s">
        <v>67</v>
      </c>
      <c r="O80" s="80" t="s">
        <v>64</v>
      </c>
      <c r="P80" s="80" t="s">
        <v>64</v>
      </c>
    </row>
    <row r="81" spans="1:19" ht="48">
      <c r="B81" s="79" t="s">
        <v>389</v>
      </c>
      <c r="C81" s="79" t="s">
        <v>1094</v>
      </c>
      <c r="D81" s="79" t="s">
        <v>927</v>
      </c>
      <c r="E81" s="79" t="s">
        <v>1117</v>
      </c>
      <c r="F81" s="79" t="s">
        <v>1110</v>
      </c>
      <c r="G81" s="79" t="s">
        <v>1043</v>
      </c>
      <c r="I81" s="79" t="s">
        <v>1081</v>
      </c>
      <c r="J81" s="80" t="s">
        <v>64</v>
      </c>
      <c r="K81" s="79" t="s">
        <v>64</v>
      </c>
      <c r="L81" s="75" t="s">
        <v>65</v>
      </c>
      <c r="M81" s="80">
        <v>2017</v>
      </c>
      <c r="N81" s="80" t="s">
        <v>67</v>
      </c>
      <c r="O81" s="80" t="s">
        <v>64</v>
      </c>
      <c r="P81" s="80" t="s">
        <v>64</v>
      </c>
    </row>
    <row r="82" spans="1:19" s="53" customFormat="1" ht="15.95">
      <c r="A82" s="53">
        <v>0</v>
      </c>
      <c r="B82" s="52" t="s">
        <v>564</v>
      </c>
      <c r="C82" s="52"/>
      <c r="D82" s="52"/>
      <c r="E82" s="52"/>
      <c r="F82" s="52"/>
      <c r="G82" s="52"/>
      <c r="H82" s="52"/>
      <c r="I82" s="52"/>
      <c r="K82" s="52"/>
      <c r="L82" s="36"/>
      <c r="Q82" s="52"/>
    </row>
    <row r="83" spans="1:19" s="36" customFormat="1" ht="48">
      <c r="B83" s="37" t="s">
        <v>1118</v>
      </c>
      <c r="C83" s="37" t="s">
        <v>932</v>
      </c>
      <c r="D83" s="37" t="s">
        <v>440</v>
      </c>
      <c r="E83" s="37" t="s">
        <v>1119</v>
      </c>
      <c r="F83" s="37" t="s">
        <v>1120</v>
      </c>
      <c r="G83" s="37" t="s">
        <v>62</v>
      </c>
      <c r="H83" s="37" t="s">
        <v>433</v>
      </c>
      <c r="I83" s="37"/>
      <c r="J83" s="37" t="s">
        <v>64</v>
      </c>
      <c r="K83" s="36" t="s">
        <v>64</v>
      </c>
      <c r="L83" s="36" t="s">
        <v>65</v>
      </c>
      <c r="M83" s="36">
        <v>2021</v>
      </c>
      <c r="N83" s="36" t="s">
        <v>64</v>
      </c>
      <c r="O83" s="53" t="s">
        <v>64</v>
      </c>
      <c r="P83" s="53" t="s">
        <v>64</v>
      </c>
      <c r="S83" s="37"/>
    </row>
    <row r="84" spans="1:19" ht="80.099999999999994">
      <c r="B84" s="79" t="s">
        <v>1118</v>
      </c>
      <c r="C84" s="79" t="s">
        <v>1038</v>
      </c>
      <c r="D84" s="79" t="s">
        <v>440</v>
      </c>
      <c r="E84" s="76" t="s">
        <v>1119</v>
      </c>
      <c r="F84" s="79" t="s">
        <v>1121</v>
      </c>
      <c r="G84" s="76" t="s">
        <v>62</v>
      </c>
      <c r="H84" s="79" t="s">
        <v>433</v>
      </c>
      <c r="J84" s="80" t="s">
        <v>64</v>
      </c>
      <c r="K84" s="79" t="s">
        <v>64</v>
      </c>
      <c r="L84" s="75" t="s">
        <v>65</v>
      </c>
      <c r="M84" s="80">
        <v>2021</v>
      </c>
      <c r="N84" s="80" t="s">
        <v>64</v>
      </c>
      <c r="O84" s="80" t="s">
        <v>64</v>
      </c>
      <c r="P84" s="80" t="s">
        <v>64</v>
      </c>
    </row>
    <row r="85" spans="1:19" s="75" customFormat="1" ht="32.1">
      <c r="B85" s="76" t="s">
        <v>1118</v>
      </c>
      <c r="C85" s="76" t="s">
        <v>932</v>
      </c>
      <c r="D85" s="76" t="s">
        <v>440</v>
      </c>
      <c r="E85" s="76" t="s">
        <v>1122</v>
      </c>
      <c r="F85" s="76" t="s">
        <v>1123</v>
      </c>
      <c r="G85" s="76" t="s">
        <v>62</v>
      </c>
      <c r="H85" s="76" t="s">
        <v>433</v>
      </c>
      <c r="I85" s="76"/>
      <c r="J85" s="76" t="s">
        <v>64</v>
      </c>
      <c r="K85" s="75" t="s">
        <v>64</v>
      </c>
      <c r="L85" s="75" t="s">
        <v>65</v>
      </c>
      <c r="M85" s="75">
        <v>2021</v>
      </c>
      <c r="N85" s="75" t="s">
        <v>64</v>
      </c>
      <c r="O85" s="80" t="s">
        <v>64</v>
      </c>
      <c r="P85" s="80" t="s">
        <v>64</v>
      </c>
      <c r="S85" s="76"/>
    </row>
    <row r="86" spans="1:19" s="75" customFormat="1" ht="15.95">
      <c r="B86" s="76" t="s">
        <v>1118</v>
      </c>
      <c r="C86" s="76" t="s">
        <v>998</v>
      </c>
      <c r="D86" s="76" t="s">
        <v>440</v>
      </c>
      <c r="E86" s="76" t="s">
        <v>1122</v>
      </c>
      <c r="F86" s="76" t="s">
        <v>1124</v>
      </c>
      <c r="G86" s="76" t="s">
        <v>62</v>
      </c>
      <c r="H86" s="76" t="s">
        <v>433</v>
      </c>
      <c r="I86" s="76"/>
      <c r="J86" s="76" t="s">
        <v>64</v>
      </c>
      <c r="K86" s="75" t="s">
        <v>64</v>
      </c>
      <c r="L86" s="75" t="s">
        <v>65</v>
      </c>
      <c r="M86" s="75">
        <v>2021</v>
      </c>
      <c r="N86" s="75" t="s">
        <v>64</v>
      </c>
      <c r="O86" s="80" t="s">
        <v>64</v>
      </c>
      <c r="P86" s="80" t="s">
        <v>64</v>
      </c>
      <c r="S86" s="76"/>
    </row>
    <row r="87" spans="1:19" s="75" customFormat="1" ht="48">
      <c r="B87" s="76" t="s">
        <v>1118</v>
      </c>
      <c r="C87" s="76" t="s">
        <v>932</v>
      </c>
      <c r="D87" s="76" t="s">
        <v>275</v>
      </c>
      <c r="E87" s="76" t="s">
        <v>1125</v>
      </c>
      <c r="F87" s="76" t="s">
        <v>1123</v>
      </c>
      <c r="G87" s="76" t="s">
        <v>486</v>
      </c>
      <c r="H87" s="76" t="s">
        <v>433</v>
      </c>
      <c r="I87" s="76"/>
      <c r="J87" s="76" t="s">
        <v>64</v>
      </c>
      <c r="K87" s="75" t="s">
        <v>64</v>
      </c>
      <c r="L87" s="75" t="s">
        <v>65</v>
      </c>
      <c r="M87" s="75">
        <v>2021</v>
      </c>
      <c r="N87" s="75" t="s">
        <v>64</v>
      </c>
      <c r="O87" s="80" t="s">
        <v>64</v>
      </c>
      <c r="P87" s="80" t="s">
        <v>64</v>
      </c>
      <c r="S87" s="76"/>
    </row>
    <row r="88" spans="1:19" s="75" customFormat="1" ht="48">
      <c r="B88" s="76" t="s">
        <v>1118</v>
      </c>
      <c r="C88" s="76" t="s">
        <v>998</v>
      </c>
      <c r="D88" s="76" t="s">
        <v>275</v>
      </c>
      <c r="E88" s="76" t="s">
        <v>1126</v>
      </c>
      <c r="F88" s="76" t="s">
        <v>1124</v>
      </c>
      <c r="G88" s="76" t="s">
        <v>486</v>
      </c>
      <c r="H88" s="76" t="s">
        <v>433</v>
      </c>
      <c r="I88" s="76"/>
      <c r="J88" s="76" t="s">
        <v>64</v>
      </c>
      <c r="K88" s="75" t="s">
        <v>64</v>
      </c>
      <c r="L88" s="75" t="s">
        <v>65</v>
      </c>
      <c r="M88" s="75">
        <v>2021</v>
      </c>
      <c r="N88" s="75" t="s">
        <v>64</v>
      </c>
      <c r="O88" s="80" t="s">
        <v>64</v>
      </c>
      <c r="P88" s="80" t="s">
        <v>64</v>
      </c>
      <c r="S88" s="76"/>
    </row>
    <row r="89" spans="1:19" s="75" customFormat="1" ht="48">
      <c r="B89" s="76" t="s">
        <v>1118</v>
      </c>
      <c r="C89" s="76" t="s">
        <v>932</v>
      </c>
      <c r="D89" s="76" t="s">
        <v>275</v>
      </c>
      <c r="E89" s="76" t="s">
        <v>1127</v>
      </c>
      <c r="F89" s="76" t="s">
        <v>1128</v>
      </c>
      <c r="G89" s="76" t="s">
        <v>527</v>
      </c>
      <c r="H89" s="76" t="s">
        <v>433</v>
      </c>
      <c r="I89" s="76"/>
      <c r="J89" s="76" t="s">
        <v>64</v>
      </c>
      <c r="K89" s="75" t="s">
        <v>64</v>
      </c>
      <c r="L89" s="75" t="s">
        <v>65</v>
      </c>
      <c r="M89" s="75">
        <v>2021</v>
      </c>
      <c r="N89" s="75" t="s">
        <v>64</v>
      </c>
      <c r="O89" s="80" t="s">
        <v>64</v>
      </c>
      <c r="P89" s="80" t="s">
        <v>64</v>
      </c>
      <c r="S89" s="76"/>
    </row>
    <row r="90" spans="1:19" s="75" customFormat="1" ht="48">
      <c r="B90" s="76" t="s">
        <v>1118</v>
      </c>
      <c r="C90" s="76" t="s">
        <v>926</v>
      </c>
      <c r="D90" s="76" t="s">
        <v>275</v>
      </c>
      <c r="E90" s="76" t="s">
        <v>1129</v>
      </c>
      <c r="F90" s="76" t="s">
        <v>1130</v>
      </c>
      <c r="G90" s="76" t="s">
        <v>527</v>
      </c>
      <c r="H90" s="76" t="s">
        <v>433</v>
      </c>
      <c r="I90" s="76"/>
      <c r="J90" s="76" t="s">
        <v>64</v>
      </c>
      <c r="K90" s="75" t="s">
        <v>64</v>
      </c>
      <c r="L90" s="75" t="s">
        <v>65</v>
      </c>
      <c r="M90" s="75">
        <v>2021</v>
      </c>
      <c r="N90" s="75" t="s">
        <v>64</v>
      </c>
      <c r="O90" s="80" t="s">
        <v>64</v>
      </c>
      <c r="P90" s="80" t="s">
        <v>64</v>
      </c>
      <c r="S90" s="76"/>
    </row>
    <row r="91" spans="1:19" s="75" customFormat="1" ht="32.1">
      <c r="B91" s="76" t="s">
        <v>1118</v>
      </c>
      <c r="C91" s="76" t="s">
        <v>1034</v>
      </c>
      <c r="D91" s="76" t="s">
        <v>275</v>
      </c>
      <c r="E91" s="76" t="s">
        <v>1131</v>
      </c>
      <c r="F91" s="76" t="s">
        <v>1132</v>
      </c>
      <c r="G91" s="76" t="s">
        <v>1133</v>
      </c>
      <c r="H91" s="76" t="s">
        <v>433</v>
      </c>
      <c r="I91" s="76"/>
      <c r="J91" s="76" t="s">
        <v>64</v>
      </c>
      <c r="K91" s="75" t="s">
        <v>64</v>
      </c>
      <c r="L91" s="75" t="s">
        <v>65</v>
      </c>
      <c r="M91" s="75">
        <v>2021</v>
      </c>
      <c r="N91" s="75" t="s">
        <v>64</v>
      </c>
      <c r="O91" s="80" t="s">
        <v>64</v>
      </c>
      <c r="P91" s="80" t="s">
        <v>64</v>
      </c>
      <c r="S91" s="76"/>
    </row>
    <row r="92" spans="1:19" s="75" customFormat="1" ht="48">
      <c r="B92" s="76" t="s">
        <v>1118</v>
      </c>
      <c r="C92" s="76" t="s">
        <v>1038</v>
      </c>
      <c r="D92" s="76" t="s">
        <v>275</v>
      </c>
      <c r="E92" s="76" t="s">
        <v>1131</v>
      </c>
      <c r="F92" s="76" t="s">
        <v>1134</v>
      </c>
      <c r="G92" s="76" t="s">
        <v>1135</v>
      </c>
      <c r="H92" s="76" t="s">
        <v>433</v>
      </c>
      <c r="I92" s="76"/>
      <c r="J92" s="76" t="s">
        <v>64</v>
      </c>
      <c r="K92" s="75" t="s">
        <v>64</v>
      </c>
      <c r="L92" s="75" t="s">
        <v>65</v>
      </c>
      <c r="M92" s="75">
        <v>2021</v>
      </c>
      <c r="N92" s="75" t="s">
        <v>64</v>
      </c>
      <c r="O92" s="80" t="s">
        <v>64</v>
      </c>
      <c r="P92" s="80" t="s">
        <v>64</v>
      </c>
      <c r="S92" s="76"/>
    </row>
    <row r="93" spans="1:19" s="75" customFormat="1" ht="32.1">
      <c r="B93" s="76" t="s">
        <v>1118</v>
      </c>
      <c r="C93" s="76" t="s">
        <v>1094</v>
      </c>
      <c r="D93" s="76" t="s">
        <v>440</v>
      </c>
      <c r="E93" s="76" t="s">
        <v>1136</v>
      </c>
      <c r="F93" s="76" t="s">
        <v>1137</v>
      </c>
      <c r="G93" s="76" t="s">
        <v>62</v>
      </c>
      <c r="H93" s="76"/>
      <c r="I93" s="76" t="s">
        <v>1138</v>
      </c>
      <c r="J93" s="76" t="s">
        <v>64</v>
      </c>
      <c r="K93" s="75" t="s">
        <v>64</v>
      </c>
      <c r="L93" s="75" t="s">
        <v>65</v>
      </c>
      <c r="M93" s="75">
        <v>2022</v>
      </c>
      <c r="N93" s="75" t="s">
        <v>67</v>
      </c>
      <c r="O93" s="80" t="s">
        <v>64</v>
      </c>
      <c r="P93" s="80" t="s">
        <v>64</v>
      </c>
      <c r="S93" s="76"/>
    </row>
    <row r="94" spans="1:19" s="75" customFormat="1" ht="48">
      <c r="B94" s="76" t="s">
        <v>1118</v>
      </c>
      <c r="C94" s="76" t="s">
        <v>932</v>
      </c>
      <c r="D94" s="76" t="s">
        <v>128</v>
      </c>
      <c r="E94" s="76" t="s">
        <v>1139</v>
      </c>
      <c r="F94" s="76" t="s">
        <v>1140</v>
      </c>
      <c r="G94" s="76" t="s">
        <v>471</v>
      </c>
      <c r="H94" s="76" t="s">
        <v>433</v>
      </c>
      <c r="I94" s="76"/>
      <c r="J94" s="76" t="s">
        <v>64</v>
      </c>
      <c r="K94" s="75" t="s">
        <v>64</v>
      </c>
      <c r="L94" s="75" t="s">
        <v>65</v>
      </c>
      <c r="M94" s="75">
        <v>2021</v>
      </c>
      <c r="N94" s="75" t="s">
        <v>64</v>
      </c>
      <c r="O94" s="80" t="s">
        <v>64</v>
      </c>
      <c r="P94" s="80" t="s">
        <v>64</v>
      </c>
      <c r="S94" s="76"/>
    </row>
    <row r="95" spans="1:19" s="53" customFormat="1" ht="80.099999999999994">
      <c r="B95" s="52" t="s">
        <v>579</v>
      </c>
      <c r="C95" s="52" t="s">
        <v>1034</v>
      </c>
      <c r="D95" s="52" t="s">
        <v>1141</v>
      </c>
      <c r="E95" s="52" t="s">
        <v>1142</v>
      </c>
      <c r="F95" s="52" t="s">
        <v>1143</v>
      </c>
      <c r="G95" s="52" t="s">
        <v>163</v>
      </c>
      <c r="H95" s="52" t="s">
        <v>73</v>
      </c>
      <c r="I95" s="52" t="s">
        <v>1144</v>
      </c>
      <c r="J95" s="53" t="s">
        <v>64</v>
      </c>
      <c r="K95" s="52" t="s">
        <v>64</v>
      </c>
      <c r="L95" s="53" t="s">
        <v>65</v>
      </c>
      <c r="M95" s="53">
        <v>2023</v>
      </c>
      <c r="N95" s="53" t="s">
        <v>64</v>
      </c>
      <c r="O95" s="53" t="s">
        <v>64</v>
      </c>
      <c r="P95" s="53" t="s">
        <v>64</v>
      </c>
      <c r="Q95" s="52"/>
    </row>
    <row r="96" spans="1:19" s="53" customFormat="1" ht="48">
      <c r="B96" s="52" t="s">
        <v>598</v>
      </c>
      <c r="C96" s="52" t="s">
        <v>926</v>
      </c>
      <c r="D96" s="52" t="s">
        <v>1141</v>
      </c>
      <c r="E96" s="52" t="s">
        <v>1145</v>
      </c>
      <c r="F96" s="52" t="s">
        <v>1146</v>
      </c>
      <c r="G96" s="52" t="s">
        <v>163</v>
      </c>
      <c r="H96" s="52" t="s">
        <v>1147</v>
      </c>
      <c r="I96" s="52"/>
      <c r="J96" s="53" t="s">
        <v>64</v>
      </c>
      <c r="K96" s="52" t="s">
        <v>64</v>
      </c>
      <c r="L96" s="36" t="s">
        <v>65</v>
      </c>
      <c r="M96" s="53">
        <v>2010</v>
      </c>
      <c r="N96" s="53" t="s">
        <v>64</v>
      </c>
      <c r="O96" s="53" t="s">
        <v>64</v>
      </c>
      <c r="P96" s="53" t="s">
        <v>64</v>
      </c>
      <c r="Q96" s="52"/>
    </row>
    <row r="97" spans="1:19" ht="48">
      <c r="B97" s="79" t="s">
        <v>598</v>
      </c>
      <c r="C97" s="79" t="s">
        <v>959</v>
      </c>
      <c r="D97" s="79" t="s">
        <v>1141</v>
      </c>
      <c r="E97" s="79" t="s">
        <v>1148</v>
      </c>
      <c r="F97" s="79" t="s">
        <v>1149</v>
      </c>
      <c r="G97" s="79" t="s">
        <v>109</v>
      </c>
      <c r="H97" s="79" t="s">
        <v>1150</v>
      </c>
      <c r="J97" s="80" t="s">
        <v>64</v>
      </c>
      <c r="K97" s="79" t="s">
        <v>64</v>
      </c>
      <c r="L97" s="75" t="s">
        <v>65</v>
      </c>
      <c r="M97" s="80">
        <v>2011</v>
      </c>
      <c r="N97" s="80" t="s">
        <v>64</v>
      </c>
      <c r="O97" s="80" t="s">
        <v>64</v>
      </c>
      <c r="P97" s="80" t="s">
        <v>64</v>
      </c>
    </row>
    <row r="98" spans="1:19" s="53" customFormat="1" ht="80.099999999999994">
      <c r="B98" s="52" t="s">
        <v>625</v>
      </c>
      <c r="C98" s="52" t="s">
        <v>1038</v>
      </c>
      <c r="D98" s="52" t="s">
        <v>59</v>
      </c>
      <c r="E98" s="52" t="s">
        <v>1151</v>
      </c>
      <c r="F98" s="52" t="s">
        <v>1152</v>
      </c>
      <c r="G98" s="52" t="s">
        <v>62</v>
      </c>
      <c r="H98" s="52" t="s">
        <v>433</v>
      </c>
      <c r="I98" s="52"/>
      <c r="J98" s="53" t="s">
        <v>64</v>
      </c>
      <c r="K98" s="52" t="s">
        <v>64</v>
      </c>
      <c r="L98" s="36" t="s">
        <v>65</v>
      </c>
      <c r="M98" s="53">
        <v>2015</v>
      </c>
      <c r="N98" s="53" t="s">
        <v>64</v>
      </c>
      <c r="O98" s="53" t="s">
        <v>64</v>
      </c>
      <c r="P98" s="53" t="s">
        <v>64</v>
      </c>
      <c r="Q98" s="52"/>
    </row>
    <row r="99" spans="1:19" ht="80.099999999999994">
      <c r="B99" s="79" t="s">
        <v>625</v>
      </c>
      <c r="C99" s="79" t="s">
        <v>1034</v>
      </c>
      <c r="D99" s="79" t="s">
        <v>59</v>
      </c>
      <c r="E99" s="79" t="s">
        <v>1151</v>
      </c>
      <c r="F99" s="79" t="s">
        <v>932</v>
      </c>
      <c r="G99" s="79" t="s">
        <v>62</v>
      </c>
      <c r="H99" s="79" t="s">
        <v>433</v>
      </c>
      <c r="J99" s="80" t="s">
        <v>64</v>
      </c>
      <c r="K99" s="79" t="s">
        <v>64</v>
      </c>
      <c r="L99" s="75" t="s">
        <v>65</v>
      </c>
      <c r="M99" s="80">
        <v>2015</v>
      </c>
      <c r="N99" s="80" t="s">
        <v>64</v>
      </c>
      <c r="O99" s="80" t="s">
        <v>64</v>
      </c>
      <c r="P99" s="80" t="s">
        <v>64</v>
      </c>
    </row>
    <row r="100" spans="1:19" ht="48">
      <c r="B100" s="79" t="s">
        <v>625</v>
      </c>
      <c r="C100" s="79" t="s">
        <v>932</v>
      </c>
      <c r="D100" s="79" t="s">
        <v>128</v>
      </c>
      <c r="E100" s="79" t="s">
        <v>1153</v>
      </c>
      <c r="F100" s="79" t="s">
        <v>932</v>
      </c>
      <c r="G100" s="79" t="s">
        <v>62</v>
      </c>
      <c r="I100" s="79" t="s">
        <v>1154</v>
      </c>
      <c r="J100" s="80" t="s">
        <v>64</v>
      </c>
      <c r="K100" s="79" t="s">
        <v>64</v>
      </c>
      <c r="L100" s="75" t="s">
        <v>65</v>
      </c>
      <c r="M100" s="80">
        <v>2016</v>
      </c>
      <c r="N100" s="80" t="s">
        <v>64</v>
      </c>
      <c r="O100" s="80" t="s">
        <v>64</v>
      </c>
      <c r="P100" s="80" t="s">
        <v>64</v>
      </c>
    </row>
    <row r="101" spans="1:19" s="75" customFormat="1" ht="96">
      <c r="B101" s="76" t="s">
        <v>625</v>
      </c>
      <c r="C101" s="79" t="s">
        <v>932</v>
      </c>
      <c r="D101" s="76" t="s">
        <v>128</v>
      </c>
      <c r="E101" s="76" t="s">
        <v>1155</v>
      </c>
      <c r="F101" s="76" t="s">
        <v>1156</v>
      </c>
      <c r="G101" s="76" t="s">
        <v>1157</v>
      </c>
      <c r="H101" s="76" t="s">
        <v>433</v>
      </c>
      <c r="I101" s="76"/>
      <c r="J101" s="76" t="s">
        <v>64</v>
      </c>
      <c r="K101" s="75" t="s">
        <v>64</v>
      </c>
      <c r="L101" s="75" t="s">
        <v>65</v>
      </c>
      <c r="N101" s="75">
        <v>2011</v>
      </c>
      <c r="O101" s="80" t="s">
        <v>64</v>
      </c>
      <c r="P101" s="80" t="s">
        <v>64</v>
      </c>
      <c r="S101" s="76"/>
    </row>
    <row r="102" spans="1:19" s="75" customFormat="1" ht="144">
      <c r="B102" s="76" t="s">
        <v>625</v>
      </c>
      <c r="C102" s="76" t="s">
        <v>1034</v>
      </c>
      <c r="D102" s="76" t="s">
        <v>128</v>
      </c>
      <c r="E102" s="76" t="s">
        <v>1158</v>
      </c>
      <c r="F102" s="76" t="s">
        <v>1159</v>
      </c>
      <c r="G102" s="76" t="s">
        <v>1160</v>
      </c>
      <c r="H102" s="76" t="s">
        <v>433</v>
      </c>
      <c r="I102" s="76"/>
      <c r="J102" s="76" t="s">
        <v>64</v>
      </c>
      <c r="K102" s="75" t="s">
        <v>64</v>
      </c>
      <c r="L102" s="75" t="s">
        <v>65</v>
      </c>
      <c r="N102" s="75">
        <v>2008</v>
      </c>
      <c r="O102" s="80" t="s">
        <v>64</v>
      </c>
      <c r="P102" s="80" t="s">
        <v>64</v>
      </c>
      <c r="S102" s="76"/>
    </row>
    <row r="103" spans="1:19" ht="48">
      <c r="B103" s="79" t="s">
        <v>625</v>
      </c>
      <c r="C103" s="79" t="s">
        <v>1010</v>
      </c>
      <c r="D103" s="79" t="s">
        <v>128</v>
      </c>
      <c r="E103" s="79" t="s">
        <v>1161</v>
      </c>
      <c r="H103" s="79" t="s">
        <v>73</v>
      </c>
      <c r="J103" s="80" t="s">
        <v>64</v>
      </c>
      <c r="K103" s="79" t="s">
        <v>64</v>
      </c>
      <c r="L103" s="75" t="s">
        <v>65</v>
      </c>
      <c r="N103" s="80">
        <v>2012</v>
      </c>
      <c r="O103" s="80" t="s">
        <v>64</v>
      </c>
      <c r="P103" s="80" t="s">
        <v>64</v>
      </c>
    </row>
    <row r="104" spans="1:19" ht="48">
      <c r="B104" s="79" t="s">
        <v>625</v>
      </c>
      <c r="C104" s="79" t="s">
        <v>932</v>
      </c>
      <c r="D104" s="79" t="s">
        <v>275</v>
      </c>
      <c r="E104" s="79" t="s">
        <v>1162</v>
      </c>
      <c r="F104" s="79" t="s">
        <v>1163</v>
      </c>
      <c r="G104" s="79" t="s">
        <v>1164</v>
      </c>
      <c r="H104" s="79" t="s">
        <v>433</v>
      </c>
      <c r="J104" s="80" t="s">
        <v>64</v>
      </c>
      <c r="K104" s="79" t="s">
        <v>64</v>
      </c>
      <c r="L104" s="75" t="s">
        <v>65</v>
      </c>
      <c r="N104" s="80">
        <v>2011</v>
      </c>
      <c r="O104" s="80" t="s">
        <v>64</v>
      </c>
      <c r="P104" s="80" t="s">
        <v>64</v>
      </c>
    </row>
    <row r="105" spans="1:19" s="53" customFormat="1" ht="15.95">
      <c r="A105" s="53">
        <v>0</v>
      </c>
      <c r="B105" s="52" t="s">
        <v>660</v>
      </c>
      <c r="C105" s="52"/>
      <c r="D105" s="52"/>
      <c r="E105" s="52"/>
      <c r="F105" s="52"/>
      <c r="G105" s="52"/>
      <c r="H105" s="52"/>
      <c r="I105" s="52"/>
      <c r="K105" s="52"/>
      <c r="L105" s="36"/>
      <c r="Q105" s="52"/>
    </row>
    <row r="106" spans="1:19" s="53" customFormat="1" ht="15.95">
      <c r="A106" s="53">
        <v>0</v>
      </c>
      <c r="B106" s="52" t="s">
        <v>685</v>
      </c>
      <c r="C106" s="52"/>
      <c r="D106" s="52"/>
      <c r="E106" s="52"/>
      <c r="F106" s="52"/>
      <c r="G106" s="52"/>
      <c r="H106" s="52"/>
      <c r="I106" s="52"/>
      <c r="K106" s="52"/>
      <c r="L106" s="36"/>
      <c r="Q106" s="52"/>
    </row>
    <row r="107" spans="1:19" s="53" customFormat="1" ht="63.95">
      <c r="B107" s="52" t="s">
        <v>693</v>
      </c>
      <c r="C107" s="52" t="s">
        <v>932</v>
      </c>
      <c r="D107" s="52" t="s">
        <v>59</v>
      </c>
      <c r="E107" s="52" t="s">
        <v>1165</v>
      </c>
      <c r="F107" s="52" t="s">
        <v>1166</v>
      </c>
      <c r="G107" s="52" t="s">
        <v>163</v>
      </c>
      <c r="H107" s="52" t="s">
        <v>433</v>
      </c>
      <c r="I107" s="52"/>
      <c r="J107" s="53" t="s">
        <v>64</v>
      </c>
      <c r="K107" s="52" t="s">
        <v>64</v>
      </c>
      <c r="L107" s="36" t="s">
        <v>65</v>
      </c>
      <c r="M107" s="53">
        <v>2023</v>
      </c>
      <c r="N107" s="53" t="s">
        <v>64</v>
      </c>
      <c r="O107" s="53" t="s">
        <v>64</v>
      </c>
      <c r="P107" s="53" t="s">
        <v>64</v>
      </c>
      <c r="Q107" s="52"/>
    </row>
    <row r="108" spans="1:19" ht="63.95">
      <c r="B108" s="79" t="s">
        <v>693</v>
      </c>
      <c r="C108" s="79" t="s">
        <v>932</v>
      </c>
      <c r="D108" s="79" t="s">
        <v>59</v>
      </c>
      <c r="E108" s="79" t="s">
        <v>1167</v>
      </c>
      <c r="F108" s="79" t="s">
        <v>1166</v>
      </c>
      <c r="G108" s="79" t="s">
        <v>62</v>
      </c>
      <c r="H108" s="79" t="s">
        <v>433</v>
      </c>
      <c r="J108" s="80" t="s">
        <v>64</v>
      </c>
      <c r="K108" s="79" t="s">
        <v>64</v>
      </c>
      <c r="L108" s="75" t="s">
        <v>65</v>
      </c>
      <c r="M108" s="80">
        <v>2023</v>
      </c>
      <c r="N108" s="80" t="s">
        <v>64</v>
      </c>
      <c r="O108" s="80" t="s">
        <v>64</v>
      </c>
      <c r="P108" s="80" t="s">
        <v>64</v>
      </c>
    </row>
    <row r="109" spans="1:19" ht="32.1">
      <c r="B109" s="79" t="s">
        <v>693</v>
      </c>
      <c r="C109" s="79" t="s">
        <v>1088</v>
      </c>
      <c r="D109" s="79" t="s">
        <v>59</v>
      </c>
      <c r="E109" s="79" t="s">
        <v>1168</v>
      </c>
      <c r="F109" s="79" t="s">
        <v>1169</v>
      </c>
      <c r="G109" s="79" t="s">
        <v>163</v>
      </c>
      <c r="I109" s="79" t="s">
        <v>1170</v>
      </c>
      <c r="J109" s="80" t="s">
        <v>64</v>
      </c>
      <c r="K109" s="79" t="s">
        <v>64</v>
      </c>
      <c r="L109" s="75" t="s">
        <v>65</v>
      </c>
      <c r="M109" s="80">
        <v>2023</v>
      </c>
      <c r="N109" s="80" t="s">
        <v>64</v>
      </c>
      <c r="O109" s="80" t="s">
        <v>64</v>
      </c>
      <c r="P109" s="80" t="s">
        <v>64</v>
      </c>
    </row>
    <row r="110" spans="1:19" ht="48">
      <c r="B110" s="79" t="s">
        <v>693</v>
      </c>
      <c r="C110" s="79" t="s">
        <v>1171</v>
      </c>
      <c r="D110" s="79" t="s">
        <v>59</v>
      </c>
      <c r="E110" s="79" t="s">
        <v>1172</v>
      </c>
      <c r="F110" s="79" t="s">
        <v>1173</v>
      </c>
      <c r="G110" s="79" t="s">
        <v>163</v>
      </c>
      <c r="I110" s="79" t="s">
        <v>1174</v>
      </c>
      <c r="J110" s="80" t="s">
        <v>64</v>
      </c>
      <c r="K110" s="79" t="s">
        <v>64</v>
      </c>
      <c r="L110" s="75" t="s">
        <v>65</v>
      </c>
      <c r="M110" s="80">
        <v>2019</v>
      </c>
      <c r="N110" s="80" t="s">
        <v>64</v>
      </c>
      <c r="O110" s="80" t="s">
        <v>64</v>
      </c>
      <c r="P110" s="80" t="s">
        <v>64</v>
      </c>
    </row>
    <row r="111" spans="1:19" ht="32.1">
      <c r="B111" s="79" t="s">
        <v>693</v>
      </c>
      <c r="C111" s="79" t="s">
        <v>932</v>
      </c>
      <c r="D111" s="79" t="s">
        <v>59</v>
      </c>
      <c r="E111" s="79" t="s">
        <v>1175</v>
      </c>
      <c r="F111" s="79" t="s">
        <v>1176</v>
      </c>
      <c r="G111" s="79" t="s">
        <v>297</v>
      </c>
      <c r="H111" s="79" t="s">
        <v>433</v>
      </c>
      <c r="J111" s="80" t="s">
        <v>64</v>
      </c>
      <c r="K111" s="79" t="s">
        <v>64</v>
      </c>
      <c r="L111" s="75" t="s">
        <v>65</v>
      </c>
      <c r="M111" s="80">
        <v>2016</v>
      </c>
      <c r="N111" s="80" t="s">
        <v>64</v>
      </c>
      <c r="O111" s="80" t="s">
        <v>64</v>
      </c>
      <c r="P111" s="80" t="s">
        <v>64</v>
      </c>
    </row>
    <row r="112" spans="1:19" ht="80.099999999999994">
      <c r="B112" s="79" t="s">
        <v>693</v>
      </c>
      <c r="D112" s="79" t="s">
        <v>59</v>
      </c>
      <c r="E112" s="79" t="s">
        <v>1177</v>
      </c>
      <c r="F112" s="79" t="s">
        <v>1178</v>
      </c>
      <c r="G112" s="79" t="s">
        <v>62</v>
      </c>
      <c r="I112" s="79" t="s">
        <v>1179</v>
      </c>
      <c r="J112" s="80" t="s">
        <v>64</v>
      </c>
      <c r="K112" s="79" t="s">
        <v>64</v>
      </c>
      <c r="L112" s="75" t="s">
        <v>65</v>
      </c>
      <c r="M112" s="80">
        <v>2019</v>
      </c>
      <c r="N112" s="80" t="s">
        <v>64</v>
      </c>
      <c r="O112" s="80" t="s">
        <v>64</v>
      </c>
      <c r="P112" s="80" t="s">
        <v>64</v>
      </c>
    </row>
    <row r="113" spans="2:17" ht="63.95">
      <c r="B113" s="79" t="s">
        <v>693</v>
      </c>
      <c r="C113" s="79" t="s">
        <v>1180</v>
      </c>
      <c r="D113" s="79" t="s">
        <v>59</v>
      </c>
      <c r="E113" s="79" t="s">
        <v>1181</v>
      </c>
      <c r="F113" s="79" t="s">
        <v>1182</v>
      </c>
      <c r="G113" s="79" t="s">
        <v>62</v>
      </c>
      <c r="I113" s="79" t="s">
        <v>1183</v>
      </c>
      <c r="J113" s="80" t="s">
        <v>64</v>
      </c>
      <c r="K113" s="79" t="s">
        <v>64</v>
      </c>
      <c r="L113" s="75" t="s">
        <v>65</v>
      </c>
      <c r="M113" s="80">
        <v>2017</v>
      </c>
      <c r="N113" s="80" t="s">
        <v>67</v>
      </c>
      <c r="O113" s="80" t="s">
        <v>64</v>
      </c>
      <c r="P113" s="80" t="s">
        <v>64</v>
      </c>
    </row>
    <row r="114" spans="2:17" ht="63.95">
      <c r="B114" s="79" t="s">
        <v>693</v>
      </c>
      <c r="C114" s="79" t="s">
        <v>1088</v>
      </c>
      <c r="D114" s="79" t="s">
        <v>59</v>
      </c>
      <c r="E114" s="79" t="s">
        <v>1184</v>
      </c>
      <c r="F114" s="79" t="s">
        <v>1185</v>
      </c>
      <c r="G114" s="79" t="s">
        <v>62</v>
      </c>
      <c r="I114" s="79" t="s">
        <v>1186</v>
      </c>
      <c r="J114" s="80" t="s">
        <v>64</v>
      </c>
      <c r="K114" s="79" t="s">
        <v>64</v>
      </c>
      <c r="L114" s="75" t="s">
        <v>65</v>
      </c>
      <c r="M114" s="80">
        <v>2017</v>
      </c>
      <c r="N114" s="80" t="s">
        <v>67</v>
      </c>
      <c r="O114" s="80" t="s">
        <v>64</v>
      </c>
      <c r="P114" s="80" t="s">
        <v>64</v>
      </c>
    </row>
    <row r="115" spans="2:17" ht="32.1">
      <c r="B115" s="79" t="s">
        <v>693</v>
      </c>
      <c r="C115" s="79" t="s">
        <v>1040</v>
      </c>
      <c r="D115" s="79" t="s">
        <v>59</v>
      </c>
      <c r="E115" s="79" t="s">
        <v>1187</v>
      </c>
      <c r="G115" s="79" t="s">
        <v>62</v>
      </c>
      <c r="I115" s="79" t="s">
        <v>1188</v>
      </c>
      <c r="J115" s="80" t="s">
        <v>64</v>
      </c>
      <c r="K115" s="79" t="s">
        <v>64</v>
      </c>
      <c r="L115" s="75" t="s">
        <v>65</v>
      </c>
      <c r="M115" s="80">
        <v>2019</v>
      </c>
      <c r="N115" s="80" t="s">
        <v>67</v>
      </c>
      <c r="O115" s="80" t="s">
        <v>64</v>
      </c>
      <c r="P115" s="80" t="s">
        <v>64</v>
      </c>
    </row>
    <row r="116" spans="2:17" s="53" customFormat="1" ht="80.099999999999994">
      <c r="B116" s="52" t="s">
        <v>729</v>
      </c>
      <c r="C116" s="52" t="s">
        <v>926</v>
      </c>
      <c r="D116" s="52" t="s">
        <v>1035</v>
      </c>
      <c r="E116" s="52" t="s">
        <v>1189</v>
      </c>
      <c r="F116" s="52" t="s">
        <v>1190</v>
      </c>
      <c r="G116" s="52" t="s">
        <v>1191</v>
      </c>
      <c r="H116" s="52" t="s">
        <v>433</v>
      </c>
      <c r="I116" s="52"/>
      <c r="J116" s="53" t="s">
        <v>64</v>
      </c>
      <c r="K116" s="52" t="s">
        <v>64</v>
      </c>
      <c r="L116" s="53" t="s">
        <v>65</v>
      </c>
      <c r="M116" s="53">
        <v>2021</v>
      </c>
      <c r="N116" s="53" t="s">
        <v>67</v>
      </c>
      <c r="O116" s="53" t="s">
        <v>64</v>
      </c>
      <c r="P116" s="53" t="s">
        <v>64</v>
      </c>
      <c r="Q116" s="52"/>
    </row>
    <row r="117" spans="2:17" ht="111.95">
      <c r="B117" s="79" t="s">
        <v>729</v>
      </c>
      <c r="C117" s="79" t="s">
        <v>926</v>
      </c>
      <c r="D117" s="79" t="s">
        <v>1035</v>
      </c>
      <c r="E117" s="79" t="s">
        <v>1192</v>
      </c>
      <c r="F117" s="79" t="s">
        <v>1193</v>
      </c>
      <c r="G117" s="79" t="s">
        <v>1191</v>
      </c>
      <c r="H117" s="79" t="s">
        <v>433</v>
      </c>
      <c r="J117" s="80" t="s">
        <v>64</v>
      </c>
      <c r="K117" s="79" t="s">
        <v>64</v>
      </c>
      <c r="L117" s="80" t="s">
        <v>65</v>
      </c>
      <c r="M117" s="80">
        <v>2021</v>
      </c>
      <c r="N117" s="80" t="s">
        <v>67</v>
      </c>
      <c r="O117" s="80" t="s">
        <v>64</v>
      </c>
      <c r="P117" s="80" t="s">
        <v>64</v>
      </c>
    </row>
    <row r="118" spans="2:17" ht="96">
      <c r="B118" s="79" t="s">
        <v>729</v>
      </c>
      <c r="C118" s="79" t="s">
        <v>1194</v>
      </c>
      <c r="D118" s="79" t="s">
        <v>1035</v>
      </c>
      <c r="E118" s="79" t="s">
        <v>1195</v>
      </c>
      <c r="F118" s="79" t="s">
        <v>1196</v>
      </c>
      <c r="G118" s="79" t="s">
        <v>1191</v>
      </c>
      <c r="H118" s="79" t="s">
        <v>433</v>
      </c>
      <c r="J118" s="80" t="s">
        <v>64</v>
      </c>
      <c r="K118" s="79" t="s">
        <v>64</v>
      </c>
      <c r="L118" s="80" t="s">
        <v>65</v>
      </c>
      <c r="M118" s="80">
        <v>2021</v>
      </c>
      <c r="N118" s="80" t="s">
        <v>67</v>
      </c>
      <c r="O118" s="80" t="s">
        <v>64</v>
      </c>
      <c r="P118" s="80" t="s">
        <v>64</v>
      </c>
    </row>
    <row r="119" spans="2:17" ht="111.95">
      <c r="B119" s="79" t="s">
        <v>729</v>
      </c>
      <c r="C119" s="79" t="s">
        <v>932</v>
      </c>
      <c r="D119" s="79" t="s">
        <v>1035</v>
      </c>
      <c r="E119" s="79" t="s">
        <v>1197</v>
      </c>
      <c r="F119" s="79" t="s">
        <v>1198</v>
      </c>
      <c r="G119" s="79" t="s">
        <v>1191</v>
      </c>
      <c r="H119" s="79" t="s">
        <v>433</v>
      </c>
      <c r="J119" s="80" t="s">
        <v>64</v>
      </c>
      <c r="K119" s="79" t="s">
        <v>64</v>
      </c>
      <c r="L119" s="80" t="s">
        <v>65</v>
      </c>
      <c r="M119" s="80">
        <v>2021</v>
      </c>
      <c r="N119" s="80" t="s">
        <v>67</v>
      </c>
      <c r="O119" s="80" t="s">
        <v>64</v>
      </c>
      <c r="P119" s="80" t="s">
        <v>64</v>
      </c>
    </row>
    <row r="120" spans="2:17" ht="128.1">
      <c r="B120" s="79" t="s">
        <v>729</v>
      </c>
      <c r="C120" s="79" t="s">
        <v>932</v>
      </c>
      <c r="D120" s="79" t="s">
        <v>927</v>
      </c>
      <c r="E120" s="79" t="s">
        <v>1199</v>
      </c>
      <c r="F120" s="79" t="s">
        <v>1200</v>
      </c>
      <c r="G120" s="79" t="s">
        <v>1191</v>
      </c>
      <c r="H120" s="79" t="s">
        <v>433</v>
      </c>
      <c r="J120" s="80" t="s">
        <v>64</v>
      </c>
      <c r="K120" s="79" t="s">
        <v>64</v>
      </c>
      <c r="L120" s="80" t="s">
        <v>65</v>
      </c>
      <c r="M120" s="80">
        <v>2021</v>
      </c>
      <c r="N120" s="80" t="s">
        <v>67</v>
      </c>
      <c r="O120" s="80" t="s">
        <v>64</v>
      </c>
      <c r="P120" s="80" t="s">
        <v>64</v>
      </c>
    </row>
    <row r="121" spans="2:17" ht="144">
      <c r="B121" s="79" t="s">
        <v>729</v>
      </c>
      <c r="C121" s="79" t="s">
        <v>932</v>
      </c>
      <c r="D121" s="79" t="s">
        <v>1035</v>
      </c>
      <c r="E121" s="79" t="s">
        <v>1201</v>
      </c>
      <c r="F121" s="79" t="s">
        <v>1202</v>
      </c>
      <c r="G121" s="79" t="s">
        <v>1191</v>
      </c>
      <c r="H121" s="79" t="s">
        <v>433</v>
      </c>
      <c r="J121" s="80" t="s">
        <v>64</v>
      </c>
      <c r="K121" s="79" t="s">
        <v>64</v>
      </c>
      <c r="L121" s="80" t="s">
        <v>65</v>
      </c>
      <c r="M121" s="80">
        <v>2021</v>
      </c>
      <c r="N121" s="80" t="s">
        <v>67</v>
      </c>
      <c r="O121" s="80" t="s">
        <v>64</v>
      </c>
      <c r="P121" s="80" t="s">
        <v>64</v>
      </c>
    </row>
    <row r="122" spans="2:17" ht="80.099999999999994">
      <c r="B122" s="79" t="s">
        <v>729</v>
      </c>
      <c r="C122" s="79" t="s">
        <v>932</v>
      </c>
      <c r="D122" s="79" t="s">
        <v>1035</v>
      </c>
      <c r="E122" s="79" t="s">
        <v>1203</v>
      </c>
      <c r="F122" s="79" t="s">
        <v>1204</v>
      </c>
      <c r="G122" s="79" t="s">
        <v>1191</v>
      </c>
      <c r="H122" s="79" t="s">
        <v>433</v>
      </c>
      <c r="J122" s="80" t="s">
        <v>64</v>
      </c>
      <c r="K122" s="79" t="s">
        <v>64</v>
      </c>
      <c r="L122" s="80" t="s">
        <v>65</v>
      </c>
      <c r="M122" s="80">
        <v>2021</v>
      </c>
      <c r="N122" s="80" t="s">
        <v>67</v>
      </c>
      <c r="O122" s="80" t="s">
        <v>64</v>
      </c>
      <c r="P122" s="80" t="s">
        <v>64</v>
      </c>
    </row>
    <row r="123" spans="2:17" ht="111.95">
      <c r="B123" s="79" t="s">
        <v>729</v>
      </c>
      <c r="C123" s="79" t="s">
        <v>932</v>
      </c>
      <c r="D123" s="79" t="s">
        <v>1035</v>
      </c>
      <c r="E123" s="79" t="s">
        <v>1197</v>
      </c>
      <c r="F123" s="79" t="s">
        <v>1198</v>
      </c>
      <c r="G123" s="79" t="s">
        <v>1191</v>
      </c>
      <c r="H123" s="79" t="s">
        <v>433</v>
      </c>
      <c r="J123" s="80" t="s">
        <v>64</v>
      </c>
      <c r="K123" s="79" t="s">
        <v>64</v>
      </c>
      <c r="L123" s="80" t="s">
        <v>65</v>
      </c>
      <c r="M123" s="80">
        <v>2021</v>
      </c>
      <c r="N123" s="80" t="s">
        <v>67</v>
      </c>
      <c r="O123" s="80" t="s">
        <v>64</v>
      </c>
      <c r="P123" s="80" t="s">
        <v>64</v>
      </c>
    </row>
    <row r="124" spans="2:17" ht="144">
      <c r="B124" s="79" t="s">
        <v>729</v>
      </c>
      <c r="C124" s="79" t="s">
        <v>932</v>
      </c>
      <c r="D124" s="79" t="s">
        <v>1035</v>
      </c>
      <c r="E124" s="79" t="s">
        <v>1205</v>
      </c>
      <c r="F124" s="79" t="s">
        <v>1206</v>
      </c>
      <c r="G124" s="79" t="s">
        <v>1191</v>
      </c>
      <c r="H124" s="79" t="s">
        <v>433</v>
      </c>
      <c r="J124" s="80" t="s">
        <v>64</v>
      </c>
      <c r="K124" s="79" t="s">
        <v>64</v>
      </c>
      <c r="L124" s="80" t="s">
        <v>65</v>
      </c>
      <c r="M124" s="80">
        <v>2021</v>
      </c>
      <c r="N124" s="80" t="s">
        <v>67</v>
      </c>
      <c r="O124" s="80" t="s">
        <v>64</v>
      </c>
      <c r="P124" s="80" t="s">
        <v>64</v>
      </c>
    </row>
    <row r="125" spans="2:17" ht="48">
      <c r="B125" s="79" t="s">
        <v>729</v>
      </c>
      <c r="C125" s="79" t="s">
        <v>1051</v>
      </c>
      <c r="D125" s="79" t="s">
        <v>1035</v>
      </c>
      <c r="E125" s="79" t="s">
        <v>1207</v>
      </c>
      <c r="F125" s="79" t="s">
        <v>1208</v>
      </c>
      <c r="G125" s="79" t="s">
        <v>163</v>
      </c>
      <c r="I125" s="79" t="s">
        <v>1209</v>
      </c>
      <c r="J125" s="80" t="s">
        <v>64</v>
      </c>
      <c r="K125" s="79" t="s">
        <v>64</v>
      </c>
      <c r="L125" s="80" t="s">
        <v>65</v>
      </c>
      <c r="M125" s="80">
        <v>2021</v>
      </c>
      <c r="N125" s="80" t="s">
        <v>67</v>
      </c>
      <c r="O125" s="80" t="s">
        <v>64</v>
      </c>
      <c r="P125" s="80" t="s">
        <v>64</v>
      </c>
    </row>
    <row r="126" spans="2:17" ht="80.099999999999994">
      <c r="B126" s="79" t="s">
        <v>729</v>
      </c>
      <c r="C126" s="79" t="s">
        <v>1054</v>
      </c>
      <c r="D126" s="79" t="s">
        <v>1035</v>
      </c>
      <c r="E126" s="79" t="s">
        <v>1210</v>
      </c>
      <c r="F126" s="79" t="s">
        <v>1211</v>
      </c>
      <c r="G126" s="79" t="s">
        <v>163</v>
      </c>
      <c r="I126" s="79" t="s">
        <v>1209</v>
      </c>
      <c r="J126" s="80" t="s">
        <v>64</v>
      </c>
      <c r="K126" s="79" t="s">
        <v>64</v>
      </c>
      <c r="L126" s="80" t="s">
        <v>65</v>
      </c>
      <c r="M126" s="80">
        <v>2021</v>
      </c>
      <c r="N126" s="80" t="s">
        <v>67</v>
      </c>
      <c r="O126" s="80" t="s">
        <v>64</v>
      </c>
      <c r="P126" s="80" t="s">
        <v>64</v>
      </c>
    </row>
    <row r="127" spans="2:17" ht="32.1">
      <c r="B127" s="79" t="s">
        <v>729</v>
      </c>
      <c r="C127" s="79" t="s">
        <v>1212</v>
      </c>
      <c r="D127" s="79" t="s">
        <v>1035</v>
      </c>
      <c r="E127" s="79" t="s">
        <v>1213</v>
      </c>
      <c r="F127" s="79" t="s">
        <v>1214</v>
      </c>
      <c r="G127" s="79" t="s">
        <v>163</v>
      </c>
      <c r="I127" s="79" t="s">
        <v>1209</v>
      </c>
      <c r="J127" s="80" t="s">
        <v>64</v>
      </c>
      <c r="K127" s="79" t="s">
        <v>64</v>
      </c>
      <c r="L127" s="80" t="s">
        <v>65</v>
      </c>
      <c r="M127" s="80">
        <v>2020</v>
      </c>
      <c r="N127" s="80" t="s">
        <v>67</v>
      </c>
      <c r="O127" s="80" t="s">
        <v>64</v>
      </c>
      <c r="P127" s="80" t="s">
        <v>64</v>
      </c>
    </row>
    <row r="128" spans="2:17" ht="48">
      <c r="B128" s="79" t="s">
        <v>729</v>
      </c>
      <c r="C128" s="79" t="s">
        <v>1051</v>
      </c>
      <c r="D128" s="79" t="s">
        <v>1035</v>
      </c>
      <c r="E128" s="79" t="s">
        <v>1215</v>
      </c>
      <c r="F128" s="79" t="s">
        <v>1216</v>
      </c>
      <c r="G128" s="79" t="s">
        <v>163</v>
      </c>
      <c r="I128" s="79" t="s">
        <v>1209</v>
      </c>
      <c r="J128" s="80" t="s">
        <v>64</v>
      </c>
      <c r="K128" s="79" t="s">
        <v>64</v>
      </c>
      <c r="L128" s="80" t="s">
        <v>65</v>
      </c>
      <c r="M128" s="80">
        <v>2021</v>
      </c>
      <c r="N128" s="80" t="s">
        <v>67</v>
      </c>
      <c r="O128" s="80" t="s">
        <v>64</v>
      </c>
      <c r="P128" s="80" t="s">
        <v>64</v>
      </c>
    </row>
    <row r="129" spans="1:17" ht="32.1">
      <c r="B129" s="79" t="s">
        <v>729</v>
      </c>
      <c r="C129" s="79" t="s">
        <v>932</v>
      </c>
      <c r="D129" s="79" t="s">
        <v>649</v>
      </c>
      <c r="E129" s="79" t="s">
        <v>1217</v>
      </c>
      <c r="F129" s="79" t="s">
        <v>932</v>
      </c>
      <c r="G129" s="79" t="s">
        <v>742</v>
      </c>
      <c r="H129" s="79" t="s">
        <v>433</v>
      </c>
      <c r="J129" s="80" t="s">
        <v>64</v>
      </c>
      <c r="K129" s="79" t="s">
        <v>64</v>
      </c>
      <c r="L129" s="80" t="s">
        <v>65</v>
      </c>
      <c r="M129" s="80">
        <v>2021</v>
      </c>
      <c r="N129" s="80" t="s">
        <v>64</v>
      </c>
      <c r="O129" s="80" t="s">
        <v>64</v>
      </c>
      <c r="P129" s="80" t="s">
        <v>64</v>
      </c>
    </row>
    <row r="130" spans="1:17" s="53" customFormat="1" ht="207.95">
      <c r="B130" s="52" t="s">
        <v>756</v>
      </c>
      <c r="C130" s="52" t="s">
        <v>1038</v>
      </c>
      <c r="D130" s="52" t="s">
        <v>275</v>
      </c>
      <c r="E130" s="52" t="s">
        <v>1218</v>
      </c>
      <c r="F130" s="52" t="s">
        <v>1219</v>
      </c>
      <c r="G130" s="52" t="s">
        <v>1220</v>
      </c>
      <c r="H130" s="52"/>
      <c r="I130" s="52" t="s">
        <v>1221</v>
      </c>
      <c r="J130" s="53" t="s">
        <v>64</v>
      </c>
      <c r="K130" s="52" t="s">
        <v>64</v>
      </c>
      <c r="L130" s="53" t="s">
        <v>65</v>
      </c>
      <c r="M130" s="53">
        <v>2020</v>
      </c>
      <c r="N130" s="53" t="s">
        <v>67</v>
      </c>
      <c r="O130" s="53" t="s">
        <v>64</v>
      </c>
      <c r="P130" s="53" t="s">
        <v>64</v>
      </c>
      <c r="Q130" s="52"/>
    </row>
    <row r="131" spans="1:17" ht="159.94999999999999">
      <c r="B131" s="79" t="s">
        <v>756</v>
      </c>
      <c r="C131" s="79" t="s">
        <v>1034</v>
      </c>
      <c r="D131" s="79" t="s">
        <v>275</v>
      </c>
      <c r="E131" s="79" t="s">
        <v>1218</v>
      </c>
      <c r="F131" s="79" t="s">
        <v>1222</v>
      </c>
      <c r="G131" s="79" t="s">
        <v>163</v>
      </c>
      <c r="H131" s="79" t="s">
        <v>433</v>
      </c>
      <c r="I131" s="79" t="s">
        <v>1223</v>
      </c>
      <c r="J131" s="80" t="s">
        <v>64</v>
      </c>
      <c r="K131" s="79" t="s">
        <v>64</v>
      </c>
      <c r="L131" s="80" t="s">
        <v>65</v>
      </c>
      <c r="M131" s="80">
        <v>2020</v>
      </c>
      <c r="N131" s="80" t="s">
        <v>67</v>
      </c>
      <c r="O131" s="80" t="s">
        <v>64</v>
      </c>
      <c r="P131" s="80" t="s">
        <v>64</v>
      </c>
    </row>
    <row r="132" spans="1:17" ht="63.95">
      <c r="B132" s="79" t="s">
        <v>780</v>
      </c>
      <c r="C132" s="79" t="s">
        <v>1038</v>
      </c>
      <c r="D132" s="79" t="s">
        <v>59</v>
      </c>
      <c r="E132" s="79" t="s">
        <v>1224</v>
      </c>
      <c r="F132" s="79" t="s">
        <v>1225</v>
      </c>
      <c r="G132" s="76" t="s">
        <v>1226</v>
      </c>
      <c r="I132" s="79" t="s">
        <v>1227</v>
      </c>
      <c r="J132" s="80" t="s">
        <v>64</v>
      </c>
      <c r="K132" s="79" t="s">
        <v>64</v>
      </c>
      <c r="L132" s="80" t="s">
        <v>65</v>
      </c>
      <c r="M132" s="80">
        <v>2016</v>
      </c>
      <c r="N132" s="80" t="s">
        <v>67</v>
      </c>
      <c r="O132" s="80" t="s">
        <v>64</v>
      </c>
      <c r="P132" s="80" t="s">
        <v>64</v>
      </c>
    </row>
    <row r="133" spans="1:17" ht="63.95">
      <c r="B133" s="79" t="s">
        <v>780</v>
      </c>
      <c r="C133" s="79" t="s">
        <v>1038</v>
      </c>
      <c r="D133" s="79" t="s">
        <v>59</v>
      </c>
      <c r="E133" s="79" t="s">
        <v>1228</v>
      </c>
      <c r="F133" s="79" t="s">
        <v>1229</v>
      </c>
      <c r="G133" s="76" t="s">
        <v>1226</v>
      </c>
      <c r="I133" s="79" t="s">
        <v>1227</v>
      </c>
      <c r="J133" s="80" t="s">
        <v>64</v>
      </c>
      <c r="K133" s="79" t="s">
        <v>64</v>
      </c>
      <c r="L133" s="80" t="s">
        <v>65</v>
      </c>
      <c r="M133" s="80">
        <v>2016</v>
      </c>
      <c r="N133" s="80" t="s">
        <v>67</v>
      </c>
      <c r="O133" s="80" t="s">
        <v>64</v>
      </c>
      <c r="P133" s="80" t="s">
        <v>64</v>
      </c>
    </row>
    <row r="134" spans="1:17" s="53" customFormat="1" ht="15.95">
      <c r="A134" s="53">
        <v>0</v>
      </c>
      <c r="B134" s="52" t="s">
        <v>800</v>
      </c>
      <c r="C134" s="52"/>
      <c r="D134" s="52"/>
      <c r="E134" s="52"/>
      <c r="F134" s="52"/>
      <c r="G134" s="52"/>
      <c r="H134" s="52"/>
      <c r="I134" s="52"/>
      <c r="K134" s="52"/>
      <c r="L134" s="36"/>
      <c r="Q134" s="52"/>
    </row>
    <row r="135" spans="1:17" s="53" customFormat="1" ht="32.1">
      <c r="B135" s="52" t="s">
        <v>809</v>
      </c>
      <c r="C135" s="52" t="s">
        <v>932</v>
      </c>
      <c r="D135" s="52" t="s">
        <v>59</v>
      </c>
      <c r="E135" s="52" t="s">
        <v>1230</v>
      </c>
      <c r="F135" s="52" t="s">
        <v>932</v>
      </c>
      <c r="G135" s="52" t="s">
        <v>297</v>
      </c>
      <c r="H135" s="52"/>
      <c r="I135" s="52"/>
      <c r="J135" s="53" t="s">
        <v>64</v>
      </c>
      <c r="K135" s="52" t="s">
        <v>64</v>
      </c>
      <c r="L135" s="36" t="s">
        <v>65</v>
      </c>
      <c r="N135" s="53" t="s">
        <v>64</v>
      </c>
      <c r="O135" s="53" t="s">
        <v>64</v>
      </c>
      <c r="P135" s="53" t="s">
        <v>64</v>
      </c>
      <c r="Q135" s="52"/>
    </row>
    <row r="136" spans="1:17" ht="32.1">
      <c r="B136" s="79" t="s">
        <v>809</v>
      </c>
      <c r="C136" s="79" t="s">
        <v>1038</v>
      </c>
      <c r="D136" s="79" t="s">
        <v>59</v>
      </c>
      <c r="E136" s="79" t="s">
        <v>1230</v>
      </c>
      <c r="F136" s="79" t="s">
        <v>1231</v>
      </c>
      <c r="G136" s="79" t="s">
        <v>297</v>
      </c>
      <c r="J136" s="80" t="s">
        <v>64</v>
      </c>
      <c r="K136" s="79" t="s">
        <v>64</v>
      </c>
      <c r="L136" s="75" t="s">
        <v>65</v>
      </c>
      <c r="N136" s="80" t="s">
        <v>64</v>
      </c>
      <c r="O136" s="80" t="s">
        <v>64</v>
      </c>
      <c r="P136" s="80" t="s">
        <v>64</v>
      </c>
    </row>
    <row r="137" spans="1:17" ht="63.95">
      <c r="B137" s="79" t="s">
        <v>830</v>
      </c>
      <c r="C137" s="79" t="s">
        <v>1232</v>
      </c>
      <c r="D137" s="79" t="s">
        <v>59</v>
      </c>
      <c r="E137" s="79" t="s">
        <v>1233</v>
      </c>
      <c r="F137" s="79" t="s">
        <v>932</v>
      </c>
      <c r="G137" s="79" t="s">
        <v>675</v>
      </c>
      <c r="H137" s="79" t="s">
        <v>433</v>
      </c>
      <c r="J137" s="80" t="s">
        <v>64</v>
      </c>
      <c r="K137" s="79" t="s">
        <v>64</v>
      </c>
      <c r="L137" s="75" t="s">
        <v>65</v>
      </c>
      <c r="M137" s="80">
        <v>2011</v>
      </c>
      <c r="N137" s="80" t="s">
        <v>64</v>
      </c>
      <c r="O137" s="80" t="s">
        <v>64</v>
      </c>
      <c r="P137" s="80" t="s">
        <v>64</v>
      </c>
    </row>
    <row r="138" spans="1:17" ht="32.1">
      <c r="B138" s="79" t="s">
        <v>843</v>
      </c>
      <c r="C138" s="79" t="s">
        <v>932</v>
      </c>
      <c r="D138" s="79" t="s">
        <v>275</v>
      </c>
      <c r="E138" s="79" t="s">
        <v>1234</v>
      </c>
      <c r="F138" s="79" t="s">
        <v>1235</v>
      </c>
      <c r="G138" s="79" t="s">
        <v>297</v>
      </c>
      <c r="H138" s="79" t="s">
        <v>433</v>
      </c>
      <c r="J138" s="80" t="s">
        <v>64</v>
      </c>
      <c r="K138" s="79" t="s">
        <v>64</v>
      </c>
      <c r="L138" s="75" t="s">
        <v>65</v>
      </c>
      <c r="M138" s="80">
        <v>2021</v>
      </c>
      <c r="N138" s="80" t="s">
        <v>64</v>
      </c>
      <c r="O138" s="80" t="s">
        <v>64</v>
      </c>
      <c r="P138" s="80" t="s">
        <v>64</v>
      </c>
    </row>
    <row r="139" spans="1:17" ht="111.95">
      <c r="B139" s="79" t="s">
        <v>843</v>
      </c>
      <c r="C139" s="79" t="s">
        <v>932</v>
      </c>
      <c r="D139" s="79" t="s">
        <v>1236</v>
      </c>
      <c r="E139" s="79" t="s">
        <v>932</v>
      </c>
      <c r="F139" s="79" t="s">
        <v>1235</v>
      </c>
      <c r="G139" s="79" t="s">
        <v>297</v>
      </c>
      <c r="H139" s="79" t="s">
        <v>433</v>
      </c>
      <c r="J139" s="80" t="s">
        <v>67</v>
      </c>
      <c r="K139" s="39" t="s">
        <v>1237</v>
      </c>
      <c r="L139" s="75" t="s">
        <v>65</v>
      </c>
      <c r="M139" s="80">
        <v>2021</v>
      </c>
      <c r="N139" s="80" t="s">
        <v>64</v>
      </c>
      <c r="O139" s="80" t="s">
        <v>64</v>
      </c>
      <c r="P139" s="80" t="s">
        <v>64</v>
      </c>
    </row>
    <row r="140" spans="1:17" s="53" customFormat="1" ht="15.95">
      <c r="A140" s="53">
        <v>0</v>
      </c>
      <c r="B140" s="52" t="s">
        <v>1238</v>
      </c>
      <c r="C140" s="52"/>
      <c r="D140" s="52"/>
      <c r="E140" s="52"/>
      <c r="F140" s="52"/>
      <c r="G140" s="52"/>
      <c r="H140" s="52"/>
      <c r="I140" s="52"/>
      <c r="K140" s="52"/>
      <c r="L140" s="36"/>
      <c r="Q140" s="52"/>
    </row>
    <row r="141" spans="1:17" s="53" customFormat="1" ht="15.95">
      <c r="B141" s="52" t="s">
        <v>866</v>
      </c>
      <c r="C141" s="52" t="s">
        <v>959</v>
      </c>
      <c r="D141" s="52" t="s">
        <v>1236</v>
      </c>
      <c r="E141" s="52" t="s">
        <v>1239</v>
      </c>
      <c r="F141" s="52" t="s">
        <v>1240</v>
      </c>
      <c r="G141" s="52" t="s">
        <v>109</v>
      </c>
      <c r="H141" s="52"/>
      <c r="I141" s="52"/>
      <c r="J141" s="53" t="s">
        <v>64</v>
      </c>
      <c r="K141" s="52" t="s">
        <v>64</v>
      </c>
      <c r="L141" s="36" t="s">
        <v>65</v>
      </c>
      <c r="M141" s="53">
        <v>2021</v>
      </c>
      <c r="N141" s="53" t="s">
        <v>64</v>
      </c>
      <c r="O141" s="53" t="s">
        <v>64</v>
      </c>
      <c r="P141" s="53" t="s">
        <v>64</v>
      </c>
      <c r="Q141" s="52"/>
    </row>
    <row r="142" spans="1:17" s="75" customFormat="1" ht="111.95">
      <c r="B142" s="79" t="s">
        <v>879</v>
      </c>
      <c r="C142" s="76" t="s">
        <v>1038</v>
      </c>
      <c r="D142" s="76" t="s">
        <v>59</v>
      </c>
      <c r="E142" s="76" t="s">
        <v>1241</v>
      </c>
      <c r="F142" s="76" t="s">
        <v>1242</v>
      </c>
      <c r="G142" s="76" t="s">
        <v>62</v>
      </c>
      <c r="H142" s="76" t="s">
        <v>433</v>
      </c>
      <c r="I142" s="76"/>
      <c r="J142" s="75" t="s">
        <v>67</v>
      </c>
      <c r="K142" s="39" t="s">
        <v>1243</v>
      </c>
      <c r="L142" s="75" t="s">
        <v>65</v>
      </c>
      <c r="M142" s="75">
        <v>2021</v>
      </c>
      <c r="N142" s="75" t="s">
        <v>67</v>
      </c>
      <c r="O142" s="80" t="s">
        <v>64</v>
      </c>
      <c r="P142" s="80" t="s">
        <v>64</v>
      </c>
      <c r="Q142" s="76"/>
    </row>
    <row r="143" spans="1:17" s="75" customFormat="1" ht="111.95">
      <c r="B143" s="79" t="s">
        <v>879</v>
      </c>
      <c r="C143" s="76" t="s">
        <v>1034</v>
      </c>
      <c r="D143" s="76" t="s">
        <v>59</v>
      </c>
      <c r="E143" s="76" t="s">
        <v>1241</v>
      </c>
      <c r="F143" s="76" t="s">
        <v>1244</v>
      </c>
      <c r="G143" s="76" t="s">
        <v>62</v>
      </c>
      <c r="H143" s="76" t="s">
        <v>433</v>
      </c>
      <c r="I143" s="76"/>
      <c r="J143" s="75" t="s">
        <v>67</v>
      </c>
      <c r="K143" s="39" t="s">
        <v>1243</v>
      </c>
      <c r="L143" s="75" t="s">
        <v>65</v>
      </c>
      <c r="M143" s="75">
        <v>2021</v>
      </c>
      <c r="N143" s="75" t="s">
        <v>67</v>
      </c>
      <c r="O143" s="80" t="s">
        <v>64</v>
      </c>
      <c r="P143" s="80" t="s">
        <v>64</v>
      </c>
      <c r="Q143" s="76"/>
    </row>
    <row r="144" spans="1:17" ht="32.1">
      <c r="B144" s="79" t="s">
        <v>885</v>
      </c>
      <c r="C144" s="79" t="s">
        <v>926</v>
      </c>
      <c r="D144" s="79" t="s">
        <v>59</v>
      </c>
      <c r="E144" s="79" t="s">
        <v>1245</v>
      </c>
      <c r="F144" s="79" t="s">
        <v>1246</v>
      </c>
      <c r="H144" s="79" t="s">
        <v>1147</v>
      </c>
      <c r="J144" s="80" t="s">
        <v>64</v>
      </c>
      <c r="K144" s="79" t="s">
        <v>64</v>
      </c>
      <c r="L144" s="80" t="s">
        <v>65</v>
      </c>
      <c r="M144" s="80">
        <v>2020</v>
      </c>
      <c r="N144" s="80" t="s">
        <v>67</v>
      </c>
      <c r="O144" s="80" t="s">
        <v>64</v>
      </c>
      <c r="P144" s="80" t="s">
        <v>64</v>
      </c>
    </row>
    <row r="145" spans="2:17" s="53" customFormat="1" ht="32.1">
      <c r="B145" s="52" t="s">
        <v>1247</v>
      </c>
      <c r="C145" s="52" t="s">
        <v>1034</v>
      </c>
      <c r="D145" s="37" t="s">
        <v>927</v>
      </c>
      <c r="E145" s="37" t="s">
        <v>1248</v>
      </c>
      <c r="F145" s="52" t="s">
        <v>1249</v>
      </c>
      <c r="G145" s="37" t="s">
        <v>906</v>
      </c>
      <c r="H145" s="37" t="s">
        <v>516</v>
      </c>
      <c r="I145" s="37"/>
      <c r="J145" s="36" t="s">
        <v>64</v>
      </c>
      <c r="K145" s="37" t="s">
        <v>64</v>
      </c>
      <c r="L145" s="36" t="s">
        <v>65</v>
      </c>
      <c r="M145" s="36">
        <v>2020</v>
      </c>
      <c r="N145" s="36" t="s">
        <v>64</v>
      </c>
      <c r="O145" s="53" t="s">
        <v>64</v>
      </c>
      <c r="P145" s="53" t="s">
        <v>64</v>
      </c>
      <c r="Q145" s="52"/>
    </row>
    <row r="146" spans="2:17" ht="32.1">
      <c r="B146" s="79" t="s">
        <v>1247</v>
      </c>
      <c r="C146" s="79" t="s">
        <v>1038</v>
      </c>
      <c r="D146" s="76" t="s">
        <v>927</v>
      </c>
      <c r="E146" s="76" t="s">
        <v>1248</v>
      </c>
      <c r="F146" s="79" t="s">
        <v>1250</v>
      </c>
      <c r="G146" s="76" t="s">
        <v>906</v>
      </c>
      <c r="H146" s="76" t="s">
        <v>516</v>
      </c>
      <c r="I146" s="76"/>
      <c r="J146" s="75" t="s">
        <v>64</v>
      </c>
      <c r="K146" s="76" t="s">
        <v>64</v>
      </c>
      <c r="L146" s="75" t="s">
        <v>65</v>
      </c>
      <c r="M146" s="75">
        <v>2020</v>
      </c>
      <c r="N146" s="75" t="s">
        <v>64</v>
      </c>
      <c r="O146" s="80" t="s">
        <v>64</v>
      </c>
      <c r="P146" s="80" t="s">
        <v>64</v>
      </c>
    </row>
    <row r="147" spans="2:17" s="53" customFormat="1" ht="32.1">
      <c r="B147" s="52" t="s">
        <v>912</v>
      </c>
      <c r="C147" s="52" t="s">
        <v>1251</v>
      </c>
      <c r="D147" s="52" t="s">
        <v>59</v>
      </c>
      <c r="E147" s="52" t="s">
        <v>1252</v>
      </c>
      <c r="F147" s="52"/>
      <c r="G147" s="52"/>
      <c r="H147" s="52"/>
      <c r="I147" s="52" t="s">
        <v>1253</v>
      </c>
      <c r="J147" s="53" t="s">
        <v>64</v>
      </c>
      <c r="K147" s="52" t="s">
        <v>64</v>
      </c>
      <c r="L147" s="53" t="s">
        <v>65</v>
      </c>
      <c r="M147" s="53">
        <v>2008</v>
      </c>
      <c r="N147" s="53" t="s">
        <v>67</v>
      </c>
      <c r="O147" s="53" t="s">
        <v>64</v>
      </c>
      <c r="P147" s="53" t="s">
        <v>64</v>
      </c>
      <c r="Q147" s="52"/>
    </row>
    <row r="148" spans="2:17" ht="32.1">
      <c r="B148" s="79" t="s">
        <v>912</v>
      </c>
      <c r="C148" s="79" t="s">
        <v>1254</v>
      </c>
      <c r="D148" s="79" t="s">
        <v>59</v>
      </c>
      <c r="E148" s="79" t="s">
        <v>1255</v>
      </c>
      <c r="I148" s="79" t="s">
        <v>1253</v>
      </c>
      <c r="J148" s="80" t="s">
        <v>64</v>
      </c>
      <c r="K148" s="79" t="s">
        <v>64</v>
      </c>
      <c r="L148" s="80" t="s">
        <v>65</v>
      </c>
      <c r="M148" s="80">
        <v>2010</v>
      </c>
      <c r="N148" s="80" t="s">
        <v>64</v>
      </c>
      <c r="O148" s="80" t="s">
        <v>64</v>
      </c>
      <c r="P148" s="80" t="s">
        <v>64</v>
      </c>
    </row>
    <row r="149" spans="2:17" ht="80.099999999999994">
      <c r="B149" s="79" t="s">
        <v>912</v>
      </c>
      <c r="C149" s="79" t="s">
        <v>1040</v>
      </c>
      <c r="D149" s="79" t="s">
        <v>59</v>
      </c>
      <c r="E149" s="79" t="s">
        <v>1256</v>
      </c>
      <c r="F149" s="79" t="s">
        <v>1257</v>
      </c>
      <c r="I149" s="79" t="s">
        <v>1258</v>
      </c>
      <c r="J149" s="80" t="s">
        <v>64</v>
      </c>
      <c r="K149" s="79" t="s">
        <v>64</v>
      </c>
      <c r="L149" s="80" t="s">
        <v>65</v>
      </c>
      <c r="M149" s="80">
        <v>2015</v>
      </c>
      <c r="N149" s="80" t="s">
        <v>67</v>
      </c>
      <c r="O149" s="80" t="s">
        <v>64</v>
      </c>
      <c r="P149" s="80" t="s">
        <v>64</v>
      </c>
    </row>
    <row r="150" spans="2:17" ht="32.1">
      <c r="B150" s="79" t="s">
        <v>912</v>
      </c>
      <c r="C150" s="79" t="s">
        <v>1094</v>
      </c>
      <c r="D150" s="79" t="s">
        <v>59</v>
      </c>
      <c r="E150" s="79" t="s">
        <v>1259</v>
      </c>
      <c r="I150" s="79" t="s">
        <v>1260</v>
      </c>
      <c r="J150" s="80" t="s">
        <v>64</v>
      </c>
      <c r="K150" s="79" t="s">
        <v>64</v>
      </c>
      <c r="L150" s="80" t="s">
        <v>65</v>
      </c>
      <c r="M150" s="80">
        <v>2019</v>
      </c>
      <c r="N150" s="80" t="s">
        <v>64</v>
      </c>
      <c r="O150" s="80" t="s">
        <v>64</v>
      </c>
      <c r="P150" s="80" t="s">
        <v>64</v>
      </c>
    </row>
    <row r="151" spans="2:17" ht="32.1">
      <c r="B151" s="79" t="s">
        <v>912</v>
      </c>
      <c r="C151" s="79" t="s">
        <v>1261</v>
      </c>
      <c r="D151" s="79" t="s">
        <v>59</v>
      </c>
      <c r="E151" s="79" t="s">
        <v>1262</v>
      </c>
      <c r="I151" s="79" t="s">
        <v>1260</v>
      </c>
      <c r="J151" s="80" t="s">
        <v>64</v>
      </c>
      <c r="K151" s="79" t="s">
        <v>64</v>
      </c>
      <c r="L151" s="80" t="s">
        <v>65</v>
      </c>
      <c r="M151" s="80">
        <v>2014</v>
      </c>
      <c r="N151" s="80" t="s">
        <v>64</v>
      </c>
      <c r="O151" s="80" t="s">
        <v>64</v>
      </c>
      <c r="P151" s="80" t="s">
        <v>64</v>
      </c>
    </row>
  </sheetData>
  <hyperlinks>
    <hyperlink ref="K139" r:id="rId1" xr:uid="{37EE30FF-F944-4103-952A-5552305AB8A9}"/>
    <hyperlink ref="K142" r:id="rId2" xr:uid="{98AE5B2B-2510-4F7E-84B0-A9A423E93A7B}"/>
    <hyperlink ref="K143" r:id="rId3" xr:uid="{62FF198E-23F9-487E-BE60-79D9A55A9CE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D2B02-1F20-491D-AE77-A8B9325BE8DB}">
  <dimension ref="A1:Q167"/>
  <sheetViews>
    <sheetView workbookViewId="0">
      <pane ySplit="1" topLeftCell="A162" activePane="bottomLeft" state="frozen"/>
      <selection pane="bottomLeft" activeCell="C167" sqref="C167"/>
    </sheetView>
  </sheetViews>
  <sheetFormatPr defaultColWidth="8.85546875" defaultRowHeight="15"/>
  <cols>
    <col min="1" max="1" width="24.140625" style="75" customWidth="1"/>
    <col min="2" max="2" width="14.42578125" style="76" customWidth="1"/>
    <col min="3" max="3" width="16.42578125" style="76" customWidth="1"/>
    <col min="4" max="4" width="17.42578125" style="76" customWidth="1"/>
    <col min="5" max="5" width="24.42578125" style="76" customWidth="1"/>
    <col min="6" max="6" width="36.7109375" style="76" customWidth="1"/>
    <col min="7" max="7" width="16.140625" style="76" customWidth="1"/>
    <col min="8" max="8" width="21" style="76" customWidth="1"/>
    <col min="9" max="9" width="23.42578125" style="76" customWidth="1"/>
    <col min="10" max="10" width="8.85546875" style="75"/>
    <col min="11" max="11" width="18.85546875" style="76" customWidth="1"/>
    <col min="12" max="12" width="12.85546875" style="75" customWidth="1"/>
    <col min="13" max="16" width="8.85546875" style="75"/>
    <col min="17" max="17" width="20.140625" style="76" customWidth="1"/>
    <col min="18" max="16384" width="8.85546875" style="75"/>
  </cols>
  <sheetData>
    <row r="1" spans="1:17" s="66" customFormat="1" ht="62.25" customHeight="1">
      <c r="A1" s="66" t="s">
        <v>1</v>
      </c>
      <c r="B1" s="66" t="s">
        <v>48</v>
      </c>
      <c r="C1" s="66" t="s">
        <v>49</v>
      </c>
      <c r="D1" s="66" t="s">
        <v>19</v>
      </c>
      <c r="E1" s="66" t="s">
        <v>21</v>
      </c>
      <c r="F1" s="66" t="s">
        <v>23</v>
      </c>
      <c r="G1" s="66" t="s">
        <v>25</v>
      </c>
      <c r="H1" s="66" t="s">
        <v>27</v>
      </c>
      <c r="I1" s="66" t="s">
        <v>29</v>
      </c>
      <c r="J1" s="66" t="s">
        <v>31</v>
      </c>
      <c r="K1" s="66" t="s">
        <v>33</v>
      </c>
      <c r="L1" s="66" t="s">
        <v>35</v>
      </c>
      <c r="M1" s="66" t="s">
        <v>37</v>
      </c>
      <c r="N1" s="66" t="s">
        <v>50</v>
      </c>
      <c r="O1" s="66" t="s">
        <v>41</v>
      </c>
      <c r="P1" s="66" t="s">
        <v>44</v>
      </c>
      <c r="Q1" s="66" t="s">
        <v>46</v>
      </c>
    </row>
    <row r="2" spans="1:17" ht="48">
      <c r="B2" s="76" t="s">
        <v>143</v>
      </c>
      <c r="C2" s="76" t="s">
        <v>58</v>
      </c>
      <c r="D2" s="76" t="s">
        <v>59</v>
      </c>
      <c r="E2" s="76" t="s">
        <v>1263</v>
      </c>
      <c r="F2" s="76" t="s">
        <v>1264</v>
      </c>
      <c r="G2" s="76" t="s">
        <v>297</v>
      </c>
      <c r="H2" s="76" t="s">
        <v>516</v>
      </c>
      <c r="I2" s="76" t="s">
        <v>1265</v>
      </c>
      <c r="J2" s="75" t="s">
        <v>64</v>
      </c>
      <c r="K2" s="76" t="s">
        <v>64</v>
      </c>
      <c r="L2" s="75" t="s">
        <v>65</v>
      </c>
      <c r="M2" s="75">
        <v>2020</v>
      </c>
      <c r="N2" s="75" t="s">
        <v>64</v>
      </c>
      <c r="O2" s="75" t="s">
        <v>64</v>
      </c>
      <c r="P2" s="75" t="s">
        <v>64</v>
      </c>
    </row>
    <row r="3" spans="1:17" ht="63.95">
      <c r="B3" s="76" t="s">
        <v>143</v>
      </c>
      <c r="C3" s="76" t="s">
        <v>58</v>
      </c>
      <c r="D3" s="76" t="s">
        <v>59</v>
      </c>
      <c r="E3" s="76" t="s">
        <v>1266</v>
      </c>
      <c r="F3" s="76" t="s">
        <v>1267</v>
      </c>
      <c r="G3" s="76" t="s">
        <v>297</v>
      </c>
      <c r="H3" s="76" t="s">
        <v>516</v>
      </c>
      <c r="I3" s="76" t="s">
        <v>1265</v>
      </c>
      <c r="J3" s="75" t="s">
        <v>64</v>
      </c>
      <c r="K3" s="76" t="s">
        <v>64</v>
      </c>
      <c r="L3" s="75" t="s">
        <v>65</v>
      </c>
      <c r="M3" s="75">
        <v>2010</v>
      </c>
      <c r="N3" s="75" t="s">
        <v>64</v>
      </c>
      <c r="O3" s="75" t="s">
        <v>64</v>
      </c>
      <c r="P3" s="75" t="s">
        <v>64</v>
      </c>
    </row>
    <row r="4" spans="1:17" s="36" customFormat="1" ht="48">
      <c r="B4" s="37" t="s">
        <v>57</v>
      </c>
      <c r="C4" s="37" t="s">
        <v>1268</v>
      </c>
      <c r="D4" s="37" t="s">
        <v>649</v>
      </c>
      <c r="E4" s="37" t="s">
        <v>1269</v>
      </c>
      <c r="F4" s="37" t="s">
        <v>1270</v>
      </c>
      <c r="G4" s="37" t="s">
        <v>62</v>
      </c>
      <c r="H4" s="37"/>
      <c r="I4" s="37" t="s">
        <v>1271</v>
      </c>
      <c r="J4" s="36" t="s">
        <v>64</v>
      </c>
      <c r="K4" s="37" t="s">
        <v>64</v>
      </c>
      <c r="L4" s="36" t="s">
        <v>1272</v>
      </c>
      <c r="M4" s="36">
        <v>2022</v>
      </c>
      <c r="N4" s="36" t="s">
        <v>67</v>
      </c>
      <c r="O4" s="36" t="s">
        <v>64</v>
      </c>
      <c r="P4" s="36" t="s">
        <v>64</v>
      </c>
      <c r="Q4" s="37"/>
    </row>
    <row r="5" spans="1:17" ht="48">
      <c r="B5" s="76" t="s">
        <v>57</v>
      </c>
      <c r="C5" s="76" t="s">
        <v>1268</v>
      </c>
      <c r="D5" s="76" t="s">
        <v>649</v>
      </c>
      <c r="E5" s="76" t="s">
        <v>1273</v>
      </c>
      <c r="F5" s="76" t="s">
        <v>1274</v>
      </c>
      <c r="G5" s="76" t="s">
        <v>62</v>
      </c>
      <c r="I5" s="76" t="s">
        <v>1271</v>
      </c>
      <c r="J5" s="75" t="s">
        <v>64</v>
      </c>
      <c r="K5" s="76" t="s">
        <v>64</v>
      </c>
      <c r="L5" s="75" t="s">
        <v>1272</v>
      </c>
      <c r="M5" s="75">
        <v>2022</v>
      </c>
      <c r="N5" s="75" t="s">
        <v>67</v>
      </c>
      <c r="O5" s="75" t="s">
        <v>64</v>
      </c>
      <c r="P5" s="75" t="s">
        <v>64</v>
      </c>
    </row>
    <row r="6" spans="1:17" ht="48">
      <c r="B6" s="76" t="s">
        <v>57</v>
      </c>
      <c r="C6" s="76" t="s">
        <v>1275</v>
      </c>
      <c r="D6" s="76" t="s">
        <v>649</v>
      </c>
      <c r="E6" s="76" t="s">
        <v>1276</v>
      </c>
      <c r="F6" s="76" t="s">
        <v>1277</v>
      </c>
      <c r="G6" s="76" t="s">
        <v>62</v>
      </c>
      <c r="I6" s="76" t="s">
        <v>1271</v>
      </c>
      <c r="J6" s="75" t="s">
        <v>64</v>
      </c>
      <c r="K6" s="76" t="s">
        <v>64</v>
      </c>
      <c r="L6" s="75" t="s">
        <v>1272</v>
      </c>
      <c r="M6" s="75">
        <v>2022</v>
      </c>
      <c r="N6" s="75" t="s">
        <v>67</v>
      </c>
      <c r="O6" s="75" t="s">
        <v>64</v>
      </c>
      <c r="P6" s="75" t="s">
        <v>64</v>
      </c>
    </row>
    <row r="7" spans="1:17" ht="48">
      <c r="B7" s="76" t="s">
        <v>57</v>
      </c>
      <c r="C7" s="76" t="s">
        <v>1268</v>
      </c>
      <c r="D7" s="76" t="s">
        <v>649</v>
      </c>
      <c r="E7" s="76" t="s">
        <v>1278</v>
      </c>
      <c r="F7" s="76" t="s">
        <v>1279</v>
      </c>
      <c r="G7" s="76" t="s">
        <v>62</v>
      </c>
      <c r="I7" s="76" t="s">
        <v>1271</v>
      </c>
      <c r="J7" s="75" t="s">
        <v>64</v>
      </c>
      <c r="K7" s="76" t="s">
        <v>64</v>
      </c>
      <c r="L7" s="75" t="s">
        <v>1272</v>
      </c>
      <c r="M7" s="75">
        <v>2022</v>
      </c>
      <c r="N7" s="75" t="s">
        <v>67</v>
      </c>
      <c r="O7" s="75" t="s">
        <v>64</v>
      </c>
      <c r="P7" s="75" t="s">
        <v>64</v>
      </c>
    </row>
    <row r="8" spans="1:17" ht="48">
      <c r="B8" s="76" t="s">
        <v>57</v>
      </c>
      <c r="C8" s="76" t="s">
        <v>1280</v>
      </c>
      <c r="D8" s="76" t="s">
        <v>649</v>
      </c>
      <c r="E8" s="76" t="s">
        <v>1281</v>
      </c>
      <c r="F8" s="76" t="s">
        <v>1282</v>
      </c>
      <c r="G8" s="76" t="s">
        <v>62</v>
      </c>
      <c r="I8" s="76" t="s">
        <v>1271</v>
      </c>
      <c r="J8" s="75" t="s">
        <v>64</v>
      </c>
      <c r="K8" s="76" t="s">
        <v>64</v>
      </c>
      <c r="L8" s="75" t="s">
        <v>1272</v>
      </c>
      <c r="M8" s="75">
        <v>2022</v>
      </c>
      <c r="N8" s="75" t="s">
        <v>67</v>
      </c>
      <c r="O8" s="75" t="s">
        <v>64</v>
      </c>
      <c r="P8" s="75" t="s">
        <v>64</v>
      </c>
    </row>
    <row r="9" spans="1:17" ht="48">
      <c r="B9" s="76" t="s">
        <v>57</v>
      </c>
      <c r="C9" s="76" t="s">
        <v>1268</v>
      </c>
      <c r="D9" s="76" t="s">
        <v>649</v>
      </c>
      <c r="E9" s="76" t="s">
        <v>1283</v>
      </c>
      <c r="F9" s="76" t="s">
        <v>1284</v>
      </c>
      <c r="G9" s="76" t="s">
        <v>62</v>
      </c>
      <c r="I9" s="76" t="s">
        <v>1271</v>
      </c>
      <c r="J9" s="75" t="s">
        <v>64</v>
      </c>
      <c r="K9" s="76" t="s">
        <v>64</v>
      </c>
      <c r="L9" s="75" t="s">
        <v>1272</v>
      </c>
      <c r="M9" s="75">
        <v>2022</v>
      </c>
      <c r="N9" s="75" t="s">
        <v>67</v>
      </c>
      <c r="O9" s="75" t="s">
        <v>64</v>
      </c>
      <c r="P9" s="75" t="s">
        <v>64</v>
      </c>
    </row>
    <row r="10" spans="1:17" ht="48">
      <c r="B10" s="76" t="s">
        <v>57</v>
      </c>
      <c r="C10" s="76" t="s">
        <v>1268</v>
      </c>
      <c r="D10" s="76" t="s">
        <v>59</v>
      </c>
      <c r="E10" s="76" t="s">
        <v>1285</v>
      </c>
      <c r="F10" s="76" t="s">
        <v>1286</v>
      </c>
      <c r="G10" s="76" t="s">
        <v>667</v>
      </c>
      <c r="J10" s="75" t="s">
        <v>64</v>
      </c>
      <c r="K10" s="76" t="s">
        <v>64</v>
      </c>
      <c r="L10" s="75" t="s">
        <v>1272</v>
      </c>
      <c r="M10" s="75">
        <v>2022</v>
      </c>
      <c r="N10" s="75" t="s">
        <v>67</v>
      </c>
      <c r="O10" s="75" t="s">
        <v>64</v>
      </c>
      <c r="P10" s="75" t="s">
        <v>64</v>
      </c>
    </row>
    <row r="11" spans="1:17" ht="48">
      <c r="B11" s="76" t="s">
        <v>57</v>
      </c>
      <c r="C11" s="76" t="s">
        <v>1268</v>
      </c>
      <c r="D11" s="76" t="s">
        <v>59</v>
      </c>
      <c r="E11" s="76" t="s">
        <v>1287</v>
      </c>
      <c r="F11" s="76" t="s">
        <v>1286</v>
      </c>
      <c r="G11" s="76" t="s">
        <v>667</v>
      </c>
      <c r="J11" s="75" t="s">
        <v>64</v>
      </c>
      <c r="K11" s="76" t="s">
        <v>64</v>
      </c>
      <c r="L11" s="75" t="s">
        <v>1272</v>
      </c>
      <c r="M11" s="75">
        <v>2022</v>
      </c>
      <c r="N11" s="75" t="s">
        <v>67</v>
      </c>
      <c r="O11" s="75" t="s">
        <v>64</v>
      </c>
      <c r="P11" s="75" t="s">
        <v>64</v>
      </c>
    </row>
    <row r="12" spans="1:17" ht="48">
      <c r="B12" s="76" t="s">
        <v>57</v>
      </c>
      <c r="C12" s="76" t="s">
        <v>1268</v>
      </c>
      <c r="D12" s="76" t="s">
        <v>59</v>
      </c>
      <c r="E12" s="76" t="s">
        <v>1288</v>
      </c>
      <c r="F12" s="76" t="s">
        <v>1286</v>
      </c>
      <c r="G12" s="76" t="s">
        <v>667</v>
      </c>
      <c r="J12" s="75" t="s">
        <v>64</v>
      </c>
      <c r="K12" s="76" t="s">
        <v>64</v>
      </c>
      <c r="L12" s="75" t="s">
        <v>1272</v>
      </c>
      <c r="M12" s="75">
        <v>2022</v>
      </c>
      <c r="N12" s="75" t="s">
        <v>67</v>
      </c>
      <c r="O12" s="75" t="s">
        <v>64</v>
      </c>
      <c r="P12" s="75" t="s">
        <v>64</v>
      </c>
    </row>
    <row r="13" spans="1:17" ht="32.1">
      <c r="B13" s="76" t="s">
        <v>57</v>
      </c>
      <c r="C13" s="76" t="s">
        <v>1280</v>
      </c>
      <c r="D13" s="76" t="s">
        <v>59</v>
      </c>
      <c r="E13" s="76" t="s">
        <v>1289</v>
      </c>
      <c r="F13" s="76" t="s">
        <v>1290</v>
      </c>
      <c r="G13" s="76" t="s">
        <v>1291</v>
      </c>
      <c r="J13" s="75" t="s">
        <v>64</v>
      </c>
      <c r="K13" s="76" t="s">
        <v>64</v>
      </c>
      <c r="L13" s="75" t="s">
        <v>1272</v>
      </c>
      <c r="M13" s="75">
        <v>2022</v>
      </c>
      <c r="N13" s="75" t="s">
        <v>67</v>
      </c>
      <c r="O13" s="75" t="s">
        <v>64</v>
      </c>
      <c r="P13" s="75" t="s">
        <v>64</v>
      </c>
    </row>
    <row r="14" spans="1:17" ht="63.95">
      <c r="B14" s="76" t="s">
        <v>57</v>
      </c>
      <c r="C14" s="76" t="s">
        <v>1275</v>
      </c>
      <c r="D14" s="76" t="s">
        <v>59</v>
      </c>
      <c r="E14" s="76" t="s">
        <v>1292</v>
      </c>
      <c r="F14" s="76" t="s">
        <v>1293</v>
      </c>
      <c r="G14" s="76" t="s">
        <v>447</v>
      </c>
      <c r="J14" s="75" t="s">
        <v>64</v>
      </c>
      <c r="K14" s="76" t="s">
        <v>64</v>
      </c>
      <c r="L14" s="75" t="s">
        <v>1272</v>
      </c>
      <c r="M14" s="75">
        <v>2022</v>
      </c>
      <c r="N14" s="75" t="s">
        <v>67</v>
      </c>
      <c r="O14" s="75" t="s">
        <v>64</v>
      </c>
      <c r="P14" s="75" t="s">
        <v>64</v>
      </c>
    </row>
    <row r="15" spans="1:17" ht="32.1">
      <c r="B15" s="76" t="s">
        <v>57</v>
      </c>
      <c r="C15" s="76" t="s">
        <v>1268</v>
      </c>
      <c r="D15" s="76" t="s">
        <v>59</v>
      </c>
      <c r="E15" s="76" t="s">
        <v>1294</v>
      </c>
      <c r="F15" s="76" t="s">
        <v>1295</v>
      </c>
      <c r="G15" s="76" t="s">
        <v>62</v>
      </c>
      <c r="J15" s="75" t="s">
        <v>64</v>
      </c>
      <c r="K15" s="76" t="s">
        <v>64</v>
      </c>
      <c r="L15" s="75" t="s">
        <v>1272</v>
      </c>
      <c r="M15" s="75">
        <v>2022</v>
      </c>
      <c r="N15" s="75" t="s">
        <v>67</v>
      </c>
      <c r="O15" s="75" t="s">
        <v>64</v>
      </c>
      <c r="P15" s="75" t="s">
        <v>64</v>
      </c>
    </row>
    <row r="16" spans="1:17" ht="48">
      <c r="B16" s="76" t="s">
        <v>57</v>
      </c>
      <c r="C16" s="76" t="s">
        <v>1268</v>
      </c>
      <c r="D16" s="76" t="s">
        <v>649</v>
      </c>
      <c r="E16" s="76" t="s">
        <v>1296</v>
      </c>
      <c r="F16" s="76" t="s">
        <v>1297</v>
      </c>
      <c r="G16" s="76" t="s">
        <v>1298</v>
      </c>
      <c r="I16" s="76" t="s">
        <v>1271</v>
      </c>
      <c r="J16" s="75" t="s">
        <v>64</v>
      </c>
      <c r="K16" s="76" t="s">
        <v>64</v>
      </c>
      <c r="L16" s="75" t="s">
        <v>1272</v>
      </c>
      <c r="M16" s="75">
        <v>2022</v>
      </c>
      <c r="N16" s="75" t="s">
        <v>67</v>
      </c>
      <c r="O16" s="75" t="s">
        <v>64</v>
      </c>
      <c r="P16" s="75" t="s">
        <v>64</v>
      </c>
    </row>
    <row r="17" spans="2:17" ht="48">
      <c r="B17" s="76" t="s">
        <v>57</v>
      </c>
      <c r="C17" s="76" t="s">
        <v>1299</v>
      </c>
      <c r="D17" s="76" t="s">
        <v>649</v>
      </c>
      <c r="E17" s="76" t="s">
        <v>1300</v>
      </c>
      <c r="F17" s="76" t="s">
        <v>1301</v>
      </c>
      <c r="G17" s="76" t="s">
        <v>1298</v>
      </c>
      <c r="I17" s="76" t="s">
        <v>1271</v>
      </c>
      <c r="J17" s="75" t="s">
        <v>64</v>
      </c>
      <c r="K17" s="76" t="s">
        <v>64</v>
      </c>
      <c r="L17" s="75" t="s">
        <v>1272</v>
      </c>
      <c r="M17" s="75">
        <v>2022</v>
      </c>
      <c r="N17" s="75" t="s">
        <v>67</v>
      </c>
      <c r="O17" s="75" t="s">
        <v>64</v>
      </c>
      <c r="P17" s="75" t="s">
        <v>64</v>
      </c>
    </row>
    <row r="18" spans="2:17" ht="48">
      <c r="B18" s="76" t="s">
        <v>57</v>
      </c>
      <c r="C18" s="76" t="s">
        <v>1268</v>
      </c>
      <c r="D18" s="76" t="s">
        <v>649</v>
      </c>
      <c r="E18" s="76" t="s">
        <v>1302</v>
      </c>
      <c r="F18" s="76" t="s">
        <v>1303</v>
      </c>
      <c r="G18" s="76" t="s">
        <v>1298</v>
      </c>
      <c r="I18" s="76" t="s">
        <v>1271</v>
      </c>
      <c r="J18" s="75" t="s">
        <v>64</v>
      </c>
      <c r="K18" s="76" t="s">
        <v>64</v>
      </c>
      <c r="L18" s="75" t="s">
        <v>1272</v>
      </c>
      <c r="M18" s="75">
        <v>2022</v>
      </c>
      <c r="N18" s="75" t="s">
        <v>64</v>
      </c>
      <c r="O18" s="75" t="s">
        <v>64</v>
      </c>
      <c r="P18" s="75" t="s">
        <v>64</v>
      </c>
    </row>
    <row r="19" spans="2:17" ht="48">
      <c r="B19" s="76" t="s">
        <v>57</v>
      </c>
      <c r="C19" s="76" t="s">
        <v>1268</v>
      </c>
      <c r="D19" s="76" t="s">
        <v>59</v>
      </c>
      <c r="E19" s="76" t="s">
        <v>1304</v>
      </c>
      <c r="F19" s="76" t="s">
        <v>1305</v>
      </c>
      <c r="G19" s="76" t="s">
        <v>1298</v>
      </c>
      <c r="J19" s="75" t="s">
        <v>64</v>
      </c>
      <c r="K19" s="76" t="s">
        <v>64</v>
      </c>
      <c r="L19" s="75" t="s">
        <v>1272</v>
      </c>
      <c r="M19" s="75">
        <v>2022</v>
      </c>
      <c r="N19" s="75" t="s">
        <v>67</v>
      </c>
      <c r="O19" s="75" t="s">
        <v>64</v>
      </c>
      <c r="P19" s="75" t="s">
        <v>64</v>
      </c>
    </row>
    <row r="20" spans="2:17" ht="48">
      <c r="B20" s="76" t="s">
        <v>57</v>
      </c>
      <c r="C20" s="76" t="s">
        <v>1268</v>
      </c>
      <c r="D20" s="76" t="s">
        <v>59</v>
      </c>
      <c r="E20" s="76" t="s">
        <v>1306</v>
      </c>
      <c r="F20" s="76" t="s">
        <v>1307</v>
      </c>
      <c r="G20" s="76" t="s">
        <v>1298</v>
      </c>
      <c r="J20" s="75" t="s">
        <v>64</v>
      </c>
      <c r="K20" s="76" t="s">
        <v>64</v>
      </c>
      <c r="L20" s="75" t="s">
        <v>1272</v>
      </c>
      <c r="M20" s="75">
        <v>2022</v>
      </c>
      <c r="N20" s="75" t="s">
        <v>67</v>
      </c>
      <c r="O20" s="75" t="s">
        <v>64</v>
      </c>
      <c r="P20" s="75" t="s">
        <v>64</v>
      </c>
    </row>
    <row r="21" spans="2:17" ht="63.95">
      <c r="B21" s="76" t="s">
        <v>57</v>
      </c>
      <c r="C21" s="76" t="s">
        <v>1268</v>
      </c>
      <c r="D21" s="76" t="s">
        <v>59</v>
      </c>
      <c r="E21" s="76" t="s">
        <v>1308</v>
      </c>
      <c r="F21" s="76" t="s">
        <v>1309</v>
      </c>
      <c r="G21" s="76" t="s">
        <v>1298</v>
      </c>
      <c r="J21" s="75" t="s">
        <v>64</v>
      </c>
      <c r="K21" s="76" t="s">
        <v>64</v>
      </c>
      <c r="L21" s="75" t="s">
        <v>1272</v>
      </c>
      <c r="M21" s="75">
        <v>2022</v>
      </c>
      <c r="N21" s="75" t="s">
        <v>67</v>
      </c>
      <c r="O21" s="75" t="s">
        <v>64</v>
      </c>
      <c r="P21" s="75" t="s">
        <v>64</v>
      </c>
    </row>
    <row r="22" spans="2:17" ht="63.95">
      <c r="B22" s="76" t="s">
        <v>57</v>
      </c>
      <c r="C22" s="76" t="s">
        <v>1268</v>
      </c>
      <c r="D22" s="76" t="s">
        <v>59</v>
      </c>
      <c r="E22" s="76" t="s">
        <v>1310</v>
      </c>
      <c r="F22" s="76" t="s">
        <v>1309</v>
      </c>
      <c r="G22" s="76" t="s">
        <v>1298</v>
      </c>
      <c r="J22" s="75" t="s">
        <v>64</v>
      </c>
      <c r="K22" s="76" t="s">
        <v>64</v>
      </c>
      <c r="L22" s="75" t="s">
        <v>1272</v>
      </c>
      <c r="M22" s="75">
        <v>2022</v>
      </c>
      <c r="N22" s="75" t="s">
        <v>67</v>
      </c>
      <c r="O22" s="75" t="s">
        <v>64</v>
      </c>
      <c r="P22" s="75" t="s">
        <v>64</v>
      </c>
    </row>
    <row r="23" spans="2:17" ht="48">
      <c r="B23" s="76" t="s">
        <v>57</v>
      </c>
      <c r="C23" s="76" t="s">
        <v>1268</v>
      </c>
      <c r="D23" s="76" t="s">
        <v>59</v>
      </c>
      <c r="E23" s="76" t="s">
        <v>1311</v>
      </c>
      <c r="F23" s="77" t="s">
        <v>1305</v>
      </c>
      <c r="G23" s="76" t="s">
        <v>1298</v>
      </c>
      <c r="J23" s="75" t="s">
        <v>64</v>
      </c>
      <c r="K23" s="76" t="s">
        <v>64</v>
      </c>
      <c r="L23" s="75" t="s">
        <v>1272</v>
      </c>
      <c r="M23" s="75">
        <v>2022</v>
      </c>
      <c r="N23" s="75" t="s">
        <v>67</v>
      </c>
      <c r="O23" s="75" t="s">
        <v>64</v>
      </c>
      <c r="P23" s="75" t="s">
        <v>64</v>
      </c>
    </row>
    <row r="24" spans="2:17" ht="63.95">
      <c r="B24" s="76" t="s">
        <v>57</v>
      </c>
      <c r="C24" s="76" t="s">
        <v>1268</v>
      </c>
      <c r="D24" s="76" t="s">
        <v>59</v>
      </c>
      <c r="E24" s="76" t="s">
        <v>1312</v>
      </c>
      <c r="F24" s="76" t="s">
        <v>1313</v>
      </c>
      <c r="G24" s="76" t="s">
        <v>1298</v>
      </c>
      <c r="J24" s="75" t="s">
        <v>64</v>
      </c>
      <c r="K24" s="76" t="s">
        <v>64</v>
      </c>
      <c r="L24" s="75" t="s">
        <v>1272</v>
      </c>
      <c r="M24" s="75">
        <v>2022</v>
      </c>
      <c r="N24" s="75" t="s">
        <v>67</v>
      </c>
      <c r="O24" s="75" t="s">
        <v>64</v>
      </c>
      <c r="P24" s="75" t="s">
        <v>64</v>
      </c>
    </row>
    <row r="25" spans="2:17" s="36" customFormat="1" ht="144">
      <c r="B25" s="37" t="s">
        <v>170</v>
      </c>
      <c r="C25" s="37" t="s">
        <v>1280</v>
      </c>
      <c r="D25" s="37" t="s">
        <v>59</v>
      </c>
      <c r="E25" s="37" t="s">
        <v>1314</v>
      </c>
      <c r="F25" s="37" t="s">
        <v>1315</v>
      </c>
      <c r="G25" s="37" t="s">
        <v>742</v>
      </c>
      <c r="H25" s="37" t="s">
        <v>516</v>
      </c>
      <c r="I25" s="37"/>
      <c r="J25" s="36" t="s">
        <v>64</v>
      </c>
      <c r="K25" s="37" t="s">
        <v>64</v>
      </c>
      <c r="L25" s="36" t="s">
        <v>65</v>
      </c>
      <c r="M25" s="36">
        <v>2020</v>
      </c>
      <c r="N25" s="36" t="s">
        <v>64</v>
      </c>
      <c r="O25" s="36" t="s">
        <v>64</v>
      </c>
      <c r="P25" s="36" t="s">
        <v>64</v>
      </c>
      <c r="Q25" s="37"/>
    </row>
    <row r="26" spans="2:17" ht="144">
      <c r="B26" s="76" t="s">
        <v>170</v>
      </c>
      <c r="C26" s="76" t="s">
        <v>1280</v>
      </c>
      <c r="D26" s="76" t="s">
        <v>59</v>
      </c>
      <c r="E26" s="76" t="s">
        <v>1316</v>
      </c>
      <c r="F26" s="76" t="s">
        <v>1315</v>
      </c>
      <c r="G26" s="76" t="s">
        <v>1317</v>
      </c>
      <c r="H26" s="76" t="s">
        <v>516</v>
      </c>
      <c r="J26" s="75" t="s">
        <v>64</v>
      </c>
      <c r="K26" s="76" t="s">
        <v>64</v>
      </c>
      <c r="L26" s="75" t="s">
        <v>65</v>
      </c>
      <c r="M26" s="75">
        <v>2020</v>
      </c>
      <c r="N26" s="75" t="s">
        <v>64</v>
      </c>
      <c r="O26" s="75" t="s">
        <v>64</v>
      </c>
      <c r="P26" s="75" t="s">
        <v>64</v>
      </c>
    </row>
    <row r="27" spans="2:17" ht="144">
      <c r="B27" s="76" t="s">
        <v>170</v>
      </c>
      <c r="C27" s="76" t="s">
        <v>1280</v>
      </c>
      <c r="D27" s="76" t="s">
        <v>59</v>
      </c>
      <c r="E27" s="76" t="s">
        <v>1318</v>
      </c>
      <c r="F27" s="76" t="s">
        <v>1315</v>
      </c>
      <c r="G27" s="28" t="s">
        <v>1319</v>
      </c>
      <c r="H27" s="76" t="s">
        <v>516</v>
      </c>
      <c r="J27" s="75" t="s">
        <v>64</v>
      </c>
      <c r="K27" s="76" t="s">
        <v>64</v>
      </c>
      <c r="L27" s="75" t="s">
        <v>65</v>
      </c>
      <c r="M27" s="75">
        <v>2020</v>
      </c>
      <c r="N27" s="75" t="s">
        <v>64</v>
      </c>
      <c r="O27" s="75" t="s">
        <v>64</v>
      </c>
      <c r="P27" s="75" t="s">
        <v>64</v>
      </c>
    </row>
    <row r="28" spans="2:17" ht="96">
      <c r="B28" s="76" t="s">
        <v>170</v>
      </c>
      <c r="C28" s="76" t="s">
        <v>1280</v>
      </c>
      <c r="D28" s="76" t="s">
        <v>59</v>
      </c>
      <c r="E28" s="76" t="s">
        <v>1320</v>
      </c>
      <c r="F28" s="76" t="s">
        <v>1321</v>
      </c>
      <c r="G28" s="76" t="s">
        <v>1322</v>
      </c>
      <c r="H28" s="76" t="s">
        <v>516</v>
      </c>
      <c r="J28" s="75" t="s">
        <v>64</v>
      </c>
      <c r="K28" s="76" t="s">
        <v>64</v>
      </c>
      <c r="L28" s="75" t="s">
        <v>65</v>
      </c>
      <c r="M28" s="75">
        <v>2020</v>
      </c>
      <c r="N28" s="75" t="s">
        <v>64</v>
      </c>
      <c r="O28" s="75" t="s">
        <v>64</v>
      </c>
      <c r="P28" s="75" t="s">
        <v>64</v>
      </c>
    </row>
    <row r="29" spans="2:17" ht="144">
      <c r="B29" s="76" t="s">
        <v>170</v>
      </c>
      <c r="C29" s="76" t="s">
        <v>1280</v>
      </c>
      <c r="D29" s="76" t="s">
        <v>59</v>
      </c>
      <c r="E29" s="76" t="s">
        <v>1323</v>
      </c>
      <c r="F29" s="76" t="s">
        <v>1315</v>
      </c>
      <c r="G29" s="76" t="s">
        <v>1003</v>
      </c>
      <c r="H29" s="76" t="s">
        <v>516</v>
      </c>
      <c r="J29" s="75" t="s">
        <v>64</v>
      </c>
      <c r="K29" s="76" t="s">
        <v>64</v>
      </c>
      <c r="L29" s="75" t="s">
        <v>65</v>
      </c>
      <c r="M29" s="75">
        <v>2020</v>
      </c>
      <c r="N29" s="75" t="s">
        <v>64</v>
      </c>
      <c r="O29" s="75" t="s">
        <v>64</v>
      </c>
      <c r="P29" s="75" t="s">
        <v>64</v>
      </c>
    </row>
    <row r="30" spans="2:17" ht="96">
      <c r="B30" s="76" t="s">
        <v>170</v>
      </c>
      <c r="C30" s="76" t="s">
        <v>1324</v>
      </c>
      <c r="D30" s="76" t="s">
        <v>59</v>
      </c>
      <c r="E30" s="76" t="s">
        <v>1325</v>
      </c>
      <c r="F30" s="76" t="s">
        <v>1326</v>
      </c>
      <c r="G30" s="76" t="s">
        <v>62</v>
      </c>
      <c r="H30" s="76" t="s">
        <v>516</v>
      </c>
      <c r="J30" s="75" t="s">
        <v>67</v>
      </c>
      <c r="K30" s="48" t="s">
        <v>1327</v>
      </c>
      <c r="L30" s="75" t="s">
        <v>65</v>
      </c>
      <c r="M30" s="75">
        <v>2020</v>
      </c>
      <c r="N30" s="75" t="s">
        <v>64</v>
      </c>
      <c r="O30" s="75" t="s">
        <v>64</v>
      </c>
      <c r="P30" s="75" t="s">
        <v>64</v>
      </c>
    </row>
    <row r="31" spans="2:17" ht="80.099999999999994">
      <c r="B31" s="76" t="s">
        <v>170</v>
      </c>
      <c r="C31" s="76" t="s">
        <v>1280</v>
      </c>
      <c r="D31" s="76" t="s">
        <v>59</v>
      </c>
      <c r="E31" s="76" t="s">
        <v>1280</v>
      </c>
      <c r="F31" s="76" t="s">
        <v>1328</v>
      </c>
      <c r="G31" s="76" t="s">
        <v>62</v>
      </c>
      <c r="H31" s="76" t="s">
        <v>516</v>
      </c>
      <c r="J31" s="75" t="s">
        <v>67</v>
      </c>
      <c r="K31" s="48" t="s">
        <v>1329</v>
      </c>
      <c r="L31" s="75" t="s">
        <v>65</v>
      </c>
      <c r="M31" s="75">
        <v>2020</v>
      </c>
      <c r="N31" s="75" t="s">
        <v>64</v>
      </c>
      <c r="O31" s="75" t="s">
        <v>64</v>
      </c>
      <c r="P31" s="75" t="s">
        <v>64</v>
      </c>
    </row>
    <row r="32" spans="2:17" s="36" customFormat="1" ht="48">
      <c r="B32" s="37" t="s">
        <v>185</v>
      </c>
      <c r="C32" s="37" t="s">
        <v>1330</v>
      </c>
      <c r="D32" s="37" t="s">
        <v>59</v>
      </c>
      <c r="E32" s="37" t="s">
        <v>1330</v>
      </c>
      <c r="F32" s="37" t="s">
        <v>1331</v>
      </c>
      <c r="G32" s="37" t="s">
        <v>1027</v>
      </c>
      <c r="H32" s="37" t="s">
        <v>516</v>
      </c>
      <c r="I32" s="37"/>
      <c r="J32" s="36" t="s">
        <v>64</v>
      </c>
      <c r="K32" s="84" t="s">
        <v>64</v>
      </c>
      <c r="L32" s="36" t="s">
        <v>65</v>
      </c>
      <c r="M32" s="36">
        <v>2020</v>
      </c>
      <c r="N32" s="36" t="s">
        <v>64</v>
      </c>
      <c r="O32" s="36" t="s">
        <v>64</v>
      </c>
      <c r="P32" s="36" t="s">
        <v>64</v>
      </c>
      <c r="Q32" s="37"/>
    </row>
    <row r="33" spans="2:17" ht="80.099999999999994">
      <c r="B33" s="76" t="s">
        <v>185</v>
      </c>
      <c r="C33" s="76" t="s">
        <v>1330</v>
      </c>
      <c r="D33" s="76" t="s">
        <v>59</v>
      </c>
      <c r="E33" s="76" t="s">
        <v>1332</v>
      </c>
      <c r="F33" s="76" t="s">
        <v>1333</v>
      </c>
      <c r="G33" s="76" t="s">
        <v>1027</v>
      </c>
      <c r="H33" s="76" t="s">
        <v>516</v>
      </c>
      <c r="J33" s="75" t="s">
        <v>64</v>
      </c>
      <c r="K33" s="49" t="s">
        <v>64</v>
      </c>
      <c r="L33" s="75" t="s">
        <v>65</v>
      </c>
      <c r="M33" s="75">
        <v>2020</v>
      </c>
      <c r="N33" s="75" t="s">
        <v>64</v>
      </c>
      <c r="O33" s="75" t="s">
        <v>64</v>
      </c>
      <c r="P33" s="75" t="s">
        <v>64</v>
      </c>
    </row>
    <row r="34" spans="2:17" ht="48">
      <c r="B34" s="76" t="s">
        <v>185</v>
      </c>
      <c r="C34" s="76" t="s">
        <v>1280</v>
      </c>
      <c r="D34" s="76" t="s">
        <v>59</v>
      </c>
      <c r="E34" s="76" t="s">
        <v>1334</v>
      </c>
      <c r="F34" s="76" t="s">
        <v>1335</v>
      </c>
      <c r="G34" s="76" t="s">
        <v>1336</v>
      </c>
      <c r="H34" s="76" t="s">
        <v>516</v>
      </c>
      <c r="J34" s="75" t="s">
        <v>64</v>
      </c>
      <c r="K34" s="76" t="s">
        <v>64</v>
      </c>
      <c r="L34" s="75" t="s">
        <v>65</v>
      </c>
      <c r="M34" s="75">
        <v>2020</v>
      </c>
      <c r="N34" s="75" t="s">
        <v>64</v>
      </c>
      <c r="O34" s="75" t="s">
        <v>64</v>
      </c>
      <c r="P34" s="75" t="s">
        <v>64</v>
      </c>
    </row>
    <row r="35" spans="2:17" ht="48">
      <c r="B35" s="76" t="s">
        <v>185</v>
      </c>
      <c r="C35" s="76" t="s">
        <v>1280</v>
      </c>
      <c r="D35" s="76" t="s">
        <v>59</v>
      </c>
      <c r="E35" s="76" t="s">
        <v>1337</v>
      </c>
      <c r="F35" s="76" t="s">
        <v>1338</v>
      </c>
      <c r="G35" s="76" t="s">
        <v>1339</v>
      </c>
      <c r="H35" s="76" t="s">
        <v>516</v>
      </c>
      <c r="J35" s="75" t="s">
        <v>64</v>
      </c>
      <c r="K35" s="76" t="s">
        <v>64</v>
      </c>
      <c r="L35" s="75" t="s">
        <v>65</v>
      </c>
      <c r="M35" s="75">
        <v>2020</v>
      </c>
      <c r="N35" s="75" t="s">
        <v>64</v>
      </c>
      <c r="O35" s="75" t="s">
        <v>64</v>
      </c>
      <c r="P35" s="75" t="s">
        <v>64</v>
      </c>
    </row>
    <row r="36" spans="2:17" ht="63.95">
      <c r="B36" s="76" t="s">
        <v>185</v>
      </c>
      <c r="C36" s="76" t="s">
        <v>1299</v>
      </c>
      <c r="D36" s="76" t="s">
        <v>59</v>
      </c>
      <c r="E36" s="76" t="s">
        <v>1340</v>
      </c>
      <c r="F36" s="76" t="s">
        <v>1341</v>
      </c>
      <c r="G36" s="76" t="s">
        <v>1342</v>
      </c>
      <c r="H36" s="76" t="s">
        <v>516</v>
      </c>
      <c r="J36" s="75" t="s">
        <v>64</v>
      </c>
      <c r="K36" s="76" t="s">
        <v>64</v>
      </c>
      <c r="L36" s="75" t="s">
        <v>65</v>
      </c>
      <c r="M36" s="75">
        <v>2020</v>
      </c>
      <c r="N36" s="75" t="s">
        <v>64</v>
      </c>
      <c r="O36" s="75" t="s">
        <v>64</v>
      </c>
      <c r="P36" s="75" t="s">
        <v>64</v>
      </c>
    </row>
    <row r="37" spans="2:17" ht="63.95">
      <c r="B37" s="76" t="s">
        <v>185</v>
      </c>
      <c r="C37" s="76" t="s">
        <v>1343</v>
      </c>
      <c r="D37" s="76" t="s">
        <v>59</v>
      </c>
      <c r="E37" s="76" t="s">
        <v>1343</v>
      </c>
      <c r="F37" s="76" t="s">
        <v>1344</v>
      </c>
      <c r="G37" s="76" t="s">
        <v>1336</v>
      </c>
      <c r="H37" s="76" t="s">
        <v>516</v>
      </c>
      <c r="J37" s="75" t="s">
        <v>64</v>
      </c>
      <c r="K37" s="76" t="s">
        <v>64</v>
      </c>
      <c r="L37" s="75" t="s">
        <v>65</v>
      </c>
      <c r="M37" s="75">
        <v>2020</v>
      </c>
      <c r="N37" s="75" t="s">
        <v>64</v>
      </c>
      <c r="O37" s="75" t="s">
        <v>64</v>
      </c>
      <c r="P37" s="75" t="s">
        <v>64</v>
      </c>
    </row>
    <row r="38" spans="2:17" ht="48">
      <c r="B38" s="76" t="s">
        <v>185</v>
      </c>
      <c r="C38" s="76" t="s">
        <v>1299</v>
      </c>
      <c r="D38" s="76" t="s">
        <v>59</v>
      </c>
      <c r="E38" s="76" t="s">
        <v>1334</v>
      </c>
      <c r="F38" s="76" t="s">
        <v>1345</v>
      </c>
      <c r="G38" s="76" t="s">
        <v>1346</v>
      </c>
      <c r="H38" s="76" t="s">
        <v>516</v>
      </c>
      <c r="J38" s="75" t="s">
        <v>64</v>
      </c>
      <c r="K38" s="76" t="s">
        <v>64</v>
      </c>
      <c r="L38" s="75" t="s">
        <v>65</v>
      </c>
      <c r="M38" s="75">
        <v>2020</v>
      </c>
      <c r="N38" s="75" t="s">
        <v>64</v>
      </c>
      <c r="O38" s="75" t="s">
        <v>64</v>
      </c>
      <c r="P38" s="75" t="s">
        <v>64</v>
      </c>
    </row>
    <row r="39" spans="2:17" ht="32.1">
      <c r="B39" s="76" t="s">
        <v>185</v>
      </c>
      <c r="C39" s="76" t="s">
        <v>1280</v>
      </c>
      <c r="D39" s="76" t="s">
        <v>128</v>
      </c>
      <c r="E39" s="76" t="s">
        <v>1347</v>
      </c>
      <c r="F39" s="76" t="s">
        <v>1348</v>
      </c>
      <c r="G39" s="76" t="s">
        <v>163</v>
      </c>
      <c r="H39" s="76" t="s">
        <v>516</v>
      </c>
      <c r="J39" s="75" t="s">
        <v>64</v>
      </c>
      <c r="K39" s="76" t="s">
        <v>64</v>
      </c>
      <c r="L39" s="75" t="s">
        <v>65</v>
      </c>
      <c r="M39" s="75">
        <v>2020</v>
      </c>
      <c r="N39" s="75" t="s">
        <v>64</v>
      </c>
      <c r="O39" s="75" t="s">
        <v>64</v>
      </c>
      <c r="P39" s="75" t="s">
        <v>64</v>
      </c>
    </row>
    <row r="40" spans="2:17" ht="48">
      <c r="B40" s="76" t="s">
        <v>185</v>
      </c>
      <c r="C40" s="76" t="s">
        <v>1280</v>
      </c>
      <c r="D40" s="76" t="s">
        <v>128</v>
      </c>
      <c r="E40" s="76" t="s">
        <v>1349</v>
      </c>
      <c r="F40" s="76" t="s">
        <v>1350</v>
      </c>
      <c r="G40" s="76" t="s">
        <v>163</v>
      </c>
      <c r="H40" s="76" t="s">
        <v>516</v>
      </c>
      <c r="J40" s="75" t="s">
        <v>64</v>
      </c>
      <c r="K40" s="76" t="s">
        <v>64</v>
      </c>
      <c r="L40" s="75" t="s">
        <v>65</v>
      </c>
      <c r="M40" s="75">
        <v>2020</v>
      </c>
      <c r="N40" s="75" t="s">
        <v>64</v>
      </c>
      <c r="O40" s="75" t="s">
        <v>64</v>
      </c>
      <c r="P40" s="75" t="s">
        <v>64</v>
      </c>
    </row>
    <row r="41" spans="2:17" ht="63.95">
      <c r="B41" s="76" t="s">
        <v>185</v>
      </c>
      <c r="C41" s="76" t="s">
        <v>58</v>
      </c>
      <c r="D41" s="76" t="s">
        <v>59</v>
      </c>
      <c r="E41" s="76" t="s">
        <v>1351</v>
      </c>
      <c r="F41" s="76" t="s">
        <v>1352</v>
      </c>
      <c r="G41" s="76" t="s">
        <v>1353</v>
      </c>
      <c r="H41" s="76" t="s">
        <v>516</v>
      </c>
      <c r="J41" s="75" t="s">
        <v>64</v>
      </c>
      <c r="K41" s="76" t="s">
        <v>64</v>
      </c>
      <c r="L41" s="75" t="s">
        <v>65</v>
      </c>
      <c r="M41" s="75">
        <v>2020</v>
      </c>
      <c r="N41" s="75" t="s">
        <v>64</v>
      </c>
      <c r="O41" s="75" t="s">
        <v>64</v>
      </c>
      <c r="P41" s="75" t="s">
        <v>64</v>
      </c>
    </row>
    <row r="42" spans="2:17" ht="80.099999999999994">
      <c r="B42" s="76" t="s">
        <v>185</v>
      </c>
      <c r="C42" s="76" t="s">
        <v>58</v>
      </c>
      <c r="D42" s="76" t="s">
        <v>59</v>
      </c>
      <c r="E42" s="76" t="s">
        <v>1354</v>
      </c>
      <c r="F42" s="76" t="s">
        <v>1355</v>
      </c>
      <c r="G42" s="76" t="s">
        <v>62</v>
      </c>
      <c r="H42" s="76" t="s">
        <v>516</v>
      </c>
      <c r="J42" s="75" t="s">
        <v>64</v>
      </c>
      <c r="K42" s="76" t="s">
        <v>64</v>
      </c>
      <c r="L42" s="75" t="s">
        <v>65</v>
      </c>
      <c r="M42" s="75">
        <v>2020</v>
      </c>
      <c r="N42" s="75" t="s">
        <v>64</v>
      </c>
      <c r="O42" s="75" t="s">
        <v>64</v>
      </c>
      <c r="P42" s="75" t="s">
        <v>64</v>
      </c>
    </row>
    <row r="43" spans="2:17" ht="96">
      <c r="B43" s="76" t="s">
        <v>185</v>
      </c>
      <c r="C43" s="76" t="s">
        <v>58</v>
      </c>
      <c r="D43" s="76" t="s">
        <v>59</v>
      </c>
      <c r="E43" s="76" t="s">
        <v>1356</v>
      </c>
      <c r="F43" s="76" t="s">
        <v>1357</v>
      </c>
      <c r="G43" s="76" t="s">
        <v>62</v>
      </c>
      <c r="H43" s="76" t="s">
        <v>516</v>
      </c>
      <c r="J43" s="75" t="s">
        <v>64</v>
      </c>
      <c r="K43" s="76" t="s">
        <v>64</v>
      </c>
      <c r="L43" s="75" t="s">
        <v>65</v>
      </c>
      <c r="M43" s="75">
        <v>2020</v>
      </c>
      <c r="N43" s="75" t="s">
        <v>64</v>
      </c>
      <c r="O43" s="75" t="s">
        <v>64</v>
      </c>
      <c r="P43" s="75" t="s">
        <v>64</v>
      </c>
    </row>
    <row r="44" spans="2:17" ht="48">
      <c r="B44" s="76" t="s">
        <v>185</v>
      </c>
      <c r="C44" s="76" t="s">
        <v>58</v>
      </c>
      <c r="D44" s="76" t="s">
        <v>59</v>
      </c>
      <c r="E44" s="76" t="s">
        <v>1358</v>
      </c>
      <c r="F44" s="76" t="s">
        <v>1352</v>
      </c>
      <c r="G44" s="76" t="s">
        <v>163</v>
      </c>
      <c r="H44" s="76" t="s">
        <v>516</v>
      </c>
      <c r="J44" s="75" t="s">
        <v>64</v>
      </c>
      <c r="K44" s="76" t="s">
        <v>64</v>
      </c>
      <c r="L44" s="75" t="s">
        <v>65</v>
      </c>
      <c r="M44" s="75">
        <v>2020</v>
      </c>
      <c r="N44" s="75" t="s">
        <v>64</v>
      </c>
      <c r="O44" s="75" t="s">
        <v>64</v>
      </c>
      <c r="P44" s="75" t="s">
        <v>64</v>
      </c>
    </row>
    <row r="45" spans="2:17" ht="80.099999999999994">
      <c r="B45" s="76" t="s">
        <v>185</v>
      </c>
      <c r="C45" s="76" t="s">
        <v>58</v>
      </c>
      <c r="D45" s="76" t="s">
        <v>59</v>
      </c>
      <c r="E45" s="76" t="s">
        <v>1359</v>
      </c>
      <c r="F45" s="76" t="s">
        <v>1360</v>
      </c>
      <c r="G45" s="76" t="s">
        <v>163</v>
      </c>
      <c r="H45" s="76" t="s">
        <v>516</v>
      </c>
      <c r="J45" s="75" t="s">
        <v>64</v>
      </c>
      <c r="K45" s="76" t="s">
        <v>64</v>
      </c>
      <c r="L45" s="75" t="s">
        <v>65</v>
      </c>
      <c r="M45" s="75">
        <v>2020</v>
      </c>
      <c r="N45" s="75" t="s">
        <v>64</v>
      </c>
      <c r="O45" s="75" t="s">
        <v>64</v>
      </c>
      <c r="P45" s="75" t="s">
        <v>64</v>
      </c>
    </row>
    <row r="46" spans="2:17" ht="80.099999999999994">
      <c r="B46" s="76" t="s">
        <v>185</v>
      </c>
      <c r="C46" s="76" t="s">
        <v>58</v>
      </c>
      <c r="D46" s="76" t="s">
        <v>59</v>
      </c>
      <c r="E46" s="76" t="s">
        <v>1361</v>
      </c>
      <c r="F46" s="76" t="s">
        <v>1362</v>
      </c>
      <c r="G46" s="76" t="s">
        <v>163</v>
      </c>
      <c r="H46" s="76" t="s">
        <v>516</v>
      </c>
      <c r="J46" s="75" t="s">
        <v>64</v>
      </c>
      <c r="K46" s="76" t="s">
        <v>64</v>
      </c>
      <c r="L46" s="75" t="s">
        <v>65</v>
      </c>
      <c r="M46" s="75">
        <v>2020</v>
      </c>
      <c r="N46" s="75" t="s">
        <v>64</v>
      </c>
      <c r="O46" s="75" t="s">
        <v>64</v>
      </c>
      <c r="P46" s="75" t="s">
        <v>64</v>
      </c>
    </row>
    <row r="47" spans="2:17" s="36" customFormat="1" ht="128.1">
      <c r="B47" s="37" t="s">
        <v>244</v>
      </c>
      <c r="C47" s="37" t="s">
        <v>58</v>
      </c>
      <c r="D47" s="37" t="s">
        <v>59</v>
      </c>
      <c r="E47" s="37" t="s">
        <v>1363</v>
      </c>
      <c r="F47" s="37" t="s">
        <v>1364</v>
      </c>
      <c r="G47" s="37" t="s">
        <v>62</v>
      </c>
      <c r="H47" s="37" t="s">
        <v>433</v>
      </c>
      <c r="I47" s="37"/>
      <c r="J47" s="36" t="s">
        <v>64</v>
      </c>
      <c r="K47" s="37" t="s">
        <v>64</v>
      </c>
      <c r="L47" s="36" t="s">
        <v>65</v>
      </c>
      <c r="M47" s="36">
        <v>2021</v>
      </c>
      <c r="N47" s="36" t="s">
        <v>64</v>
      </c>
      <c r="O47" s="36" t="s">
        <v>64</v>
      </c>
      <c r="P47" s="36" t="s">
        <v>64</v>
      </c>
      <c r="Q47" s="37" t="s">
        <v>1365</v>
      </c>
    </row>
    <row r="48" spans="2:17" ht="63.95">
      <c r="B48" s="76" t="s">
        <v>244</v>
      </c>
      <c r="C48" s="76" t="s">
        <v>58</v>
      </c>
      <c r="D48" s="76" t="s">
        <v>59</v>
      </c>
      <c r="E48" s="76" t="s">
        <v>1366</v>
      </c>
      <c r="F48" s="76" t="s">
        <v>1367</v>
      </c>
      <c r="G48" s="76" t="s">
        <v>742</v>
      </c>
      <c r="H48" s="76" t="s">
        <v>433</v>
      </c>
      <c r="J48" s="75" t="s">
        <v>64</v>
      </c>
      <c r="K48" s="76" t="s">
        <v>64</v>
      </c>
      <c r="L48" s="75" t="s">
        <v>65</v>
      </c>
      <c r="M48" s="75">
        <v>2021</v>
      </c>
      <c r="N48" s="75" t="s">
        <v>67</v>
      </c>
      <c r="O48" s="75" t="s">
        <v>64</v>
      </c>
      <c r="P48" s="75" t="s">
        <v>64</v>
      </c>
      <c r="Q48" s="76" t="s">
        <v>1022</v>
      </c>
    </row>
    <row r="49" spans="2:17" ht="63.95">
      <c r="B49" s="76" t="s">
        <v>244</v>
      </c>
      <c r="C49" s="76" t="s">
        <v>58</v>
      </c>
      <c r="D49" s="76" t="s">
        <v>59</v>
      </c>
      <c r="E49" s="76" t="s">
        <v>1026</v>
      </c>
      <c r="F49" s="76" t="s">
        <v>1367</v>
      </c>
      <c r="G49" s="76" t="s">
        <v>1368</v>
      </c>
      <c r="H49" s="76" t="s">
        <v>433</v>
      </c>
      <c r="J49" s="75" t="s">
        <v>64</v>
      </c>
      <c r="K49" s="76" t="s">
        <v>64</v>
      </c>
      <c r="L49" s="75" t="s">
        <v>65</v>
      </c>
      <c r="M49" s="75">
        <v>2020</v>
      </c>
      <c r="N49" s="75" t="s">
        <v>67</v>
      </c>
      <c r="O49" s="75" t="s">
        <v>64</v>
      </c>
      <c r="P49" s="75" t="s">
        <v>64</v>
      </c>
    </row>
    <row r="50" spans="2:17" ht="96">
      <c r="B50" s="76" t="s">
        <v>244</v>
      </c>
      <c r="C50" s="76" t="s">
        <v>58</v>
      </c>
      <c r="D50" s="76" t="s">
        <v>59</v>
      </c>
      <c r="E50" s="76" t="s">
        <v>1369</v>
      </c>
      <c r="F50" s="76" t="s">
        <v>1370</v>
      </c>
      <c r="G50" s="76" t="s">
        <v>62</v>
      </c>
      <c r="H50" s="76" t="s">
        <v>433</v>
      </c>
      <c r="J50" s="75" t="s">
        <v>64</v>
      </c>
      <c r="K50" s="76" t="s">
        <v>64</v>
      </c>
      <c r="L50" s="75" t="s">
        <v>65</v>
      </c>
      <c r="M50" s="75">
        <v>2020</v>
      </c>
      <c r="N50" s="75" t="s">
        <v>64</v>
      </c>
      <c r="O50" s="75" t="s">
        <v>64</v>
      </c>
      <c r="P50" s="75" t="s">
        <v>64</v>
      </c>
    </row>
    <row r="51" spans="2:17" s="36" customFormat="1" ht="32.1">
      <c r="B51" s="37" t="s">
        <v>331</v>
      </c>
      <c r="C51" s="37" t="s">
        <v>1280</v>
      </c>
      <c r="D51" s="37" t="s">
        <v>649</v>
      </c>
      <c r="E51" s="37" t="s">
        <v>1371</v>
      </c>
      <c r="F51" s="37" t="s">
        <v>1372</v>
      </c>
      <c r="G51" s="37" t="s">
        <v>1373</v>
      </c>
      <c r="H51" s="37"/>
      <c r="I51" s="37" t="s">
        <v>1374</v>
      </c>
      <c r="J51" s="36" t="s">
        <v>64</v>
      </c>
      <c r="K51" s="37" t="s">
        <v>64</v>
      </c>
      <c r="L51" s="36" t="s">
        <v>65</v>
      </c>
      <c r="M51" s="36">
        <v>2021</v>
      </c>
      <c r="N51" s="36" t="s">
        <v>67</v>
      </c>
      <c r="O51" s="36" t="s">
        <v>64</v>
      </c>
      <c r="P51" s="36" t="s">
        <v>64</v>
      </c>
      <c r="Q51" s="37"/>
    </row>
    <row r="52" spans="2:17" ht="63.95">
      <c r="B52" s="76" t="s">
        <v>331</v>
      </c>
      <c r="C52" s="76" t="s">
        <v>58</v>
      </c>
      <c r="D52" s="76" t="s">
        <v>59</v>
      </c>
      <c r="E52" s="76" t="s">
        <v>1375</v>
      </c>
      <c r="F52" s="76" t="s">
        <v>1376</v>
      </c>
      <c r="G52" s="76" t="s">
        <v>1377</v>
      </c>
      <c r="I52" s="76" t="s">
        <v>1374</v>
      </c>
      <c r="J52" s="75" t="s">
        <v>64</v>
      </c>
      <c r="K52" s="76" t="s">
        <v>64</v>
      </c>
      <c r="L52" s="75" t="s">
        <v>65</v>
      </c>
      <c r="M52" s="75">
        <v>2021</v>
      </c>
      <c r="N52" s="75" t="s">
        <v>64</v>
      </c>
      <c r="O52" s="75" t="s">
        <v>64</v>
      </c>
      <c r="P52" s="75" t="s">
        <v>64</v>
      </c>
    </row>
    <row r="53" spans="2:17" ht="63.95">
      <c r="B53" s="76" t="s">
        <v>331</v>
      </c>
      <c r="C53" s="76" t="s">
        <v>1280</v>
      </c>
      <c r="D53" s="76" t="s">
        <v>59</v>
      </c>
      <c r="E53" s="76" t="s">
        <v>1378</v>
      </c>
      <c r="F53" s="76" t="s">
        <v>1379</v>
      </c>
      <c r="G53" s="76" t="s">
        <v>378</v>
      </c>
      <c r="J53" s="75" t="s">
        <v>64</v>
      </c>
      <c r="K53" s="76" t="s">
        <v>64</v>
      </c>
      <c r="L53" s="75" t="s">
        <v>65</v>
      </c>
      <c r="M53" s="75">
        <v>2021</v>
      </c>
      <c r="N53" s="75" t="s">
        <v>67</v>
      </c>
      <c r="O53" s="75" t="s">
        <v>64</v>
      </c>
      <c r="P53" s="75" t="s">
        <v>64</v>
      </c>
    </row>
    <row r="54" spans="2:17" ht="48">
      <c r="B54" s="76" t="s">
        <v>331</v>
      </c>
      <c r="C54" s="76" t="s">
        <v>127</v>
      </c>
      <c r="D54" s="76" t="s">
        <v>59</v>
      </c>
      <c r="E54" s="76" t="s">
        <v>1380</v>
      </c>
      <c r="F54" s="76" t="s">
        <v>1381</v>
      </c>
      <c r="G54" s="76" t="s">
        <v>338</v>
      </c>
      <c r="J54" s="75" t="s">
        <v>64</v>
      </c>
      <c r="K54" s="76" t="s">
        <v>64</v>
      </c>
      <c r="L54" s="75" t="s">
        <v>65</v>
      </c>
      <c r="M54" s="75">
        <v>2020</v>
      </c>
      <c r="N54" s="75" t="s">
        <v>67</v>
      </c>
      <c r="O54" s="75" t="s">
        <v>64</v>
      </c>
      <c r="P54" s="75" t="s">
        <v>64</v>
      </c>
    </row>
    <row r="55" spans="2:17" ht="48">
      <c r="B55" s="76" t="s">
        <v>331</v>
      </c>
      <c r="C55" s="76" t="s">
        <v>127</v>
      </c>
      <c r="D55" s="76" t="s">
        <v>59</v>
      </c>
      <c r="E55" s="76" t="s">
        <v>1382</v>
      </c>
      <c r="F55" s="76" t="s">
        <v>1381</v>
      </c>
      <c r="G55" s="76" t="s">
        <v>163</v>
      </c>
      <c r="J55" s="75" t="s">
        <v>64</v>
      </c>
      <c r="K55" s="76" t="s">
        <v>64</v>
      </c>
      <c r="L55" s="75" t="s">
        <v>65</v>
      </c>
      <c r="M55" s="75">
        <v>2020</v>
      </c>
      <c r="N55" s="75" t="s">
        <v>67</v>
      </c>
      <c r="O55" s="75" t="s">
        <v>64</v>
      </c>
      <c r="P55" s="75" t="s">
        <v>64</v>
      </c>
    </row>
    <row r="56" spans="2:17" ht="80.099999999999994">
      <c r="B56" s="76" t="s">
        <v>331</v>
      </c>
      <c r="C56" s="76" t="s">
        <v>1280</v>
      </c>
      <c r="D56" s="76" t="s">
        <v>927</v>
      </c>
      <c r="E56" s="76" t="s">
        <v>1383</v>
      </c>
      <c r="F56" s="76" t="s">
        <v>1384</v>
      </c>
      <c r="G56" s="76" t="s">
        <v>378</v>
      </c>
      <c r="J56" s="75" t="s">
        <v>64</v>
      </c>
      <c r="K56" s="76" t="s">
        <v>64</v>
      </c>
      <c r="L56" s="75" t="s">
        <v>65</v>
      </c>
      <c r="M56" s="75">
        <v>2021</v>
      </c>
      <c r="N56" s="75" t="s">
        <v>67</v>
      </c>
      <c r="O56" s="75" t="s">
        <v>64</v>
      </c>
      <c r="P56" s="75" t="s">
        <v>64</v>
      </c>
    </row>
    <row r="57" spans="2:17" ht="32.1">
      <c r="B57" s="76" t="s">
        <v>331</v>
      </c>
      <c r="C57" s="76" t="s">
        <v>127</v>
      </c>
      <c r="D57" s="76" t="s">
        <v>927</v>
      </c>
      <c r="E57" s="76" t="s">
        <v>1385</v>
      </c>
      <c r="F57" s="76" t="s">
        <v>1386</v>
      </c>
      <c r="G57" s="76" t="s">
        <v>338</v>
      </c>
      <c r="J57" s="75" t="s">
        <v>64</v>
      </c>
      <c r="K57" s="76" t="s">
        <v>64</v>
      </c>
      <c r="L57" s="75" t="s">
        <v>65</v>
      </c>
      <c r="M57" s="75">
        <v>2020</v>
      </c>
      <c r="N57" s="75" t="s">
        <v>67</v>
      </c>
      <c r="O57" s="75" t="s">
        <v>64</v>
      </c>
      <c r="P57" s="75" t="s">
        <v>64</v>
      </c>
    </row>
    <row r="58" spans="2:17" ht="32.1">
      <c r="B58" s="76" t="s">
        <v>331</v>
      </c>
      <c r="C58" s="76" t="s">
        <v>127</v>
      </c>
      <c r="D58" s="76" t="s">
        <v>927</v>
      </c>
      <c r="E58" s="76" t="s">
        <v>1387</v>
      </c>
      <c r="F58" s="76" t="s">
        <v>1388</v>
      </c>
      <c r="G58" s="76" t="s">
        <v>163</v>
      </c>
      <c r="J58" s="75" t="s">
        <v>64</v>
      </c>
      <c r="K58" s="76" t="s">
        <v>64</v>
      </c>
      <c r="L58" s="75" t="s">
        <v>65</v>
      </c>
      <c r="M58" s="75">
        <v>2020</v>
      </c>
      <c r="N58" s="75" t="s">
        <v>67</v>
      </c>
      <c r="O58" s="75" t="s">
        <v>64</v>
      </c>
      <c r="P58" s="75" t="s">
        <v>64</v>
      </c>
    </row>
    <row r="59" spans="2:17" s="36" customFormat="1" ht="32.1">
      <c r="B59" s="37" t="s">
        <v>389</v>
      </c>
      <c r="C59" s="37" t="s">
        <v>1280</v>
      </c>
      <c r="D59" s="37" t="s">
        <v>59</v>
      </c>
      <c r="E59" s="37" t="s">
        <v>1389</v>
      </c>
      <c r="F59" s="37" t="s">
        <v>1390</v>
      </c>
      <c r="G59" s="37" t="s">
        <v>297</v>
      </c>
      <c r="H59" s="37" t="s">
        <v>433</v>
      </c>
      <c r="I59" s="37"/>
      <c r="J59" s="36" t="s">
        <v>64</v>
      </c>
      <c r="K59" s="37" t="s">
        <v>64</v>
      </c>
      <c r="L59" s="36" t="s">
        <v>65</v>
      </c>
      <c r="M59" s="36">
        <v>2019</v>
      </c>
      <c r="N59" s="36" t="s">
        <v>67</v>
      </c>
      <c r="O59" s="36" t="s">
        <v>64</v>
      </c>
      <c r="P59" s="36" t="s">
        <v>64</v>
      </c>
      <c r="Q59" s="37"/>
    </row>
    <row r="60" spans="2:17" ht="32.1">
      <c r="B60" s="76" t="s">
        <v>389</v>
      </c>
      <c r="C60" s="76" t="s">
        <v>1280</v>
      </c>
      <c r="D60" s="76" t="s">
        <v>59</v>
      </c>
      <c r="E60" s="76" t="s">
        <v>1391</v>
      </c>
      <c r="F60" s="76" t="s">
        <v>1392</v>
      </c>
      <c r="G60" s="76" t="s">
        <v>297</v>
      </c>
      <c r="H60" s="76" t="s">
        <v>433</v>
      </c>
      <c r="J60" s="75" t="s">
        <v>64</v>
      </c>
      <c r="K60" s="76" t="s">
        <v>64</v>
      </c>
      <c r="L60" s="75" t="s">
        <v>65</v>
      </c>
      <c r="M60" s="75">
        <v>2019</v>
      </c>
      <c r="N60" s="75" t="s">
        <v>67</v>
      </c>
      <c r="O60" s="75" t="s">
        <v>64</v>
      </c>
      <c r="P60" s="75" t="s">
        <v>64</v>
      </c>
    </row>
    <row r="61" spans="2:17" ht="15.95">
      <c r="B61" s="76" t="s">
        <v>389</v>
      </c>
      <c r="C61" s="76" t="s">
        <v>1280</v>
      </c>
      <c r="D61" s="76" t="s">
        <v>59</v>
      </c>
      <c r="E61" s="76" t="s">
        <v>1393</v>
      </c>
      <c r="F61" s="76" t="s">
        <v>1394</v>
      </c>
      <c r="G61" s="76" t="s">
        <v>297</v>
      </c>
      <c r="H61" s="76" t="s">
        <v>433</v>
      </c>
      <c r="J61" s="75" t="s">
        <v>64</v>
      </c>
      <c r="K61" s="76" t="s">
        <v>64</v>
      </c>
      <c r="L61" s="75" t="s">
        <v>65</v>
      </c>
      <c r="M61" s="75">
        <v>2019</v>
      </c>
      <c r="N61" s="75" t="s">
        <v>67</v>
      </c>
      <c r="O61" s="75" t="s">
        <v>64</v>
      </c>
      <c r="P61" s="75" t="s">
        <v>64</v>
      </c>
    </row>
    <row r="62" spans="2:17" ht="15.95">
      <c r="B62" s="76" t="s">
        <v>389</v>
      </c>
      <c r="C62" s="76" t="s">
        <v>1280</v>
      </c>
      <c r="D62" s="76" t="s">
        <v>59</v>
      </c>
      <c r="E62" s="76" t="s">
        <v>1395</v>
      </c>
      <c r="F62" s="76" t="s">
        <v>1394</v>
      </c>
      <c r="G62" s="76" t="s">
        <v>394</v>
      </c>
      <c r="H62" s="76" t="s">
        <v>433</v>
      </c>
      <c r="J62" s="75" t="s">
        <v>64</v>
      </c>
      <c r="K62" s="76" t="s">
        <v>64</v>
      </c>
      <c r="L62" s="75" t="s">
        <v>65</v>
      </c>
      <c r="M62" s="75">
        <v>2019</v>
      </c>
      <c r="N62" s="75" t="s">
        <v>67</v>
      </c>
      <c r="O62" s="75" t="s">
        <v>64</v>
      </c>
      <c r="P62" s="75" t="s">
        <v>64</v>
      </c>
    </row>
    <row r="63" spans="2:17" ht="32.1">
      <c r="B63" s="76" t="s">
        <v>389</v>
      </c>
      <c r="C63" s="76" t="s">
        <v>1396</v>
      </c>
      <c r="D63" s="76" t="s">
        <v>59</v>
      </c>
      <c r="E63" s="76" t="s">
        <v>1397</v>
      </c>
      <c r="F63" s="76" t="s">
        <v>1398</v>
      </c>
      <c r="G63" s="76" t="s">
        <v>297</v>
      </c>
      <c r="H63" s="76" t="s">
        <v>73</v>
      </c>
      <c r="I63" s="76" t="s">
        <v>1399</v>
      </c>
      <c r="J63" s="75" t="s">
        <v>64</v>
      </c>
      <c r="K63" s="76" t="s">
        <v>64</v>
      </c>
      <c r="L63" s="75" t="s">
        <v>65</v>
      </c>
      <c r="M63" s="75">
        <v>2017</v>
      </c>
      <c r="N63" s="75" t="s">
        <v>67</v>
      </c>
      <c r="O63" s="75" t="s">
        <v>64</v>
      </c>
      <c r="P63" s="75" t="s">
        <v>64</v>
      </c>
    </row>
    <row r="64" spans="2:17" ht="32.1">
      <c r="B64" s="76" t="s">
        <v>389</v>
      </c>
      <c r="C64" s="76" t="s">
        <v>1396</v>
      </c>
      <c r="D64" s="76" t="s">
        <v>59</v>
      </c>
      <c r="E64" s="78" t="s">
        <v>1400</v>
      </c>
      <c r="F64" s="76" t="s">
        <v>1398</v>
      </c>
      <c r="G64" s="76" t="s">
        <v>394</v>
      </c>
      <c r="H64" s="76" t="s">
        <v>73</v>
      </c>
      <c r="I64" s="76" t="s">
        <v>1399</v>
      </c>
      <c r="J64" s="75" t="s">
        <v>64</v>
      </c>
      <c r="K64" s="76" t="s">
        <v>64</v>
      </c>
      <c r="L64" s="75" t="s">
        <v>65</v>
      </c>
      <c r="M64" s="75">
        <v>2017</v>
      </c>
      <c r="N64" s="75" t="s">
        <v>67</v>
      </c>
      <c r="O64" s="75" t="s">
        <v>64</v>
      </c>
      <c r="P64" s="75" t="s">
        <v>64</v>
      </c>
    </row>
    <row r="65" spans="2:17" ht="32.1">
      <c r="B65" s="76" t="s">
        <v>389</v>
      </c>
      <c r="C65" s="76" t="s">
        <v>1280</v>
      </c>
      <c r="D65" s="76" t="s">
        <v>59</v>
      </c>
      <c r="E65" s="78" t="s">
        <v>1401</v>
      </c>
      <c r="F65" s="76" t="s">
        <v>1402</v>
      </c>
      <c r="G65" s="76" t="s">
        <v>1403</v>
      </c>
      <c r="I65" s="76" t="s">
        <v>1404</v>
      </c>
      <c r="J65" s="75" t="s">
        <v>64</v>
      </c>
      <c r="K65" s="76" t="s">
        <v>64</v>
      </c>
      <c r="L65" s="75" t="s">
        <v>1405</v>
      </c>
      <c r="M65" s="75">
        <v>2017</v>
      </c>
      <c r="N65" s="75" t="s">
        <v>67</v>
      </c>
      <c r="O65" s="75" t="s">
        <v>64</v>
      </c>
      <c r="P65" s="75" t="s">
        <v>64</v>
      </c>
    </row>
    <row r="66" spans="2:17" ht="15.95">
      <c r="B66" s="76" t="s">
        <v>389</v>
      </c>
      <c r="C66" s="76" t="s">
        <v>1275</v>
      </c>
      <c r="D66" s="76" t="s">
        <v>59</v>
      </c>
      <c r="E66" s="76" t="s">
        <v>1275</v>
      </c>
      <c r="F66" s="76" t="s">
        <v>1406</v>
      </c>
      <c r="G66" s="76" t="s">
        <v>394</v>
      </c>
      <c r="I66" s="76" t="s">
        <v>1407</v>
      </c>
      <c r="J66" s="75" t="s">
        <v>64</v>
      </c>
      <c r="K66" s="76" t="s">
        <v>64</v>
      </c>
      <c r="L66" s="75" t="s">
        <v>1272</v>
      </c>
      <c r="M66" s="75">
        <v>2016</v>
      </c>
      <c r="N66" s="75" t="s">
        <v>67</v>
      </c>
      <c r="O66" s="75" t="s">
        <v>64</v>
      </c>
      <c r="P66" s="75" t="s">
        <v>64</v>
      </c>
    </row>
    <row r="67" spans="2:17" ht="32.1">
      <c r="B67" s="76" t="s">
        <v>389</v>
      </c>
      <c r="C67" s="76" t="s">
        <v>1280</v>
      </c>
      <c r="D67" s="76" t="s">
        <v>59</v>
      </c>
      <c r="E67" s="76" t="s">
        <v>1408</v>
      </c>
      <c r="F67" s="76" t="s">
        <v>1409</v>
      </c>
      <c r="G67" s="76" t="s">
        <v>297</v>
      </c>
      <c r="H67" s="76" t="s">
        <v>433</v>
      </c>
      <c r="J67" s="75" t="s">
        <v>64</v>
      </c>
      <c r="K67" s="76" t="s">
        <v>64</v>
      </c>
      <c r="L67" s="75" t="s">
        <v>65</v>
      </c>
      <c r="M67" s="75">
        <v>2019</v>
      </c>
      <c r="N67" s="75" t="s">
        <v>67</v>
      </c>
      <c r="O67" s="75" t="s">
        <v>64</v>
      </c>
      <c r="P67" s="75" t="s">
        <v>64</v>
      </c>
    </row>
    <row r="68" spans="2:17" ht="32.1">
      <c r="B68" s="76" t="s">
        <v>389</v>
      </c>
      <c r="C68" s="76" t="s">
        <v>1280</v>
      </c>
      <c r="D68" s="76" t="s">
        <v>59</v>
      </c>
      <c r="E68" s="76" t="s">
        <v>1410</v>
      </c>
      <c r="F68" s="76" t="s">
        <v>1409</v>
      </c>
      <c r="G68" s="76" t="s">
        <v>394</v>
      </c>
      <c r="H68" s="76" t="s">
        <v>433</v>
      </c>
      <c r="J68" s="75" t="s">
        <v>64</v>
      </c>
      <c r="K68" s="76" t="s">
        <v>64</v>
      </c>
      <c r="L68" s="75" t="s">
        <v>65</v>
      </c>
      <c r="M68" s="75">
        <v>2019</v>
      </c>
      <c r="N68" s="75" t="s">
        <v>67</v>
      </c>
      <c r="O68" s="75" t="s">
        <v>64</v>
      </c>
      <c r="P68" s="75" t="s">
        <v>64</v>
      </c>
    </row>
    <row r="69" spans="2:17" ht="32.1">
      <c r="B69" s="76" t="s">
        <v>389</v>
      </c>
      <c r="C69" s="76" t="s">
        <v>1268</v>
      </c>
      <c r="D69" s="76" t="s">
        <v>59</v>
      </c>
      <c r="E69" s="76" t="s">
        <v>1411</v>
      </c>
      <c r="F69" s="76" t="s">
        <v>1412</v>
      </c>
      <c r="G69" s="76" t="s">
        <v>297</v>
      </c>
      <c r="H69" s="76" t="s">
        <v>433</v>
      </c>
      <c r="J69" s="75" t="s">
        <v>64</v>
      </c>
      <c r="K69" s="76" t="s">
        <v>64</v>
      </c>
      <c r="L69" s="75" t="s">
        <v>65</v>
      </c>
      <c r="M69" s="75">
        <v>2019</v>
      </c>
      <c r="N69" s="75" t="s">
        <v>67</v>
      </c>
      <c r="O69" s="75" t="s">
        <v>64</v>
      </c>
      <c r="P69" s="75" t="s">
        <v>64</v>
      </c>
    </row>
    <row r="70" spans="2:17" ht="32.1">
      <c r="B70" s="76" t="s">
        <v>389</v>
      </c>
      <c r="C70" s="76" t="s">
        <v>1268</v>
      </c>
      <c r="D70" s="76" t="s">
        <v>59</v>
      </c>
      <c r="E70" s="76" t="s">
        <v>1413</v>
      </c>
      <c r="F70" s="76" t="s">
        <v>1412</v>
      </c>
      <c r="G70" s="76" t="s">
        <v>297</v>
      </c>
      <c r="H70" s="76" t="s">
        <v>433</v>
      </c>
      <c r="J70" s="75" t="s">
        <v>64</v>
      </c>
      <c r="K70" s="76" t="s">
        <v>64</v>
      </c>
      <c r="L70" s="75" t="s">
        <v>65</v>
      </c>
      <c r="M70" s="75">
        <v>2019</v>
      </c>
      <c r="N70" s="75" t="s">
        <v>67</v>
      </c>
      <c r="O70" s="75" t="s">
        <v>64</v>
      </c>
      <c r="P70" s="75" t="s">
        <v>64</v>
      </c>
    </row>
    <row r="71" spans="2:17" ht="32.1">
      <c r="B71" s="76" t="s">
        <v>389</v>
      </c>
      <c r="C71" s="76" t="s">
        <v>1268</v>
      </c>
      <c r="D71" s="76" t="s">
        <v>59</v>
      </c>
      <c r="E71" s="76" t="s">
        <v>1414</v>
      </c>
      <c r="F71" s="76" t="s">
        <v>1415</v>
      </c>
      <c r="G71" s="76" t="s">
        <v>297</v>
      </c>
      <c r="H71" s="76" t="s">
        <v>433</v>
      </c>
      <c r="J71" s="75" t="s">
        <v>64</v>
      </c>
      <c r="K71" s="76" t="s">
        <v>64</v>
      </c>
      <c r="L71" s="75" t="s">
        <v>65</v>
      </c>
      <c r="M71" s="75">
        <v>2019</v>
      </c>
      <c r="N71" s="75" t="s">
        <v>67</v>
      </c>
      <c r="O71" s="75" t="s">
        <v>64</v>
      </c>
      <c r="P71" s="75" t="s">
        <v>64</v>
      </c>
    </row>
    <row r="72" spans="2:17" ht="32.1">
      <c r="B72" s="76" t="s">
        <v>389</v>
      </c>
      <c r="C72" s="76" t="s">
        <v>1268</v>
      </c>
      <c r="D72" s="76" t="s">
        <v>59</v>
      </c>
      <c r="E72" s="76" t="s">
        <v>1416</v>
      </c>
      <c r="F72" s="76" t="s">
        <v>1415</v>
      </c>
      <c r="G72" s="76" t="s">
        <v>394</v>
      </c>
      <c r="H72" s="76" t="s">
        <v>433</v>
      </c>
      <c r="J72" s="75" t="s">
        <v>64</v>
      </c>
      <c r="K72" s="76" t="s">
        <v>64</v>
      </c>
      <c r="L72" s="75" t="s">
        <v>65</v>
      </c>
      <c r="M72" s="75">
        <v>2019</v>
      </c>
      <c r="N72" s="75" t="s">
        <v>67</v>
      </c>
      <c r="O72" s="75" t="s">
        <v>64</v>
      </c>
      <c r="P72" s="75" t="s">
        <v>64</v>
      </c>
    </row>
    <row r="73" spans="2:17" ht="48">
      <c r="B73" s="76" t="s">
        <v>389</v>
      </c>
      <c r="C73" s="76" t="s">
        <v>1268</v>
      </c>
      <c r="D73" s="76" t="s">
        <v>59</v>
      </c>
      <c r="E73" s="76" t="s">
        <v>1417</v>
      </c>
      <c r="F73" s="76" t="s">
        <v>1418</v>
      </c>
      <c r="G73" s="76" t="s">
        <v>1403</v>
      </c>
      <c r="H73" s="76" t="s">
        <v>433</v>
      </c>
      <c r="I73" s="76" t="s">
        <v>1419</v>
      </c>
      <c r="J73" s="75" t="s">
        <v>64</v>
      </c>
      <c r="K73" s="76" t="s">
        <v>64</v>
      </c>
      <c r="L73" s="75" t="s">
        <v>65</v>
      </c>
      <c r="M73" s="75">
        <v>2019</v>
      </c>
      <c r="N73" s="75" t="s">
        <v>67</v>
      </c>
      <c r="O73" s="75" t="s">
        <v>64</v>
      </c>
      <c r="P73" s="75" t="s">
        <v>64</v>
      </c>
    </row>
    <row r="74" spans="2:17" ht="15.95">
      <c r="B74" s="76" t="s">
        <v>389</v>
      </c>
      <c r="C74" s="76" t="s">
        <v>1280</v>
      </c>
      <c r="D74" s="76" t="s">
        <v>59</v>
      </c>
      <c r="E74" s="76" t="s">
        <v>1420</v>
      </c>
      <c r="F74" s="76" t="s">
        <v>1421</v>
      </c>
      <c r="G74" s="76" t="s">
        <v>297</v>
      </c>
      <c r="H74" s="76" t="s">
        <v>433</v>
      </c>
      <c r="J74" s="75" t="s">
        <v>64</v>
      </c>
      <c r="K74" s="76" t="s">
        <v>64</v>
      </c>
      <c r="L74" s="75" t="s">
        <v>65</v>
      </c>
      <c r="M74" s="75">
        <v>2019</v>
      </c>
      <c r="N74" s="75" t="s">
        <v>67</v>
      </c>
      <c r="O74" s="75" t="s">
        <v>64</v>
      </c>
      <c r="P74" s="75" t="s">
        <v>64</v>
      </c>
    </row>
    <row r="75" spans="2:17" ht="15.95">
      <c r="B75" s="76" t="s">
        <v>389</v>
      </c>
      <c r="C75" s="76" t="s">
        <v>1280</v>
      </c>
      <c r="D75" s="76" t="s">
        <v>59</v>
      </c>
      <c r="E75" s="76" t="s">
        <v>1422</v>
      </c>
      <c r="F75" s="76" t="s">
        <v>1421</v>
      </c>
      <c r="G75" s="76" t="s">
        <v>394</v>
      </c>
      <c r="H75" s="76" t="s">
        <v>433</v>
      </c>
      <c r="J75" s="75" t="s">
        <v>64</v>
      </c>
      <c r="K75" s="76" t="s">
        <v>64</v>
      </c>
      <c r="L75" s="75" t="s">
        <v>65</v>
      </c>
      <c r="M75" s="75">
        <v>2019</v>
      </c>
      <c r="N75" s="75" t="s">
        <v>67</v>
      </c>
      <c r="O75" s="75" t="s">
        <v>64</v>
      </c>
      <c r="P75" s="75" t="s">
        <v>64</v>
      </c>
    </row>
    <row r="76" spans="2:17" ht="32.1">
      <c r="B76" s="76" t="s">
        <v>389</v>
      </c>
      <c r="C76" s="76" t="s">
        <v>1280</v>
      </c>
      <c r="D76" s="76" t="s">
        <v>59</v>
      </c>
      <c r="E76" s="76" t="s">
        <v>1423</v>
      </c>
      <c r="F76" s="76" t="s">
        <v>1424</v>
      </c>
      <c r="G76" s="76" t="s">
        <v>1403</v>
      </c>
      <c r="H76" s="76" t="s">
        <v>433</v>
      </c>
      <c r="J76" s="75" t="s">
        <v>64</v>
      </c>
      <c r="K76" s="76" t="s">
        <v>64</v>
      </c>
      <c r="L76" s="75" t="s">
        <v>65</v>
      </c>
      <c r="M76" s="75">
        <v>2019</v>
      </c>
      <c r="N76" s="75" t="s">
        <v>67</v>
      </c>
      <c r="O76" s="75" t="s">
        <v>64</v>
      </c>
      <c r="P76" s="75" t="s">
        <v>64</v>
      </c>
    </row>
    <row r="77" spans="2:17" ht="32.1">
      <c r="B77" s="76" t="s">
        <v>389</v>
      </c>
      <c r="C77" s="76" t="s">
        <v>1425</v>
      </c>
      <c r="D77" s="76" t="s">
        <v>59</v>
      </c>
      <c r="E77" s="76" t="s">
        <v>1426</v>
      </c>
      <c r="F77" s="76" t="s">
        <v>1427</v>
      </c>
      <c r="G77" s="76" t="s">
        <v>394</v>
      </c>
      <c r="H77" s="76" t="s">
        <v>433</v>
      </c>
      <c r="J77" s="75" t="s">
        <v>64</v>
      </c>
      <c r="K77" s="76" t="s">
        <v>64</v>
      </c>
      <c r="L77" s="75" t="s">
        <v>65</v>
      </c>
      <c r="M77" s="75">
        <v>2019</v>
      </c>
      <c r="N77" s="75" t="s">
        <v>67</v>
      </c>
      <c r="O77" s="75" t="s">
        <v>64</v>
      </c>
      <c r="P77" s="75" t="s">
        <v>64</v>
      </c>
    </row>
    <row r="78" spans="2:17" ht="32.1">
      <c r="B78" s="76" t="s">
        <v>389</v>
      </c>
      <c r="C78" s="76" t="s">
        <v>1425</v>
      </c>
      <c r="D78" s="76" t="s">
        <v>59</v>
      </c>
      <c r="E78" s="76" t="s">
        <v>1428</v>
      </c>
      <c r="F78" s="76" t="s">
        <v>1429</v>
      </c>
      <c r="G78" s="76" t="s">
        <v>394</v>
      </c>
      <c r="H78" s="76" t="s">
        <v>433</v>
      </c>
      <c r="J78" s="75" t="s">
        <v>64</v>
      </c>
      <c r="K78" s="76" t="s">
        <v>64</v>
      </c>
      <c r="L78" s="75" t="s">
        <v>65</v>
      </c>
      <c r="M78" s="75">
        <v>2019</v>
      </c>
      <c r="N78" s="75" t="s">
        <v>67</v>
      </c>
      <c r="O78" s="75" t="s">
        <v>64</v>
      </c>
      <c r="P78" s="75" t="s">
        <v>64</v>
      </c>
    </row>
    <row r="79" spans="2:17" ht="32.1">
      <c r="B79" s="76" t="s">
        <v>389</v>
      </c>
      <c r="C79" s="76" t="s">
        <v>1425</v>
      </c>
      <c r="D79" s="76" t="s">
        <v>59</v>
      </c>
      <c r="E79" s="76" t="s">
        <v>1430</v>
      </c>
      <c r="F79" s="76" t="s">
        <v>1431</v>
      </c>
      <c r="G79" s="76" t="s">
        <v>394</v>
      </c>
      <c r="H79" s="76" t="s">
        <v>433</v>
      </c>
      <c r="J79" s="75" t="s">
        <v>64</v>
      </c>
      <c r="K79" s="76" t="s">
        <v>64</v>
      </c>
      <c r="L79" s="75" t="s">
        <v>65</v>
      </c>
      <c r="M79" s="75">
        <v>2019</v>
      </c>
      <c r="N79" s="75" t="s">
        <v>67</v>
      </c>
      <c r="O79" s="75" t="s">
        <v>64</v>
      </c>
      <c r="P79" s="75" t="s">
        <v>64</v>
      </c>
    </row>
    <row r="80" spans="2:17" s="80" customFormat="1" ht="32.1">
      <c r="B80" s="79" t="s">
        <v>389</v>
      </c>
      <c r="C80" s="76" t="s">
        <v>1268</v>
      </c>
      <c r="D80" s="76" t="s">
        <v>59</v>
      </c>
      <c r="E80" s="79" t="s">
        <v>1036</v>
      </c>
      <c r="F80" s="79" t="s">
        <v>1432</v>
      </c>
      <c r="G80" s="79" t="s">
        <v>394</v>
      </c>
      <c r="H80" s="79" t="s">
        <v>433</v>
      </c>
      <c r="I80" s="79"/>
      <c r="J80" s="80" t="s">
        <v>64</v>
      </c>
      <c r="K80" s="79" t="s">
        <v>64</v>
      </c>
      <c r="L80" s="80" t="s">
        <v>65</v>
      </c>
      <c r="M80" s="80">
        <v>2020</v>
      </c>
      <c r="N80" s="80" t="s">
        <v>64</v>
      </c>
      <c r="O80" s="75" t="s">
        <v>64</v>
      </c>
      <c r="P80" s="75" t="s">
        <v>64</v>
      </c>
      <c r="Q80" s="79"/>
    </row>
    <row r="81" spans="2:17" s="36" customFormat="1" ht="32.1">
      <c r="B81" s="37" t="s">
        <v>564</v>
      </c>
      <c r="C81" s="37" t="s">
        <v>1280</v>
      </c>
      <c r="D81" s="37" t="s">
        <v>59</v>
      </c>
      <c r="E81" s="37" t="s">
        <v>1433</v>
      </c>
      <c r="F81" s="37" t="s">
        <v>1434</v>
      </c>
      <c r="G81" s="37" t="s">
        <v>1435</v>
      </c>
      <c r="H81" s="37" t="s">
        <v>516</v>
      </c>
      <c r="I81" s="37"/>
      <c r="J81" s="36" t="s">
        <v>64</v>
      </c>
      <c r="K81" s="37" t="s">
        <v>64</v>
      </c>
      <c r="L81" s="36" t="s">
        <v>65</v>
      </c>
      <c r="M81" s="36">
        <v>2010</v>
      </c>
      <c r="N81" s="36" t="s">
        <v>64</v>
      </c>
      <c r="O81" s="36" t="s">
        <v>64</v>
      </c>
      <c r="P81" s="36" t="s">
        <v>64</v>
      </c>
      <c r="Q81" s="37"/>
    </row>
    <row r="82" spans="2:17" s="36" customFormat="1" ht="51" customHeight="1">
      <c r="B82" s="37" t="s">
        <v>1436</v>
      </c>
      <c r="C82" s="37" t="s">
        <v>1324</v>
      </c>
      <c r="D82" s="37" t="s">
        <v>440</v>
      </c>
      <c r="E82" s="37" t="s">
        <v>1437</v>
      </c>
      <c r="F82" s="37" t="s">
        <v>1438</v>
      </c>
      <c r="G82" s="37" t="s">
        <v>62</v>
      </c>
      <c r="H82" s="37" t="s">
        <v>930</v>
      </c>
      <c r="I82" s="37"/>
      <c r="J82" s="36" t="s">
        <v>64</v>
      </c>
      <c r="K82" s="37" t="s">
        <v>64</v>
      </c>
      <c r="L82" s="36" t="s">
        <v>65</v>
      </c>
      <c r="M82" s="36">
        <v>2021</v>
      </c>
      <c r="N82" s="36" t="s">
        <v>64</v>
      </c>
      <c r="O82" s="36" t="s">
        <v>64</v>
      </c>
      <c r="P82" s="36" t="s">
        <v>64</v>
      </c>
      <c r="Q82" s="37"/>
    </row>
    <row r="83" spans="2:17" ht="94.5" customHeight="1">
      <c r="B83" s="76" t="s">
        <v>1118</v>
      </c>
      <c r="C83" s="76" t="s">
        <v>1324</v>
      </c>
      <c r="D83" s="76" t="s">
        <v>440</v>
      </c>
      <c r="E83" s="76" t="s">
        <v>1119</v>
      </c>
      <c r="F83" s="76" t="s">
        <v>1439</v>
      </c>
      <c r="G83" s="76" t="s">
        <v>62</v>
      </c>
      <c r="H83" s="76" t="s">
        <v>433</v>
      </c>
      <c r="J83" s="75" t="s">
        <v>64</v>
      </c>
      <c r="K83" s="76" t="s">
        <v>64</v>
      </c>
      <c r="L83" s="75" t="s">
        <v>65</v>
      </c>
      <c r="M83" s="75">
        <v>2021</v>
      </c>
      <c r="N83" s="75" t="s">
        <v>64</v>
      </c>
      <c r="O83" s="75" t="s">
        <v>64</v>
      </c>
      <c r="P83" s="75" t="s">
        <v>64</v>
      </c>
    </row>
    <row r="84" spans="2:17" ht="94.5" customHeight="1">
      <c r="B84" s="76" t="s">
        <v>1118</v>
      </c>
      <c r="C84" s="76" t="s">
        <v>1324</v>
      </c>
      <c r="D84" s="76" t="s">
        <v>440</v>
      </c>
      <c r="E84" s="76" t="s">
        <v>1122</v>
      </c>
      <c r="F84" s="76" t="s">
        <v>1440</v>
      </c>
      <c r="G84" s="76" t="s">
        <v>62</v>
      </c>
      <c r="H84" s="76" t="s">
        <v>433</v>
      </c>
      <c r="J84" s="75" t="s">
        <v>64</v>
      </c>
      <c r="K84" s="76" t="s">
        <v>64</v>
      </c>
      <c r="L84" s="75" t="s">
        <v>65</v>
      </c>
      <c r="M84" s="75">
        <v>2021</v>
      </c>
      <c r="N84" s="75" t="s">
        <v>64</v>
      </c>
      <c r="O84" s="75" t="s">
        <v>64</v>
      </c>
      <c r="P84" s="75" t="s">
        <v>64</v>
      </c>
    </row>
    <row r="85" spans="2:17" ht="94.5" customHeight="1">
      <c r="B85" s="76" t="s">
        <v>1118</v>
      </c>
      <c r="C85" s="76" t="s">
        <v>1299</v>
      </c>
      <c r="D85" s="76" t="s">
        <v>275</v>
      </c>
      <c r="E85" s="76" t="s">
        <v>1441</v>
      </c>
      <c r="F85" s="76" t="s">
        <v>1442</v>
      </c>
      <c r="G85" s="76" t="s">
        <v>486</v>
      </c>
      <c r="H85" s="76" t="s">
        <v>433</v>
      </c>
      <c r="J85" s="75" t="s">
        <v>64</v>
      </c>
      <c r="K85" s="76" t="s">
        <v>64</v>
      </c>
      <c r="L85" s="75" t="s">
        <v>65</v>
      </c>
      <c r="M85" s="75">
        <v>2021</v>
      </c>
      <c r="N85" s="75" t="s">
        <v>64</v>
      </c>
      <c r="O85" s="75" t="s">
        <v>64</v>
      </c>
      <c r="P85" s="75" t="s">
        <v>64</v>
      </c>
    </row>
    <row r="86" spans="2:17" ht="94.5" customHeight="1">
      <c r="B86" s="76" t="s">
        <v>1118</v>
      </c>
      <c r="C86" s="76" t="s">
        <v>1299</v>
      </c>
      <c r="D86" s="76" t="s">
        <v>275</v>
      </c>
      <c r="E86" s="76" t="s">
        <v>1443</v>
      </c>
      <c r="F86" s="76" t="s">
        <v>1444</v>
      </c>
      <c r="G86" s="76" t="s">
        <v>486</v>
      </c>
      <c r="H86" s="76" t="s">
        <v>433</v>
      </c>
      <c r="J86" s="75" t="s">
        <v>64</v>
      </c>
      <c r="K86" s="76" t="s">
        <v>64</v>
      </c>
      <c r="L86" s="75" t="s">
        <v>65</v>
      </c>
      <c r="M86" s="75">
        <v>2021</v>
      </c>
      <c r="N86" s="75" t="s">
        <v>64</v>
      </c>
      <c r="O86" s="75" t="s">
        <v>64</v>
      </c>
      <c r="P86" s="75" t="s">
        <v>64</v>
      </c>
    </row>
    <row r="87" spans="2:17" ht="94.5" customHeight="1">
      <c r="B87" s="76" t="s">
        <v>1118</v>
      </c>
      <c r="C87" s="76" t="s">
        <v>1343</v>
      </c>
      <c r="D87" s="76" t="s">
        <v>275</v>
      </c>
      <c r="E87" s="76" t="s">
        <v>1445</v>
      </c>
      <c r="F87" s="76" t="s">
        <v>1446</v>
      </c>
      <c r="G87" s="76" t="s">
        <v>527</v>
      </c>
      <c r="H87" s="76" t="s">
        <v>433</v>
      </c>
      <c r="J87" s="75" t="s">
        <v>64</v>
      </c>
      <c r="K87" s="76" t="s">
        <v>64</v>
      </c>
      <c r="L87" s="75" t="s">
        <v>65</v>
      </c>
      <c r="M87" s="75">
        <v>2021</v>
      </c>
      <c r="N87" s="75" t="s">
        <v>64</v>
      </c>
      <c r="O87" s="75" t="s">
        <v>64</v>
      </c>
      <c r="P87" s="75" t="s">
        <v>64</v>
      </c>
    </row>
    <row r="88" spans="2:17" ht="94.5" customHeight="1">
      <c r="B88" s="76" t="s">
        <v>1118</v>
      </c>
      <c r="C88" s="76" t="s">
        <v>1447</v>
      </c>
      <c r="D88" s="76" t="s">
        <v>275</v>
      </c>
      <c r="E88" s="76" t="s">
        <v>1448</v>
      </c>
      <c r="F88" s="76" t="s">
        <v>1449</v>
      </c>
      <c r="G88" s="76" t="s">
        <v>527</v>
      </c>
      <c r="H88" s="76" t="s">
        <v>433</v>
      </c>
      <c r="J88" s="75" t="s">
        <v>64</v>
      </c>
      <c r="K88" s="76" t="s">
        <v>64</v>
      </c>
      <c r="L88" s="75" t="s">
        <v>65</v>
      </c>
      <c r="M88" s="75">
        <v>2021</v>
      </c>
      <c r="N88" s="75" t="s">
        <v>64</v>
      </c>
      <c r="O88" s="75" t="s">
        <v>64</v>
      </c>
      <c r="P88" s="75" t="s">
        <v>64</v>
      </c>
    </row>
    <row r="89" spans="2:17" ht="94.5" customHeight="1">
      <c r="B89" s="76" t="s">
        <v>1118</v>
      </c>
      <c r="C89" s="76" t="s">
        <v>1324</v>
      </c>
      <c r="D89" s="76" t="s">
        <v>275</v>
      </c>
      <c r="E89" s="76" t="s">
        <v>1450</v>
      </c>
      <c r="F89" s="76" t="s">
        <v>1451</v>
      </c>
      <c r="G89" s="76" t="s">
        <v>1135</v>
      </c>
      <c r="H89" s="76" t="s">
        <v>433</v>
      </c>
      <c r="J89" s="75" t="s">
        <v>64</v>
      </c>
      <c r="K89" s="76" t="s">
        <v>64</v>
      </c>
      <c r="L89" s="75" t="s">
        <v>65</v>
      </c>
      <c r="M89" s="75">
        <v>2021</v>
      </c>
      <c r="N89" s="75" t="s">
        <v>64</v>
      </c>
      <c r="O89" s="75" t="s">
        <v>64</v>
      </c>
      <c r="P89" s="75" t="s">
        <v>64</v>
      </c>
    </row>
    <row r="90" spans="2:17" ht="94.5" customHeight="1">
      <c r="B90" s="76" t="s">
        <v>1118</v>
      </c>
      <c r="C90" s="76" t="s">
        <v>1324</v>
      </c>
      <c r="D90" s="76" t="s">
        <v>275</v>
      </c>
      <c r="E90" s="76" t="s">
        <v>1131</v>
      </c>
      <c r="F90" s="76" t="s">
        <v>1452</v>
      </c>
      <c r="G90" s="76" t="s">
        <v>1133</v>
      </c>
      <c r="H90" s="76" t="s">
        <v>433</v>
      </c>
      <c r="J90" s="75" t="s">
        <v>64</v>
      </c>
      <c r="K90" s="76" t="s">
        <v>64</v>
      </c>
      <c r="L90" s="75" t="s">
        <v>65</v>
      </c>
      <c r="M90" s="75">
        <v>2021</v>
      </c>
      <c r="N90" s="75" t="s">
        <v>64</v>
      </c>
      <c r="O90" s="75" t="s">
        <v>64</v>
      </c>
      <c r="P90" s="75" t="s">
        <v>64</v>
      </c>
    </row>
    <row r="91" spans="2:17" ht="94.5" customHeight="1">
      <c r="B91" s="76" t="s">
        <v>1118</v>
      </c>
      <c r="C91" s="76" t="s">
        <v>1299</v>
      </c>
      <c r="D91" s="76" t="s">
        <v>128</v>
      </c>
      <c r="E91" s="76" t="s">
        <v>1453</v>
      </c>
      <c r="G91" s="76" t="s">
        <v>62</v>
      </c>
      <c r="H91" s="76" t="s">
        <v>433</v>
      </c>
      <c r="I91" s="76" t="s">
        <v>1454</v>
      </c>
      <c r="J91" s="75" t="s">
        <v>64</v>
      </c>
      <c r="K91" s="76" t="s">
        <v>64</v>
      </c>
      <c r="L91" s="75" t="s">
        <v>65</v>
      </c>
      <c r="M91" s="75">
        <v>2021</v>
      </c>
      <c r="N91" s="75" t="s">
        <v>64</v>
      </c>
      <c r="O91" s="75" t="s">
        <v>64</v>
      </c>
      <c r="P91" s="75" t="s">
        <v>64</v>
      </c>
    </row>
    <row r="92" spans="2:17" ht="94.5" customHeight="1">
      <c r="B92" s="76" t="s">
        <v>1118</v>
      </c>
      <c r="C92" s="76" t="s">
        <v>1268</v>
      </c>
      <c r="D92" s="76" t="s">
        <v>440</v>
      </c>
      <c r="E92" s="76" t="s">
        <v>1455</v>
      </c>
      <c r="F92" s="76" t="s">
        <v>1456</v>
      </c>
      <c r="G92" s="76" t="s">
        <v>1457</v>
      </c>
      <c r="I92" s="76" t="s">
        <v>1458</v>
      </c>
      <c r="J92" s="75" t="s">
        <v>64</v>
      </c>
      <c r="K92" s="76" t="s">
        <v>64</v>
      </c>
      <c r="L92" s="75" t="s">
        <v>65</v>
      </c>
      <c r="M92" s="75">
        <v>2023</v>
      </c>
      <c r="N92" s="75" t="s">
        <v>64</v>
      </c>
      <c r="O92" s="75" t="s">
        <v>64</v>
      </c>
      <c r="P92" s="75" t="s">
        <v>64</v>
      </c>
    </row>
    <row r="93" spans="2:17" ht="94.5" customHeight="1">
      <c r="B93" s="76" t="s">
        <v>1118</v>
      </c>
      <c r="C93" s="76" t="s">
        <v>1268</v>
      </c>
      <c r="D93" s="76" t="s">
        <v>440</v>
      </c>
      <c r="E93" s="76" t="s">
        <v>1459</v>
      </c>
      <c r="F93" s="76" t="s">
        <v>1460</v>
      </c>
      <c r="G93" s="76" t="s">
        <v>62</v>
      </c>
      <c r="H93" s="76" t="s">
        <v>433</v>
      </c>
      <c r="J93" s="75" t="s">
        <v>64</v>
      </c>
      <c r="K93" s="76" t="s">
        <v>64</v>
      </c>
      <c r="L93" s="75" t="s">
        <v>65</v>
      </c>
      <c r="M93" s="75">
        <v>2021</v>
      </c>
      <c r="N93" s="75" t="s">
        <v>67</v>
      </c>
      <c r="O93" s="75" t="s">
        <v>64</v>
      </c>
      <c r="P93" s="75" t="s">
        <v>64</v>
      </c>
    </row>
    <row r="94" spans="2:17" ht="94.5" customHeight="1">
      <c r="B94" s="76" t="s">
        <v>1118</v>
      </c>
      <c r="C94" s="76" t="s">
        <v>1268</v>
      </c>
      <c r="D94" s="76" t="s">
        <v>440</v>
      </c>
      <c r="E94" s="76" t="s">
        <v>1461</v>
      </c>
      <c r="F94" s="76" t="s">
        <v>1462</v>
      </c>
      <c r="G94" s="76" t="s">
        <v>471</v>
      </c>
      <c r="H94" s="76" t="s">
        <v>433</v>
      </c>
      <c r="J94" s="75" t="s">
        <v>64</v>
      </c>
      <c r="K94" s="76" t="s">
        <v>64</v>
      </c>
      <c r="L94" s="75" t="s">
        <v>65</v>
      </c>
      <c r="M94" s="75">
        <v>2020</v>
      </c>
      <c r="N94" s="75" t="s">
        <v>67</v>
      </c>
      <c r="O94" s="75" t="s">
        <v>64</v>
      </c>
      <c r="P94" s="75" t="s">
        <v>64</v>
      </c>
    </row>
    <row r="95" spans="2:17" ht="157.5" customHeight="1">
      <c r="B95" s="76" t="s">
        <v>1118</v>
      </c>
      <c r="C95" s="76" t="s">
        <v>1324</v>
      </c>
      <c r="D95" s="76" t="s">
        <v>128</v>
      </c>
      <c r="E95" s="76" t="s">
        <v>1139</v>
      </c>
      <c r="F95" s="76" t="s">
        <v>1463</v>
      </c>
      <c r="G95" s="76" t="s">
        <v>471</v>
      </c>
      <c r="H95" s="76" t="s">
        <v>433</v>
      </c>
      <c r="J95" s="75" t="s">
        <v>64</v>
      </c>
      <c r="K95" s="76" t="s">
        <v>64</v>
      </c>
      <c r="L95" s="75" t="s">
        <v>65</v>
      </c>
      <c r="M95" s="75">
        <v>2021</v>
      </c>
      <c r="N95" s="75" t="s">
        <v>64</v>
      </c>
      <c r="O95" s="75" t="s">
        <v>64</v>
      </c>
      <c r="P95" s="75" t="s">
        <v>64</v>
      </c>
    </row>
    <row r="96" spans="2:17" ht="94.5" customHeight="1">
      <c r="B96" s="76" t="s">
        <v>1118</v>
      </c>
      <c r="C96" s="76" t="s">
        <v>1280</v>
      </c>
      <c r="D96" s="76" t="s">
        <v>59</v>
      </c>
      <c r="E96" s="76" t="s">
        <v>1464</v>
      </c>
      <c r="F96" s="76" t="s">
        <v>1465</v>
      </c>
      <c r="G96" s="76" t="s">
        <v>471</v>
      </c>
      <c r="H96" s="76" t="s">
        <v>516</v>
      </c>
      <c r="J96" s="75" t="s">
        <v>64</v>
      </c>
      <c r="K96" s="76" t="s">
        <v>64</v>
      </c>
      <c r="L96" s="75" t="s">
        <v>65</v>
      </c>
      <c r="M96" s="75">
        <v>2020</v>
      </c>
      <c r="N96" s="75" t="s">
        <v>67</v>
      </c>
      <c r="O96" s="75" t="s">
        <v>64</v>
      </c>
      <c r="P96" s="75" t="s">
        <v>64</v>
      </c>
    </row>
    <row r="97" spans="1:17" ht="94.5" customHeight="1">
      <c r="B97" s="76" t="s">
        <v>1118</v>
      </c>
      <c r="C97" s="76" t="s">
        <v>1280</v>
      </c>
      <c r="D97" s="76" t="s">
        <v>59</v>
      </c>
      <c r="E97" s="76" t="s">
        <v>1466</v>
      </c>
      <c r="F97" s="76" t="s">
        <v>1465</v>
      </c>
      <c r="G97" s="76" t="s">
        <v>1467</v>
      </c>
      <c r="H97" s="76" t="s">
        <v>516</v>
      </c>
      <c r="J97" s="75" t="s">
        <v>64</v>
      </c>
      <c r="K97" s="76" t="s">
        <v>64</v>
      </c>
      <c r="L97" s="75" t="s">
        <v>65</v>
      </c>
      <c r="M97" s="75">
        <v>2020</v>
      </c>
      <c r="N97" s="75" t="s">
        <v>67</v>
      </c>
      <c r="O97" s="75" t="s">
        <v>64</v>
      </c>
      <c r="P97" s="75" t="s">
        <v>64</v>
      </c>
    </row>
    <row r="98" spans="1:17" ht="94.5" customHeight="1">
      <c r="B98" s="76" t="s">
        <v>1118</v>
      </c>
      <c r="C98" s="76" t="s">
        <v>1280</v>
      </c>
      <c r="D98" s="76" t="s">
        <v>59</v>
      </c>
      <c r="E98" s="76" t="s">
        <v>1468</v>
      </c>
      <c r="F98" s="76" t="s">
        <v>1469</v>
      </c>
      <c r="G98" s="76" t="s">
        <v>1470</v>
      </c>
      <c r="H98" s="76" t="s">
        <v>270</v>
      </c>
      <c r="J98" s="75" t="s">
        <v>64</v>
      </c>
      <c r="K98" s="76" t="s">
        <v>64</v>
      </c>
      <c r="L98" s="75" t="s">
        <v>65</v>
      </c>
      <c r="M98" s="75">
        <v>2010</v>
      </c>
      <c r="N98" s="75" t="s">
        <v>64</v>
      </c>
      <c r="O98" s="75" t="s">
        <v>64</v>
      </c>
      <c r="P98" s="75" t="s">
        <v>64</v>
      </c>
    </row>
    <row r="99" spans="1:17" ht="94.5" customHeight="1">
      <c r="B99" s="76" t="s">
        <v>1118</v>
      </c>
      <c r="C99" s="76" t="s">
        <v>1280</v>
      </c>
      <c r="D99" s="76" t="s">
        <v>59</v>
      </c>
      <c r="E99" s="76" t="s">
        <v>1471</v>
      </c>
      <c r="F99" s="76" t="s">
        <v>1472</v>
      </c>
      <c r="G99" s="76" t="s">
        <v>1473</v>
      </c>
      <c r="H99" s="76" t="s">
        <v>516</v>
      </c>
      <c r="J99" s="75" t="s">
        <v>64</v>
      </c>
      <c r="K99" s="76" t="s">
        <v>64</v>
      </c>
      <c r="L99" s="75" t="s">
        <v>65</v>
      </c>
      <c r="M99" s="75">
        <v>2010</v>
      </c>
      <c r="N99" s="75" t="s">
        <v>64</v>
      </c>
      <c r="O99" s="75" t="s">
        <v>64</v>
      </c>
      <c r="P99" s="75" t="s">
        <v>64</v>
      </c>
    </row>
    <row r="100" spans="1:17" ht="94.5" customHeight="1">
      <c r="B100" s="76" t="s">
        <v>1118</v>
      </c>
      <c r="C100" s="76" t="s">
        <v>1324</v>
      </c>
      <c r="D100" s="76" t="s">
        <v>59</v>
      </c>
      <c r="E100" s="76" t="s">
        <v>1324</v>
      </c>
      <c r="F100" s="76" t="s">
        <v>1474</v>
      </c>
      <c r="G100" s="76" t="s">
        <v>62</v>
      </c>
      <c r="H100" s="76" t="s">
        <v>433</v>
      </c>
      <c r="J100" s="75" t="s">
        <v>64</v>
      </c>
      <c r="K100" s="76" t="s">
        <v>64</v>
      </c>
      <c r="L100" s="75" t="s">
        <v>65</v>
      </c>
      <c r="M100" s="75">
        <v>2019</v>
      </c>
      <c r="N100" s="75" t="s">
        <v>67</v>
      </c>
      <c r="O100" s="75" t="s">
        <v>64</v>
      </c>
      <c r="P100" s="75" t="s">
        <v>64</v>
      </c>
    </row>
    <row r="101" spans="1:17" s="36" customFormat="1" ht="15.95">
      <c r="A101" s="36">
        <v>0</v>
      </c>
      <c r="B101" s="37" t="s">
        <v>579</v>
      </c>
      <c r="C101" s="37"/>
      <c r="D101" s="37"/>
      <c r="E101" s="37"/>
      <c r="F101" s="37"/>
      <c r="G101" s="37"/>
      <c r="H101" s="37"/>
      <c r="I101" s="37"/>
      <c r="J101" s="36" t="s">
        <v>64</v>
      </c>
      <c r="K101" s="37" t="s">
        <v>64</v>
      </c>
      <c r="N101" s="36" t="s">
        <v>64</v>
      </c>
      <c r="O101" s="36" t="s">
        <v>64</v>
      </c>
      <c r="P101" s="36" t="s">
        <v>64</v>
      </c>
      <c r="Q101" s="37"/>
    </row>
    <row r="102" spans="1:17" s="36" customFormat="1" ht="40.5" customHeight="1">
      <c r="B102" s="37" t="s">
        <v>1475</v>
      </c>
      <c r="C102" s="37" t="s">
        <v>1280</v>
      </c>
      <c r="D102" s="37" t="s">
        <v>59</v>
      </c>
      <c r="E102" s="37" t="s">
        <v>1476</v>
      </c>
      <c r="F102" s="37" t="s">
        <v>1280</v>
      </c>
      <c r="G102" s="83" t="s">
        <v>297</v>
      </c>
      <c r="H102" s="37" t="s">
        <v>73</v>
      </c>
      <c r="I102" s="37"/>
      <c r="J102" s="36" t="s">
        <v>64</v>
      </c>
      <c r="K102" s="37" t="s">
        <v>64</v>
      </c>
      <c r="L102" s="36" t="s">
        <v>65</v>
      </c>
      <c r="M102" s="36">
        <v>2011</v>
      </c>
      <c r="N102" s="36" t="s">
        <v>67</v>
      </c>
      <c r="O102" s="36" t="s">
        <v>64</v>
      </c>
      <c r="P102" s="36" t="s">
        <v>64</v>
      </c>
      <c r="Q102" s="37"/>
    </row>
    <row r="103" spans="1:17" ht="32.1">
      <c r="B103" s="76" t="s">
        <v>1475</v>
      </c>
      <c r="C103" s="76" t="s">
        <v>127</v>
      </c>
      <c r="D103" s="76" t="s">
        <v>59</v>
      </c>
      <c r="E103" s="76" t="s">
        <v>1477</v>
      </c>
      <c r="F103" s="76" t="s">
        <v>1478</v>
      </c>
      <c r="G103" s="76" t="s">
        <v>163</v>
      </c>
      <c r="I103" s="76" t="s">
        <v>1479</v>
      </c>
      <c r="J103" s="75" t="s">
        <v>64</v>
      </c>
      <c r="K103" s="76" t="s">
        <v>64</v>
      </c>
      <c r="L103" s="75" t="s">
        <v>65</v>
      </c>
      <c r="M103" s="75">
        <v>2020</v>
      </c>
      <c r="N103" s="75" t="s">
        <v>64</v>
      </c>
      <c r="O103" s="75" t="s">
        <v>64</v>
      </c>
      <c r="P103" s="75" t="s">
        <v>64</v>
      </c>
    </row>
    <row r="104" spans="1:17" ht="32.1">
      <c r="B104" s="76" t="s">
        <v>1475</v>
      </c>
      <c r="C104" s="76" t="s">
        <v>127</v>
      </c>
      <c r="D104" s="76" t="s">
        <v>59</v>
      </c>
      <c r="E104" s="76" t="s">
        <v>1480</v>
      </c>
      <c r="F104" s="76" t="s">
        <v>1478</v>
      </c>
      <c r="G104" s="76" t="s">
        <v>62</v>
      </c>
      <c r="I104" s="76" t="s">
        <v>1479</v>
      </c>
      <c r="J104" s="75" t="s">
        <v>64</v>
      </c>
      <c r="K104" s="76" t="s">
        <v>64</v>
      </c>
      <c r="L104" s="75" t="s">
        <v>65</v>
      </c>
      <c r="M104" s="75">
        <v>2020</v>
      </c>
      <c r="N104" s="75" t="s">
        <v>64</v>
      </c>
      <c r="O104" s="75" t="s">
        <v>64</v>
      </c>
      <c r="P104" s="75" t="s">
        <v>64</v>
      </c>
    </row>
    <row r="105" spans="1:17" ht="257.25" customHeight="1">
      <c r="B105" s="76" t="s">
        <v>598</v>
      </c>
      <c r="C105" s="76" t="s">
        <v>1324</v>
      </c>
      <c r="D105" s="76" t="s">
        <v>59</v>
      </c>
      <c r="E105" s="76" t="s">
        <v>1481</v>
      </c>
      <c r="F105" s="76" t="s">
        <v>1482</v>
      </c>
      <c r="G105" s="76" t="s">
        <v>163</v>
      </c>
      <c r="H105" s="76" t="s">
        <v>73</v>
      </c>
      <c r="J105" s="75" t="s">
        <v>64</v>
      </c>
      <c r="K105" s="76" t="s">
        <v>64</v>
      </c>
      <c r="L105" s="75" t="s">
        <v>65</v>
      </c>
      <c r="M105" s="75">
        <v>2000</v>
      </c>
      <c r="O105" s="75" t="s">
        <v>64</v>
      </c>
      <c r="P105" s="75" t="s">
        <v>64</v>
      </c>
    </row>
    <row r="106" spans="1:17" s="36" customFormat="1" ht="80.099999999999994">
      <c r="B106" s="37" t="s">
        <v>625</v>
      </c>
      <c r="C106" s="37" t="s">
        <v>1324</v>
      </c>
      <c r="D106" s="37" t="s">
        <v>59</v>
      </c>
      <c r="E106" s="37" t="s">
        <v>1151</v>
      </c>
      <c r="F106" s="37" t="s">
        <v>1483</v>
      </c>
      <c r="G106" s="37" t="s">
        <v>62</v>
      </c>
      <c r="H106" s="37" t="s">
        <v>433</v>
      </c>
      <c r="I106" s="37"/>
      <c r="J106" s="36" t="s">
        <v>64</v>
      </c>
      <c r="K106" s="37" t="s">
        <v>64</v>
      </c>
      <c r="L106" s="36" t="s">
        <v>65</v>
      </c>
      <c r="M106" s="36">
        <v>2015</v>
      </c>
      <c r="N106" s="36" t="s">
        <v>64</v>
      </c>
      <c r="O106" s="36" t="s">
        <v>64</v>
      </c>
      <c r="P106" s="36" t="s">
        <v>64</v>
      </c>
      <c r="Q106" s="37"/>
    </row>
    <row r="107" spans="1:17" ht="96">
      <c r="B107" s="76" t="s">
        <v>625</v>
      </c>
      <c r="C107" s="76" t="s">
        <v>1324</v>
      </c>
      <c r="D107" s="76" t="s">
        <v>128</v>
      </c>
      <c r="E107" s="76" t="s">
        <v>1155</v>
      </c>
      <c r="F107" s="76" t="s">
        <v>1484</v>
      </c>
      <c r="G107" s="76" t="s">
        <v>1157</v>
      </c>
      <c r="H107" s="76" t="s">
        <v>433</v>
      </c>
      <c r="J107" s="75" t="s">
        <v>64</v>
      </c>
      <c r="K107" s="76" t="s">
        <v>64</v>
      </c>
      <c r="L107" s="75" t="s">
        <v>65</v>
      </c>
      <c r="M107" s="75">
        <v>2011</v>
      </c>
      <c r="N107" s="75" t="s">
        <v>64</v>
      </c>
      <c r="O107" s="75" t="s">
        <v>64</v>
      </c>
      <c r="P107" s="75" t="s">
        <v>64</v>
      </c>
    </row>
    <row r="108" spans="1:17" ht="80.099999999999994">
      <c r="B108" s="76" t="s">
        <v>625</v>
      </c>
      <c r="C108" s="76" t="s">
        <v>1324</v>
      </c>
      <c r="D108" s="76" t="s">
        <v>128</v>
      </c>
      <c r="E108" s="76" t="s">
        <v>1158</v>
      </c>
      <c r="F108" s="76" t="s">
        <v>1485</v>
      </c>
      <c r="G108" s="76" t="s">
        <v>1160</v>
      </c>
      <c r="H108" s="76" t="s">
        <v>433</v>
      </c>
      <c r="J108" s="75" t="s">
        <v>64</v>
      </c>
      <c r="K108" s="76" t="s">
        <v>64</v>
      </c>
      <c r="L108" s="75" t="s">
        <v>65</v>
      </c>
      <c r="M108" s="75">
        <v>2008</v>
      </c>
      <c r="N108" s="75" t="s">
        <v>64</v>
      </c>
      <c r="O108" s="75" t="s">
        <v>64</v>
      </c>
      <c r="P108" s="75" t="s">
        <v>64</v>
      </c>
    </row>
    <row r="109" spans="1:17" ht="32.1">
      <c r="B109" s="76" t="s">
        <v>625</v>
      </c>
      <c r="C109" s="76" t="s">
        <v>1280</v>
      </c>
      <c r="D109" s="76" t="s">
        <v>1486</v>
      </c>
      <c r="E109" s="76" t="s">
        <v>1487</v>
      </c>
      <c r="F109" s="76" t="s">
        <v>1488</v>
      </c>
      <c r="G109" s="76" t="s">
        <v>1489</v>
      </c>
      <c r="H109" s="76" t="s">
        <v>73</v>
      </c>
      <c r="J109" s="75" t="s">
        <v>64</v>
      </c>
      <c r="K109" s="76" t="s">
        <v>64</v>
      </c>
      <c r="L109" s="75" t="s">
        <v>65</v>
      </c>
      <c r="M109" s="75">
        <v>2019</v>
      </c>
      <c r="N109" s="75" t="s">
        <v>67</v>
      </c>
      <c r="O109" s="75" t="s">
        <v>64</v>
      </c>
      <c r="P109" s="75" t="s">
        <v>64</v>
      </c>
    </row>
    <row r="110" spans="1:17" ht="32.1">
      <c r="B110" s="76" t="s">
        <v>625</v>
      </c>
      <c r="C110" s="76" t="s">
        <v>1280</v>
      </c>
      <c r="D110" s="76" t="s">
        <v>59</v>
      </c>
      <c r="E110" s="76" t="s">
        <v>1490</v>
      </c>
      <c r="F110" s="76" t="s">
        <v>1488</v>
      </c>
      <c r="G110" s="76" t="s">
        <v>1489</v>
      </c>
      <c r="H110" s="76" t="s">
        <v>73</v>
      </c>
      <c r="J110" s="75" t="s">
        <v>64</v>
      </c>
      <c r="K110" s="76" t="s">
        <v>64</v>
      </c>
      <c r="L110" s="75" t="s">
        <v>65</v>
      </c>
      <c r="M110" s="75">
        <v>2022</v>
      </c>
      <c r="N110" s="75" t="s">
        <v>67</v>
      </c>
      <c r="O110" s="75" t="s">
        <v>64</v>
      </c>
      <c r="P110" s="75" t="s">
        <v>64</v>
      </c>
    </row>
    <row r="111" spans="1:17" ht="48">
      <c r="B111" s="76" t="s">
        <v>625</v>
      </c>
      <c r="C111" s="76" t="s">
        <v>1280</v>
      </c>
      <c r="D111" s="76" t="s">
        <v>59</v>
      </c>
      <c r="E111" s="76" t="s">
        <v>1491</v>
      </c>
      <c r="F111" s="76" t="s">
        <v>1492</v>
      </c>
      <c r="G111" s="76" t="s">
        <v>297</v>
      </c>
      <c r="H111" s="76" t="s">
        <v>73</v>
      </c>
      <c r="J111" s="75" t="s">
        <v>64</v>
      </c>
      <c r="K111" s="76" t="s">
        <v>64</v>
      </c>
      <c r="L111" s="75" t="s">
        <v>65</v>
      </c>
      <c r="M111" s="75">
        <v>2022</v>
      </c>
      <c r="N111" s="75" t="s">
        <v>67</v>
      </c>
      <c r="O111" s="75" t="s">
        <v>64</v>
      </c>
      <c r="P111" s="75" t="s">
        <v>64</v>
      </c>
    </row>
    <row r="112" spans="1:17" ht="63.95">
      <c r="B112" s="76" t="s">
        <v>625</v>
      </c>
      <c r="C112" s="76" t="s">
        <v>1280</v>
      </c>
      <c r="D112" s="76" t="s">
        <v>59</v>
      </c>
      <c r="E112" s="76" t="s">
        <v>1493</v>
      </c>
      <c r="F112" s="76" t="s">
        <v>1492</v>
      </c>
      <c r="G112" s="76" t="s">
        <v>163</v>
      </c>
      <c r="H112" s="76" t="s">
        <v>73</v>
      </c>
      <c r="J112" s="75" t="s">
        <v>64</v>
      </c>
      <c r="K112" s="76" t="s">
        <v>64</v>
      </c>
      <c r="L112" s="75" t="s">
        <v>65</v>
      </c>
      <c r="M112" s="75">
        <v>2022</v>
      </c>
      <c r="N112" s="75" t="s">
        <v>67</v>
      </c>
      <c r="O112" s="75" t="s">
        <v>64</v>
      </c>
      <c r="P112" s="75" t="s">
        <v>64</v>
      </c>
    </row>
    <row r="113" spans="1:17" ht="48">
      <c r="B113" s="76" t="s">
        <v>625</v>
      </c>
      <c r="C113" s="76" t="s">
        <v>1280</v>
      </c>
      <c r="D113" s="76" t="s">
        <v>275</v>
      </c>
      <c r="E113" s="76" t="s">
        <v>1494</v>
      </c>
      <c r="F113" s="76" t="s">
        <v>1495</v>
      </c>
      <c r="G113" s="76" t="s">
        <v>1496</v>
      </c>
      <c r="H113" s="76" t="s">
        <v>433</v>
      </c>
      <c r="J113" s="75" t="s">
        <v>64</v>
      </c>
      <c r="K113" s="76" t="s">
        <v>64</v>
      </c>
      <c r="L113" s="75" t="s">
        <v>65</v>
      </c>
      <c r="M113" s="75">
        <v>2011</v>
      </c>
      <c r="N113" s="75" t="s">
        <v>64</v>
      </c>
      <c r="O113" s="75" t="s">
        <v>64</v>
      </c>
      <c r="P113" s="75" t="s">
        <v>64</v>
      </c>
    </row>
    <row r="114" spans="1:17" ht="48">
      <c r="B114" s="76" t="s">
        <v>625</v>
      </c>
      <c r="C114" s="76" t="s">
        <v>1299</v>
      </c>
      <c r="D114" s="76" t="s">
        <v>275</v>
      </c>
      <c r="E114" s="76" t="s">
        <v>1497</v>
      </c>
      <c r="F114" s="76" t="s">
        <v>1498</v>
      </c>
      <c r="G114" s="76" t="s">
        <v>1496</v>
      </c>
      <c r="H114" s="76" t="s">
        <v>516</v>
      </c>
      <c r="J114" s="75" t="s">
        <v>64</v>
      </c>
      <c r="K114" s="76" t="s">
        <v>64</v>
      </c>
      <c r="L114" s="75" t="s">
        <v>65</v>
      </c>
      <c r="M114" s="75">
        <v>2010</v>
      </c>
      <c r="N114" s="75" t="s">
        <v>64</v>
      </c>
      <c r="O114" s="75" t="s">
        <v>64</v>
      </c>
      <c r="P114" s="75" t="s">
        <v>64</v>
      </c>
    </row>
    <row r="115" spans="1:17" ht="63.95">
      <c r="B115" s="76" t="s">
        <v>625</v>
      </c>
      <c r="C115" s="76" t="s">
        <v>1324</v>
      </c>
      <c r="D115" s="76" t="s">
        <v>649</v>
      </c>
      <c r="E115" s="76" t="s">
        <v>1499</v>
      </c>
      <c r="F115" s="76" t="s">
        <v>1500</v>
      </c>
      <c r="G115" s="76" t="s">
        <v>163</v>
      </c>
      <c r="J115" s="75" t="s">
        <v>64</v>
      </c>
      <c r="K115" s="76" t="s">
        <v>64</v>
      </c>
      <c r="L115" s="75" t="s">
        <v>65</v>
      </c>
      <c r="N115" s="75" t="s">
        <v>64</v>
      </c>
      <c r="O115" s="75" t="s">
        <v>64</v>
      </c>
      <c r="P115" s="75" t="s">
        <v>64</v>
      </c>
    </row>
    <row r="116" spans="1:17" s="36" customFormat="1" ht="15.95">
      <c r="A116" s="36">
        <v>0</v>
      </c>
      <c r="B116" s="37" t="s">
        <v>660</v>
      </c>
      <c r="C116" s="37"/>
      <c r="D116" s="37"/>
      <c r="E116" s="37"/>
      <c r="F116" s="37"/>
      <c r="G116" s="37"/>
      <c r="H116" s="37"/>
      <c r="I116" s="37"/>
      <c r="J116" s="36" t="s">
        <v>64</v>
      </c>
      <c r="K116" s="37" t="s">
        <v>64</v>
      </c>
      <c r="N116" s="36" t="s">
        <v>64</v>
      </c>
      <c r="O116" s="36" t="s">
        <v>64</v>
      </c>
      <c r="P116" s="36" t="s">
        <v>64</v>
      </c>
      <c r="Q116" s="37"/>
    </row>
    <row r="117" spans="1:17" ht="15.95">
      <c r="A117" s="75">
        <v>0</v>
      </c>
      <c r="B117" s="76" t="s">
        <v>685</v>
      </c>
      <c r="J117" s="75" t="s">
        <v>64</v>
      </c>
      <c r="K117" s="76" t="s">
        <v>64</v>
      </c>
      <c r="N117" s="75" t="s">
        <v>64</v>
      </c>
      <c r="O117" s="75" t="s">
        <v>64</v>
      </c>
      <c r="P117" s="75" t="s">
        <v>64</v>
      </c>
    </row>
    <row r="118" spans="1:17" s="36" customFormat="1" ht="32.1">
      <c r="B118" s="37" t="s">
        <v>693</v>
      </c>
      <c r="C118" s="37" t="s">
        <v>1280</v>
      </c>
      <c r="D118" s="37" t="s">
        <v>927</v>
      </c>
      <c r="E118" s="37" t="s">
        <v>1501</v>
      </c>
      <c r="F118" s="37" t="s">
        <v>1469</v>
      </c>
      <c r="G118" s="37" t="s">
        <v>62</v>
      </c>
      <c r="H118" s="37" t="s">
        <v>516</v>
      </c>
      <c r="I118" s="37"/>
      <c r="J118" s="36" t="s">
        <v>64</v>
      </c>
      <c r="K118" s="37" t="s">
        <v>64</v>
      </c>
      <c r="L118" s="36" t="s">
        <v>65</v>
      </c>
      <c r="M118" s="36">
        <v>2020</v>
      </c>
      <c r="O118" s="36" t="s">
        <v>64</v>
      </c>
      <c r="P118" s="36" t="s">
        <v>64</v>
      </c>
      <c r="Q118" s="37"/>
    </row>
    <row r="119" spans="1:17" ht="32.1">
      <c r="B119" s="76" t="s">
        <v>693</v>
      </c>
      <c r="C119" s="76" t="s">
        <v>58</v>
      </c>
      <c r="D119" s="76" t="s">
        <v>59</v>
      </c>
      <c r="E119" s="76" t="s">
        <v>1502</v>
      </c>
      <c r="F119" s="76" t="s">
        <v>172</v>
      </c>
      <c r="G119" s="76" t="s">
        <v>297</v>
      </c>
      <c r="H119" s="76" t="s">
        <v>433</v>
      </c>
      <c r="J119" s="75" t="s">
        <v>64</v>
      </c>
      <c r="K119" s="76" t="s">
        <v>64</v>
      </c>
      <c r="L119" s="75" t="s">
        <v>65</v>
      </c>
      <c r="M119" s="75">
        <v>2016</v>
      </c>
      <c r="N119" s="75" t="s">
        <v>64</v>
      </c>
      <c r="O119" s="75" t="s">
        <v>64</v>
      </c>
      <c r="P119" s="75" t="s">
        <v>64</v>
      </c>
    </row>
    <row r="120" spans="1:17" ht="32.1">
      <c r="B120" s="76" t="s">
        <v>693</v>
      </c>
      <c r="C120" s="76" t="s">
        <v>58</v>
      </c>
      <c r="D120" s="76" t="s">
        <v>59</v>
      </c>
      <c r="E120" s="76" t="s">
        <v>1503</v>
      </c>
      <c r="F120" s="76" t="s">
        <v>172</v>
      </c>
      <c r="G120" s="76" t="s">
        <v>297</v>
      </c>
      <c r="H120" s="76" t="s">
        <v>433</v>
      </c>
      <c r="J120" s="75" t="s">
        <v>64</v>
      </c>
      <c r="K120" s="76" t="s">
        <v>64</v>
      </c>
      <c r="L120" s="75" t="s">
        <v>65</v>
      </c>
      <c r="M120" s="75">
        <v>2016</v>
      </c>
      <c r="N120" s="75" t="s">
        <v>64</v>
      </c>
      <c r="O120" s="75" t="s">
        <v>64</v>
      </c>
      <c r="P120" s="75" t="s">
        <v>64</v>
      </c>
    </row>
    <row r="121" spans="1:17" ht="32.1">
      <c r="B121" s="76" t="s">
        <v>693</v>
      </c>
      <c r="C121" s="76" t="s">
        <v>1268</v>
      </c>
      <c r="D121" s="76" t="s">
        <v>59</v>
      </c>
      <c r="E121" s="76" t="s">
        <v>1504</v>
      </c>
      <c r="F121" s="76" t="s">
        <v>172</v>
      </c>
      <c r="G121" s="76" t="s">
        <v>297</v>
      </c>
      <c r="H121" s="76" t="s">
        <v>433</v>
      </c>
      <c r="J121" s="75" t="s">
        <v>64</v>
      </c>
      <c r="K121" s="76" t="s">
        <v>64</v>
      </c>
      <c r="L121" s="75" t="s">
        <v>65</v>
      </c>
      <c r="M121" s="75">
        <v>2016</v>
      </c>
      <c r="N121" s="75" t="s">
        <v>64</v>
      </c>
      <c r="O121" s="75" t="s">
        <v>64</v>
      </c>
      <c r="P121" s="75" t="s">
        <v>64</v>
      </c>
    </row>
    <row r="122" spans="1:17" ht="32.1">
      <c r="B122" s="76" t="s">
        <v>693</v>
      </c>
      <c r="C122" s="76" t="s">
        <v>1268</v>
      </c>
      <c r="D122" s="76" t="s">
        <v>59</v>
      </c>
      <c r="E122" s="76" t="s">
        <v>1505</v>
      </c>
      <c r="F122" s="76" t="s">
        <v>172</v>
      </c>
      <c r="G122" s="76" t="s">
        <v>297</v>
      </c>
      <c r="H122" s="76" t="s">
        <v>433</v>
      </c>
      <c r="J122" s="75" t="s">
        <v>64</v>
      </c>
      <c r="K122" s="76" t="s">
        <v>64</v>
      </c>
      <c r="L122" s="75" t="s">
        <v>65</v>
      </c>
      <c r="M122" s="75">
        <v>2016</v>
      </c>
      <c r="N122" s="75" t="s">
        <v>64</v>
      </c>
      <c r="O122" s="75" t="s">
        <v>64</v>
      </c>
      <c r="P122" s="75" t="s">
        <v>64</v>
      </c>
    </row>
    <row r="123" spans="1:17" ht="15.95">
      <c r="B123" s="76" t="s">
        <v>693</v>
      </c>
      <c r="C123" s="76" t="s">
        <v>1447</v>
      </c>
      <c r="D123" s="76" t="s">
        <v>59</v>
      </c>
      <c r="E123" s="76" t="s">
        <v>1506</v>
      </c>
      <c r="F123" s="76" t="s">
        <v>172</v>
      </c>
      <c r="G123" s="76" t="s">
        <v>297</v>
      </c>
      <c r="H123" s="76" t="s">
        <v>433</v>
      </c>
      <c r="J123" s="75" t="s">
        <v>64</v>
      </c>
      <c r="K123" s="76" t="s">
        <v>64</v>
      </c>
      <c r="L123" s="75" t="s">
        <v>65</v>
      </c>
      <c r="M123" s="75">
        <v>2016</v>
      </c>
      <c r="N123" s="75" t="s">
        <v>64</v>
      </c>
      <c r="O123" s="75" t="s">
        <v>64</v>
      </c>
      <c r="P123" s="75" t="s">
        <v>64</v>
      </c>
    </row>
    <row r="124" spans="1:17" ht="32.1">
      <c r="B124" s="76" t="s">
        <v>693</v>
      </c>
      <c r="C124" s="76" t="s">
        <v>1268</v>
      </c>
      <c r="D124" s="76" t="s">
        <v>59</v>
      </c>
      <c r="E124" s="76" t="s">
        <v>1507</v>
      </c>
      <c r="F124" s="76" t="s">
        <v>172</v>
      </c>
      <c r="G124" s="76" t="s">
        <v>297</v>
      </c>
      <c r="H124" s="76" t="s">
        <v>433</v>
      </c>
      <c r="J124" s="75" t="s">
        <v>64</v>
      </c>
      <c r="K124" s="76" t="s">
        <v>64</v>
      </c>
      <c r="L124" s="75" t="s">
        <v>65</v>
      </c>
      <c r="M124" s="75">
        <v>2016</v>
      </c>
      <c r="N124" s="75" t="s">
        <v>64</v>
      </c>
      <c r="O124" s="75" t="s">
        <v>64</v>
      </c>
      <c r="P124" s="75" t="s">
        <v>64</v>
      </c>
    </row>
    <row r="125" spans="1:17" ht="15.95">
      <c r="B125" s="76" t="s">
        <v>693</v>
      </c>
      <c r="C125" s="76" t="s">
        <v>58</v>
      </c>
      <c r="D125" s="76" t="s">
        <v>59</v>
      </c>
      <c r="E125" s="76" t="s">
        <v>1508</v>
      </c>
      <c r="F125" s="76" t="s">
        <v>172</v>
      </c>
      <c r="G125" s="76" t="s">
        <v>297</v>
      </c>
      <c r="H125" s="76" t="s">
        <v>433</v>
      </c>
      <c r="J125" s="75" t="s">
        <v>64</v>
      </c>
      <c r="K125" s="76" t="s">
        <v>64</v>
      </c>
      <c r="L125" s="75" t="s">
        <v>65</v>
      </c>
      <c r="M125" s="75">
        <v>2016</v>
      </c>
      <c r="N125" s="75" t="s">
        <v>64</v>
      </c>
      <c r="O125" s="75" t="s">
        <v>64</v>
      </c>
      <c r="P125" s="75" t="s">
        <v>64</v>
      </c>
    </row>
    <row r="126" spans="1:17" ht="15.95">
      <c r="B126" s="76" t="s">
        <v>693</v>
      </c>
      <c r="C126" s="76" t="s">
        <v>1447</v>
      </c>
      <c r="D126" s="76" t="s">
        <v>59</v>
      </c>
      <c r="E126" s="76" t="s">
        <v>1509</v>
      </c>
      <c r="F126" s="76" t="s">
        <v>172</v>
      </c>
      <c r="G126" s="76" t="s">
        <v>297</v>
      </c>
      <c r="H126" s="76" t="s">
        <v>433</v>
      </c>
      <c r="J126" s="75" t="s">
        <v>64</v>
      </c>
      <c r="K126" s="76" t="s">
        <v>64</v>
      </c>
      <c r="L126" s="75" t="s">
        <v>65</v>
      </c>
      <c r="M126" s="75">
        <v>2016</v>
      </c>
      <c r="N126" s="75" t="s">
        <v>64</v>
      </c>
      <c r="O126" s="75" t="s">
        <v>64</v>
      </c>
      <c r="P126" s="75" t="s">
        <v>64</v>
      </c>
    </row>
    <row r="127" spans="1:17" ht="15.95">
      <c r="B127" s="76" t="s">
        <v>693</v>
      </c>
      <c r="C127" s="76" t="s">
        <v>58</v>
      </c>
      <c r="D127" s="76" t="s">
        <v>59</v>
      </c>
      <c r="E127" s="76" t="s">
        <v>1510</v>
      </c>
      <c r="F127" s="76" t="s">
        <v>172</v>
      </c>
      <c r="G127" s="76" t="s">
        <v>297</v>
      </c>
      <c r="H127" s="76" t="s">
        <v>433</v>
      </c>
      <c r="J127" s="75" t="s">
        <v>64</v>
      </c>
      <c r="K127" s="76" t="s">
        <v>64</v>
      </c>
      <c r="L127" s="75" t="s">
        <v>65</v>
      </c>
      <c r="M127" s="75">
        <v>2016</v>
      </c>
      <c r="N127" s="75" t="s">
        <v>64</v>
      </c>
      <c r="O127" s="75" t="s">
        <v>64</v>
      </c>
      <c r="P127" s="75" t="s">
        <v>64</v>
      </c>
    </row>
    <row r="128" spans="1:17" s="36" customFormat="1" ht="48">
      <c r="B128" s="37" t="s">
        <v>729</v>
      </c>
      <c r="C128" s="37" t="s">
        <v>1343</v>
      </c>
      <c r="D128" s="52" t="s">
        <v>1035</v>
      </c>
      <c r="E128" s="37" t="s">
        <v>1511</v>
      </c>
      <c r="F128" s="37" t="s">
        <v>1512</v>
      </c>
      <c r="G128" s="52" t="s">
        <v>1191</v>
      </c>
      <c r="H128" s="37" t="s">
        <v>433</v>
      </c>
      <c r="I128" s="37"/>
      <c r="J128" s="53" t="s">
        <v>64</v>
      </c>
      <c r="K128" s="52" t="s">
        <v>64</v>
      </c>
      <c r="L128" s="53" t="s">
        <v>65</v>
      </c>
      <c r="M128" s="53">
        <v>2021</v>
      </c>
      <c r="N128" s="53" t="s">
        <v>67</v>
      </c>
      <c r="O128" s="36" t="s">
        <v>64</v>
      </c>
      <c r="P128" s="36" t="s">
        <v>64</v>
      </c>
      <c r="Q128" s="37"/>
    </row>
    <row r="129" spans="2:17" ht="48">
      <c r="B129" s="76" t="s">
        <v>729</v>
      </c>
      <c r="C129" s="76" t="s">
        <v>1330</v>
      </c>
      <c r="D129" s="79" t="s">
        <v>1035</v>
      </c>
      <c r="E129" s="76" t="s">
        <v>1513</v>
      </c>
      <c r="F129" s="76" t="s">
        <v>1514</v>
      </c>
      <c r="G129" s="79" t="s">
        <v>1191</v>
      </c>
      <c r="H129" s="76" t="s">
        <v>433</v>
      </c>
      <c r="J129" s="80" t="s">
        <v>64</v>
      </c>
      <c r="K129" s="79" t="s">
        <v>64</v>
      </c>
      <c r="L129" s="80" t="s">
        <v>65</v>
      </c>
      <c r="M129" s="80">
        <v>2021</v>
      </c>
      <c r="N129" s="80" t="s">
        <v>67</v>
      </c>
      <c r="O129" s="75" t="s">
        <v>64</v>
      </c>
      <c r="P129" s="75" t="s">
        <v>64</v>
      </c>
    </row>
    <row r="130" spans="2:17" ht="63.95">
      <c r="B130" s="76" t="s">
        <v>729</v>
      </c>
      <c r="C130" s="76" t="s">
        <v>1299</v>
      </c>
      <c r="D130" s="79" t="s">
        <v>1035</v>
      </c>
      <c r="E130" s="76" t="s">
        <v>1515</v>
      </c>
      <c r="F130" s="76" t="s">
        <v>1516</v>
      </c>
      <c r="G130" s="79" t="s">
        <v>1191</v>
      </c>
      <c r="H130" s="76" t="s">
        <v>433</v>
      </c>
      <c r="J130" s="80" t="s">
        <v>64</v>
      </c>
      <c r="K130" s="79" t="s">
        <v>64</v>
      </c>
      <c r="L130" s="80" t="s">
        <v>65</v>
      </c>
      <c r="M130" s="80">
        <v>2021</v>
      </c>
      <c r="N130" s="80" t="s">
        <v>67</v>
      </c>
      <c r="O130" s="75" t="s">
        <v>64</v>
      </c>
      <c r="P130" s="75" t="s">
        <v>64</v>
      </c>
    </row>
    <row r="131" spans="2:17" ht="48">
      <c r="B131" s="76" t="s">
        <v>729</v>
      </c>
      <c r="C131" s="76" t="s">
        <v>1268</v>
      </c>
      <c r="D131" s="79" t="s">
        <v>1035</v>
      </c>
      <c r="E131" s="76" t="s">
        <v>1517</v>
      </c>
      <c r="F131" s="76" t="s">
        <v>1518</v>
      </c>
      <c r="G131" s="79" t="s">
        <v>1191</v>
      </c>
      <c r="H131" s="76" t="s">
        <v>433</v>
      </c>
      <c r="J131" s="80" t="s">
        <v>64</v>
      </c>
      <c r="K131" s="79" t="s">
        <v>64</v>
      </c>
      <c r="L131" s="80" t="s">
        <v>65</v>
      </c>
      <c r="M131" s="80">
        <v>2021</v>
      </c>
      <c r="N131" s="80" t="s">
        <v>67</v>
      </c>
      <c r="O131" s="75" t="s">
        <v>64</v>
      </c>
      <c r="P131" s="75" t="s">
        <v>64</v>
      </c>
    </row>
    <row r="132" spans="2:17" ht="48">
      <c r="B132" s="76" t="s">
        <v>729</v>
      </c>
      <c r="C132" s="76" t="s">
        <v>1324</v>
      </c>
      <c r="D132" s="79" t="s">
        <v>1035</v>
      </c>
      <c r="E132" s="76" t="s">
        <v>1519</v>
      </c>
      <c r="F132" s="76" t="s">
        <v>1520</v>
      </c>
      <c r="G132" s="79" t="s">
        <v>1191</v>
      </c>
      <c r="H132" s="76" t="s">
        <v>433</v>
      </c>
      <c r="J132" s="80" t="s">
        <v>64</v>
      </c>
      <c r="K132" s="79" t="s">
        <v>64</v>
      </c>
      <c r="L132" s="80" t="s">
        <v>65</v>
      </c>
      <c r="M132" s="80">
        <v>2021</v>
      </c>
      <c r="N132" s="80" t="s">
        <v>67</v>
      </c>
      <c r="O132" s="75" t="s">
        <v>64</v>
      </c>
      <c r="P132" s="75" t="s">
        <v>64</v>
      </c>
    </row>
    <row r="133" spans="2:17" ht="48">
      <c r="B133" s="76" t="s">
        <v>729</v>
      </c>
      <c r="C133" s="76" t="s">
        <v>1324</v>
      </c>
      <c r="D133" s="79" t="s">
        <v>1035</v>
      </c>
      <c r="E133" s="76" t="s">
        <v>1521</v>
      </c>
      <c r="F133" s="76" t="s">
        <v>1522</v>
      </c>
      <c r="G133" s="79" t="s">
        <v>1191</v>
      </c>
      <c r="H133" s="76" t="s">
        <v>433</v>
      </c>
      <c r="J133" s="80" t="s">
        <v>64</v>
      </c>
      <c r="K133" s="79" t="s">
        <v>64</v>
      </c>
      <c r="L133" s="80" t="s">
        <v>65</v>
      </c>
      <c r="M133" s="80">
        <v>2021</v>
      </c>
      <c r="N133" s="80" t="s">
        <v>67</v>
      </c>
      <c r="O133" s="75" t="s">
        <v>64</v>
      </c>
      <c r="P133" s="75" t="s">
        <v>64</v>
      </c>
    </row>
    <row r="134" spans="2:17" ht="48">
      <c r="B134" s="76" t="s">
        <v>729</v>
      </c>
      <c r="C134" s="76" t="s">
        <v>1324</v>
      </c>
      <c r="D134" s="79" t="s">
        <v>1035</v>
      </c>
      <c r="E134" s="76" t="s">
        <v>1523</v>
      </c>
      <c r="F134" s="76" t="s">
        <v>1524</v>
      </c>
      <c r="G134" s="79" t="s">
        <v>1191</v>
      </c>
      <c r="H134" s="76" t="s">
        <v>433</v>
      </c>
      <c r="J134" s="80" t="s">
        <v>64</v>
      </c>
      <c r="K134" s="79" t="s">
        <v>64</v>
      </c>
      <c r="L134" s="80" t="s">
        <v>65</v>
      </c>
      <c r="M134" s="80">
        <v>2021</v>
      </c>
      <c r="N134" s="80" t="s">
        <v>67</v>
      </c>
      <c r="O134" s="75" t="s">
        <v>64</v>
      </c>
      <c r="P134" s="75" t="s">
        <v>64</v>
      </c>
    </row>
    <row r="135" spans="2:17" ht="32.1">
      <c r="B135" s="76" t="s">
        <v>729</v>
      </c>
      <c r="C135" s="76" t="s">
        <v>1280</v>
      </c>
      <c r="D135" s="79" t="s">
        <v>1035</v>
      </c>
      <c r="E135" s="76" t="s">
        <v>1525</v>
      </c>
      <c r="F135" s="76" t="s">
        <v>1526</v>
      </c>
      <c r="G135" s="79" t="s">
        <v>1527</v>
      </c>
      <c r="H135" s="76" t="s">
        <v>433</v>
      </c>
      <c r="J135" s="80" t="s">
        <v>64</v>
      </c>
      <c r="K135" s="79" t="s">
        <v>64</v>
      </c>
      <c r="L135" s="80" t="s">
        <v>65</v>
      </c>
      <c r="M135" s="80">
        <v>2022</v>
      </c>
      <c r="N135" s="80" t="s">
        <v>67</v>
      </c>
      <c r="O135" s="75" t="s">
        <v>64</v>
      </c>
      <c r="P135" s="75" t="s">
        <v>64</v>
      </c>
    </row>
    <row r="136" spans="2:17" ht="48">
      <c r="B136" s="76" t="s">
        <v>729</v>
      </c>
      <c r="C136" s="76" t="s">
        <v>58</v>
      </c>
      <c r="D136" s="79" t="s">
        <v>927</v>
      </c>
      <c r="E136" s="76" t="s">
        <v>1528</v>
      </c>
      <c r="G136" s="79" t="s">
        <v>1191</v>
      </c>
      <c r="H136" s="76" t="s">
        <v>433</v>
      </c>
      <c r="J136" s="80" t="s">
        <v>64</v>
      </c>
      <c r="K136" s="79" t="s">
        <v>64</v>
      </c>
      <c r="L136" s="80" t="s">
        <v>65</v>
      </c>
      <c r="M136" s="80">
        <v>2020</v>
      </c>
      <c r="N136" s="80" t="s">
        <v>67</v>
      </c>
      <c r="O136" s="75" t="s">
        <v>64</v>
      </c>
      <c r="P136" s="75" t="s">
        <v>64</v>
      </c>
    </row>
    <row r="137" spans="2:17" s="36" customFormat="1" ht="173.25" customHeight="1">
      <c r="B137" s="37" t="s">
        <v>756</v>
      </c>
      <c r="C137" s="37" t="s">
        <v>1324</v>
      </c>
      <c r="D137" s="37" t="s">
        <v>275</v>
      </c>
      <c r="E137" s="37" t="s">
        <v>757</v>
      </c>
      <c r="F137" s="37" t="s">
        <v>1529</v>
      </c>
      <c r="G137" s="37" t="s">
        <v>62</v>
      </c>
      <c r="H137" s="37" t="s">
        <v>516</v>
      </c>
      <c r="I137" s="37"/>
      <c r="J137" s="36" t="s">
        <v>67</v>
      </c>
      <c r="K137" s="85" t="s">
        <v>1530</v>
      </c>
      <c r="L137" s="36" t="s">
        <v>65</v>
      </c>
      <c r="M137" s="36">
        <v>2020</v>
      </c>
      <c r="N137" s="36" t="s">
        <v>64</v>
      </c>
      <c r="O137" s="36" t="s">
        <v>64</v>
      </c>
      <c r="P137" s="36" t="s">
        <v>64</v>
      </c>
      <c r="Q137" s="37"/>
    </row>
    <row r="138" spans="2:17" ht="64.5" customHeight="1">
      <c r="B138" s="76" t="s">
        <v>756</v>
      </c>
      <c r="C138" s="76" t="s">
        <v>1324</v>
      </c>
      <c r="D138" s="76" t="s">
        <v>275</v>
      </c>
      <c r="E138" s="76" t="s">
        <v>1218</v>
      </c>
      <c r="F138" s="76" t="s">
        <v>1531</v>
      </c>
      <c r="G138" s="76" t="s">
        <v>163</v>
      </c>
      <c r="H138" s="76" t="s">
        <v>73</v>
      </c>
      <c r="L138" s="75" t="s">
        <v>65</v>
      </c>
      <c r="M138" s="75">
        <v>2021</v>
      </c>
      <c r="N138" s="75" t="s">
        <v>67</v>
      </c>
      <c r="O138" s="75" t="s">
        <v>64</v>
      </c>
      <c r="P138" s="75" t="s">
        <v>64</v>
      </c>
    </row>
    <row r="139" spans="2:17" ht="105" customHeight="1">
      <c r="B139" s="76" t="s">
        <v>756</v>
      </c>
      <c r="C139" s="76" t="s">
        <v>1324</v>
      </c>
      <c r="D139" s="76" t="s">
        <v>1532</v>
      </c>
      <c r="E139" s="76" t="s">
        <v>1533</v>
      </c>
      <c r="F139" s="76" t="s">
        <v>1534</v>
      </c>
      <c r="G139" s="76" t="s">
        <v>62</v>
      </c>
      <c r="H139" s="76" t="s">
        <v>73</v>
      </c>
      <c r="I139" s="76" t="s">
        <v>1535</v>
      </c>
      <c r="J139" s="75" t="s">
        <v>64</v>
      </c>
      <c r="K139" s="76" t="s">
        <v>64</v>
      </c>
      <c r="L139" s="75" t="s">
        <v>65</v>
      </c>
      <c r="M139" s="75">
        <v>2020</v>
      </c>
      <c r="N139" s="75" t="s">
        <v>64</v>
      </c>
      <c r="O139" s="75" t="s">
        <v>64</v>
      </c>
      <c r="P139" s="75" t="s">
        <v>64</v>
      </c>
    </row>
    <row r="140" spans="2:17" s="36" customFormat="1" ht="48">
      <c r="B140" s="37" t="s">
        <v>780</v>
      </c>
      <c r="C140" s="37" t="s">
        <v>58</v>
      </c>
      <c r="D140" s="37" t="s">
        <v>59</v>
      </c>
      <c r="E140" s="37" t="s">
        <v>1536</v>
      </c>
      <c r="F140" s="37" t="s">
        <v>1537</v>
      </c>
      <c r="G140" s="37" t="s">
        <v>1538</v>
      </c>
      <c r="H140" s="37" t="s">
        <v>73</v>
      </c>
      <c r="I140" s="37"/>
      <c r="J140" s="36" t="s">
        <v>64</v>
      </c>
      <c r="K140" s="37" t="s">
        <v>64</v>
      </c>
      <c r="L140" s="36" t="s">
        <v>65</v>
      </c>
      <c r="M140" s="36">
        <v>2020</v>
      </c>
      <c r="N140" s="36" t="s">
        <v>64</v>
      </c>
      <c r="O140" s="36" t="s">
        <v>64</v>
      </c>
      <c r="P140" s="36" t="s">
        <v>64</v>
      </c>
      <c r="Q140" s="37"/>
    </row>
    <row r="141" spans="2:17" ht="15.95">
      <c r="B141" s="76" t="s">
        <v>1539</v>
      </c>
      <c r="C141" s="76" t="s">
        <v>127</v>
      </c>
      <c r="D141" s="76" t="s">
        <v>59</v>
      </c>
      <c r="E141" s="76" t="s">
        <v>1540</v>
      </c>
      <c r="G141" s="76" t="s">
        <v>163</v>
      </c>
      <c r="J141" s="75" t="s">
        <v>64</v>
      </c>
      <c r="K141" s="76" t="s">
        <v>64</v>
      </c>
      <c r="L141" s="75" t="s">
        <v>65</v>
      </c>
      <c r="M141" s="75">
        <v>2020</v>
      </c>
      <c r="N141" s="75" t="s">
        <v>67</v>
      </c>
      <c r="O141" s="75" t="s">
        <v>64</v>
      </c>
      <c r="P141" s="75" t="s">
        <v>64</v>
      </c>
    </row>
    <row r="142" spans="2:17" s="36" customFormat="1" ht="108" customHeight="1">
      <c r="B142" s="37" t="s">
        <v>800</v>
      </c>
      <c r="C142" s="37" t="s">
        <v>1299</v>
      </c>
      <c r="D142" s="37" t="s">
        <v>59</v>
      </c>
      <c r="E142" s="37" t="s">
        <v>1541</v>
      </c>
      <c r="F142" s="37" t="s">
        <v>1542</v>
      </c>
      <c r="G142" s="37" t="s">
        <v>1543</v>
      </c>
      <c r="H142" s="37" t="s">
        <v>516</v>
      </c>
      <c r="I142" s="37"/>
      <c r="J142" s="36" t="s">
        <v>67</v>
      </c>
      <c r="K142" s="85" t="s">
        <v>1544</v>
      </c>
      <c r="L142" s="36" t="s">
        <v>65</v>
      </c>
      <c r="M142" s="36">
        <v>2020</v>
      </c>
      <c r="O142" s="36" t="s">
        <v>64</v>
      </c>
      <c r="P142" s="36" t="s">
        <v>64</v>
      </c>
      <c r="Q142" s="37"/>
    </row>
    <row r="143" spans="2:17" s="36" customFormat="1" ht="32.1">
      <c r="B143" s="52" t="s">
        <v>809</v>
      </c>
      <c r="C143" s="37" t="s">
        <v>1299</v>
      </c>
      <c r="D143" s="37" t="s">
        <v>59</v>
      </c>
      <c r="E143" s="37" t="s">
        <v>1545</v>
      </c>
      <c r="F143" s="37" t="s">
        <v>1542</v>
      </c>
      <c r="G143" s="37" t="s">
        <v>1546</v>
      </c>
      <c r="H143" s="37" t="s">
        <v>516</v>
      </c>
      <c r="I143" s="37"/>
      <c r="J143" s="36" t="s">
        <v>64</v>
      </c>
      <c r="K143" s="37" t="s">
        <v>64</v>
      </c>
      <c r="L143" s="36" t="s">
        <v>65</v>
      </c>
      <c r="M143" s="36">
        <v>2020</v>
      </c>
      <c r="N143" s="36" t="s">
        <v>64</v>
      </c>
      <c r="O143" s="36" t="s">
        <v>64</v>
      </c>
      <c r="P143" s="36" t="s">
        <v>64</v>
      </c>
      <c r="Q143" s="37"/>
    </row>
    <row r="144" spans="2:17" ht="32.1">
      <c r="B144" s="79" t="s">
        <v>809</v>
      </c>
      <c r="C144" s="76" t="s">
        <v>1324</v>
      </c>
      <c r="D144" s="76" t="s">
        <v>59</v>
      </c>
      <c r="E144" s="76" t="s">
        <v>1230</v>
      </c>
      <c r="F144" s="76" t="s">
        <v>1547</v>
      </c>
      <c r="G144" s="76" t="s">
        <v>297</v>
      </c>
      <c r="J144" s="75" t="s">
        <v>64</v>
      </c>
      <c r="K144" s="76" t="s">
        <v>64</v>
      </c>
      <c r="L144" s="75" t="s">
        <v>65</v>
      </c>
      <c r="N144" s="75" t="s">
        <v>64</v>
      </c>
      <c r="O144" s="75" t="s">
        <v>64</v>
      </c>
      <c r="P144" s="75" t="s">
        <v>64</v>
      </c>
    </row>
    <row r="145" spans="1:17" s="36" customFormat="1" ht="48">
      <c r="B145" s="52" t="s">
        <v>830</v>
      </c>
      <c r="C145" s="37" t="s">
        <v>1324</v>
      </c>
      <c r="D145" s="37" t="s">
        <v>128</v>
      </c>
      <c r="E145" s="37" t="s">
        <v>1548</v>
      </c>
      <c r="F145" s="37" t="s">
        <v>1549</v>
      </c>
      <c r="G145" s="37" t="s">
        <v>1550</v>
      </c>
      <c r="H145" s="37" t="s">
        <v>516</v>
      </c>
      <c r="I145" s="37"/>
      <c r="J145" s="36" t="s">
        <v>64</v>
      </c>
      <c r="K145" s="37" t="s">
        <v>64</v>
      </c>
      <c r="L145" s="36" t="s">
        <v>65</v>
      </c>
      <c r="M145" s="36">
        <v>2020</v>
      </c>
      <c r="N145" s="36" t="s">
        <v>64</v>
      </c>
      <c r="O145" s="36" t="s">
        <v>64</v>
      </c>
      <c r="P145" s="36" t="s">
        <v>64</v>
      </c>
      <c r="Q145" s="37"/>
    </row>
    <row r="146" spans="1:17" ht="48">
      <c r="B146" s="79" t="s">
        <v>830</v>
      </c>
      <c r="C146" s="76" t="s">
        <v>1280</v>
      </c>
      <c r="D146" s="76" t="s">
        <v>59</v>
      </c>
      <c r="E146" s="76" t="s">
        <v>1551</v>
      </c>
      <c r="F146" s="76" t="s">
        <v>1552</v>
      </c>
      <c r="G146" s="76" t="s">
        <v>1553</v>
      </c>
      <c r="H146" s="76" t="s">
        <v>516</v>
      </c>
      <c r="J146" s="75" t="s">
        <v>64</v>
      </c>
      <c r="K146" s="76" t="s">
        <v>64</v>
      </c>
      <c r="L146" s="75" t="s">
        <v>65</v>
      </c>
      <c r="M146" s="75">
        <v>2020</v>
      </c>
      <c r="N146" s="75" t="s">
        <v>64</v>
      </c>
      <c r="O146" s="75" t="s">
        <v>64</v>
      </c>
      <c r="P146" s="75" t="s">
        <v>64</v>
      </c>
    </row>
    <row r="147" spans="1:17" ht="32.1">
      <c r="B147" s="79" t="s">
        <v>830</v>
      </c>
      <c r="C147" s="76" t="s">
        <v>1324</v>
      </c>
      <c r="D147" s="76" t="s">
        <v>59</v>
      </c>
      <c r="E147" s="76" t="s">
        <v>1554</v>
      </c>
      <c r="F147" s="76" t="s">
        <v>1555</v>
      </c>
      <c r="G147" s="76" t="s">
        <v>833</v>
      </c>
      <c r="H147" s="76" t="s">
        <v>516</v>
      </c>
      <c r="J147" s="75" t="s">
        <v>64</v>
      </c>
      <c r="K147" s="76" t="s">
        <v>64</v>
      </c>
      <c r="L147" s="75" t="s">
        <v>65</v>
      </c>
      <c r="M147" s="75">
        <v>2020</v>
      </c>
      <c r="N147" s="75" t="s">
        <v>64</v>
      </c>
      <c r="O147" s="75" t="s">
        <v>64</v>
      </c>
      <c r="P147" s="75" t="s">
        <v>64</v>
      </c>
    </row>
    <row r="148" spans="1:17" ht="32.1">
      <c r="B148" s="79" t="s">
        <v>830</v>
      </c>
      <c r="C148" s="76" t="s">
        <v>1280</v>
      </c>
      <c r="D148" s="76" t="s">
        <v>59</v>
      </c>
      <c r="E148" s="76" t="s">
        <v>1556</v>
      </c>
      <c r="F148" s="76" t="s">
        <v>1280</v>
      </c>
      <c r="G148" s="76" t="s">
        <v>1557</v>
      </c>
      <c r="H148" s="76" t="s">
        <v>73</v>
      </c>
      <c r="J148" s="75" t="s">
        <v>64</v>
      </c>
      <c r="K148" s="76" t="s">
        <v>64</v>
      </c>
      <c r="L148" s="75" t="s">
        <v>65</v>
      </c>
      <c r="M148" s="75">
        <v>2020</v>
      </c>
      <c r="N148" s="75" t="s">
        <v>67</v>
      </c>
      <c r="O148" s="75" t="s">
        <v>64</v>
      </c>
      <c r="P148" s="75" t="s">
        <v>64</v>
      </c>
    </row>
    <row r="149" spans="1:17" ht="32.1">
      <c r="B149" s="79" t="s">
        <v>830</v>
      </c>
      <c r="C149" s="76" t="s">
        <v>1280</v>
      </c>
      <c r="D149" s="76" t="s">
        <v>59</v>
      </c>
      <c r="E149" s="76" t="s">
        <v>1558</v>
      </c>
      <c r="F149" s="76" t="s">
        <v>1559</v>
      </c>
      <c r="G149" s="76" t="s">
        <v>1557</v>
      </c>
      <c r="H149" s="76" t="s">
        <v>73</v>
      </c>
      <c r="J149" s="75" t="s">
        <v>64</v>
      </c>
      <c r="K149" s="76" t="s">
        <v>64</v>
      </c>
      <c r="L149" s="75" t="s">
        <v>65</v>
      </c>
      <c r="M149" s="75">
        <v>2020</v>
      </c>
      <c r="N149" s="75" t="s">
        <v>67</v>
      </c>
      <c r="O149" s="75" t="s">
        <v>64</v>
      </c>
      <c r="P149" s="75" t="s">
        <v>64</v>
      </c>
    </row>
    <row r="150" spans="1:17" ht="80.099999999999994">
      <c r="B150" s="79" t="s">
        <v>830</v>
      </c>
      <c r="C150" s="76" t="s">
        <v>1324</v>
      </c>
      <c r="D150" s="76" t="s">
        <v>59</v>
      </c>
      <c r="E150" s="76" t="s">
        <v>1560</v>
      </c>
      <c r="F150" s="76" t="s">
        <v>1561</v>
      </c>
      <c r="G150" s="76" t="s">
        <v>675</v>
      </c>
      <c r="H150" s="76" t="s">
        <v>433</v>
      </c>
      <c r="J150" s="75" t="s">
        <v>64</v>
      </c>
      <c r="K150" s="76" t="s">
        <v>64</v>
      </c>
      <c r="L150" s="75" t="s">
        <v>65</v>
      </c>
      <c r="M150" s="75">
        <v>2014</v>
      </c>
      <c r="N150" s="75" t="s">
        <v>64</v>
      </c>
      <c r="O150" s="75" t="s">
        <v>64</v>
      </c>
      <c r="P150" s="75" t="s">
        <v>64</v>
      </c>
    </row>
    <row r="151" spans="1:17" ht="48">
      <c r="B151" s="79" t="s">
        <v>830</v>
      </c>
      <c r="C151" s="76" t="s">
        <v>1268</v>
      </c>
      <c r="D151" s="76" t="s">
        <v>59</v>
      </c>
      <c r="E151" s="76" t="s">
        <v>1562</v>
      </c>
      <c r="F151" s="76" t="s">
        <v>1563</v>
      </c>
      <c r="G151" s="76" t="s">
        <v>675</v>
      </c>
      <c r="I151" s="76" t="s">
        <v>1564</v>
      </c>
      <c r="J151" s="75" t="s">
        <v>64</v>
      </c>
      <c r="K151" s="76" t="s">
        <v>64</v>
      </c>
      <c r="L151" s="75" t="s">
        <v>65</v>
      </c>
      <c r="M151" s="75">
        <v>2021</v>
      </c>
      <c r="N151" s="75" t="s">
        <v>67</v>
      </c>
      <c r="O151" s="75" t="s">
        <v>64</v>
      </c>
      <c r="P151" s="75" t="s">
        <v>64</v>
      </c>
    </row>
    <row r="152" spans="1:17" ht="32.1">
      <c r="B152" s="79" t="s">
        <v>830</v>
      </c>
      <c r="C152" s="76" t="s">
        <v>1280</v>
      </c>
      <c r="D152" s="76" t="s">
        <v>59</v>
      </c>
      <c r="E152" s="76" t="s">
        <v>1565</v>
      </c>
      <c r="J152" s="75" t="s">
        <v>64</v>
      </c>
      <c r="K152" s="76" t="s">
        <v>64</v>
      </c>
      <c r="L152" s="75" t="s">
        <v>65</v>
      </c>
      <c r="M152" s="75">
        <v>2023</v>
      </c>
      <c r="N152" s="75" t="s">
        <v>67</v>
      </c>
      <c r="O152" s="75" t="s">
        <v>64</v>
      </c>
      <c r="P152" s="75" t="s">
        <v>64</v>
      </c>
    </row>
    <row r="153" spans="1:17" s="36" customFormat="1" ht="32.1">
      <c r="B153" s="52" t="s">
        <v>843</v>
      </c>
      <c r="C153" s="37" t="s">
        <v>1396</v>
      </c>
      <c r="D153" s="37" t="s">
        <v>59</v>
      </c>
      <c r="E153" s="37" t="s">
        <v>1566</v>
      </c>
      <c r="F153" s="37" t="s">
        <v>1567</v>
      </c>
      <c r="G153" s="37" t="s">
        <v>163</v>
      </c>
      <c r="H153" s="37" t="s">
        <v>73</v>
      </c>
      <c r="I153" s="37"/>
      <c r="J153" s="36" t="s">
        <v>64</v>
      </c>
      <c r="K153" s="37" t="s">
        <v>64</v>
      </c>
      <c r="L153" s="36" t="s">
        <v>65</v>
      </c>
      <c r="M153" s="36">
        <v>2022</v>
      </c>
      <c r="N153" s="36" t="s">
        <v>67</v>
      </c>
      <c r="O153" s="36" t="s">
        <v>64</v>
      </c>
      <c r="P153" s="36" t="s">
        <v>64</v>
      </c>
      <c r="Q153" s="37"/>
    </row>
    <row r="154" spans="1:17" ht="49.5" customHeight="1">
      <c r="B154" s="79" t="s">
        <v>843</v>
      </c>
      <c r="C154" s="76" t="s">
        <v>1280</v>
      </c>
      <c r="D154" s="76" t="s">
        <v>128</v>
      </c>
      <c r="E154" s="76" t="s">
        <v>1568</v>
      </c>
      <c r="H154" s="76" t="s">
        <v>516</v>
      </c>
      <c r="J154" s="75" t="s">
        <v>64</v>
      </c>
      <c r="K154" s="76" t="s">
        <v>64</v>
      </c>
      <c r="L154" s="75" t="s">
        <v>65</v>
      </c>
      <c r="M154" s="75">
        <v>2010</v>
      </c>
      <c r="N154" s="75" t="s">
        <v>64</v>
      </c>
      <c r="O154" s="75" t="s">
        <v>64</v>
      </c>
      <c r="P154" s="75" t="s">
        <v>64</v>
      </c>
    </row>
    <row r="155" spans="1:17" s="36" customFormat="1" ht="15.95">
      <c r="A155" s="36">
        <v>0</v>
      </c>
      <c r="B155" s="52" t="s">
        <v>1238</v>
      </c>
      <c r="C155" s="37"/>
      <c r="D155" s="37"/>
      <c r="E155" s="37"/>
      <c r="F155" s="37"/>
      <c r="G155" s="37"/>
      <c r="H155" s="37"/>
      <c r="I155" s="37"/>
      <c r="J155" s="36" t="s">
        <v>64</v>
      </c>
      <c r="K155" s="37" t="s">
        <v>64</v>
      </c>
      <c r="N155" s="36" t="s">
        <v>64</v>
      </c>
      <c r="O155" s="36" t="s">
        <v>64</v>
      </c>
      <c r="P155" s="36" t="s">
        <v>64</v>
      </c>
      <c r="Q155" s="37"/>
    </row>
    <row r="156" spans="1:17" s="36" customFormat="1" ht="15.95">
      <c r="A156" s="36">
        <v>0</v>
      </c>
      <c r="B156" s="52" t="s">
        <v>866</v>
      </c>
      <c r="C156" s="37"/>
      <c r="D156" s="37"/>
      <c r="E156" s="37"/>
      <c r="F156" s="37"/>
      <c r="G156" s="37"/>
      <c r="H156" s="37"/>
      <c r="I156" s="37"/>
      <c r="J156" s="36" t="s">
        <v>64</v>
      </c>
      <c r="K156" s="37" t="s">
        <v>64</v>
      </c>
      <c r="N156" s="36" t="s">
        <v>64</v>
      </c>
      <c r="O156" s="36" t="s">
        <v>64</v>
      </c>
      <c r="P156" s="36" t="s">
        <v>64</v>
      </c>
      <c r="Q156" s="37"/>
    </row>
    <row r="157" spans="1:17" s="36" customFormat="1" ht="80.099999999999994">
      <c r="B157" s="52" t="s">
        <v>879</v>
      </c>
      <c r="C157" s="37" t="s">
        <v>58</v>
      </c>
      <c r="D157" s="37" t="s">
        <v>927</v>
      </c>
      <c r="E157" s="37" t="s">
        <v>1569</v>
      </c>
      <c r="F157" s="37"/>
      <c r="G157" s="37"/>
      <c r="H157" s="37" t="s">
        <v>73</v>
      </c>
      <c r="I157" s="37"/>
      <c r="K157" s="37"/>
      <c r="L157" s="36" t="s">
        <v>65</v>
      </c>
      <c r="M157" s="36">
        <v>2010</v>
      </c>
      <c r="N157" s="36" t="s">
        <v>64</v>
      </c>
      <c r="O157" s="36" t="s">
        <v>64</v>
      </c>
      <c r="P157" s="36" t="s">
        <v>64</v>
      </c>
      <c r="Q157" s="37"/>
    </row>
    <row r="158" spans="1:17" ht="128.1">
      <c r="B158" s="79" t="s">
        <v>879</v>
      </c>
      <c r="C158" s="76" t="s">
        <v>1324</v>
      </c>
      <c r="D158" s="76" t="s">
        <v>59</v>
      </c>
      <c r="E158" s="76" t="s">
        <v>1570</v>
      </c>
      <c r="F158" s="76" t="s">
        <v>1571</v>
      </c>
      <c r="G158" s="76" t="s">
        <v>62</v>
      </c>
      <c r="H158" s="76" t="s">
        <v>433</v>
      </c>
      <c r="J158" s="75" t="s">
        <v>67</v>
      </c>
      <c r="K158" s="39" t="s">
        <v>1572</v>
      </c>
      <c r="L158" s="75" t="s">
        <v>65</v>
      </c>
      <c r="M158" s="75">
        <v>2021</v>
      </c>
      <c r="N158" s="75" t="s">
        <v>67</v>
      </c>
      <c r="O158" s="75" t="s">
        <v>64</v>
      </c>
      <c r="P158" s="75" t="s">
        <v>64</v>
      </c>
    </row>
    <row r="159" spans="1:17" ht="80.099999999999994">
      <c r="B159" s="79" t="s">
        <v>879</v>
      </c>
      <c r="C159" s="76" t="s">
        <v>1280</v>
      </c>
      <c r="D159" s="76" t="s">
        <v>59</v>
      </c>
      <c r="E159" s="76" t="s">
        <v>1573</v>
      </c>
      <c r="F159" s="76" t="s">
        <v>1328</v>
      </c>
      <c r="G159" s="76" t="s">
        <v>62</v>
      </c>
      <c r="H159" s="76" t="s">
        <v>433</v>
      </c>
      <c r="J159" s="75" t="s">
        <v>67</v>
      </c>
      <c r="K159" s="39" t="s">
        <v>1574</v>
      </c>
      <c r="L159" s="75" t="s">
        <v>65</v>
      </c>
      <c r="M159" s="75">
        <v>2021</v>
      </c>
      <c r="N159" s="75" t="s">
        <v>67</v>
      </c>
      <c r="O159" s="75" t="s">
        <v>64</v>
      </c>
      <c r="P159" s="75" t="s">
        <v>64</v>
      </c>
    </row>
    <row r="160" spans="1:17" ht="48">
      <c r="B160" s="79" t="s">
        <v>879</v>
      </c>
      <c r="C160" s="76" t="s">
        <v>1280</v>
      </c>
      <c r="D160" s="76" t="s">
        <v>275</v>
      </c>
      <c r="E160" s="76" t="s">
        <v>1575</v>
      </c>
      <c r="F160" s="76" t="s">
        <v>1576</v>
      </c>
      <c r="G160" s="76" t="s">
        <v>163</v>
      </c>
      <c r="H160" s="76" t="s">
        <v>73</v>
      </c>
      <c r="I160" s="76" t="s">
        <v>1577</v>
      </c>
      <c r="J160" s="75" t="s">
        <v>64</v>
      </c>
      <c r="K160" s="76" t="s">
        <v>64</v>
      </c>
      <c r="L160" s="75" t="s">
        <v>65</v>
      </c>
      <c r="M160" s="75">
        <v>1990</v>
      </c>
      <c r="N160" s="75" t="s">
        <v>64</v>
      </c>
      <c r="O160" s="75" t="s">
        <v>64</v>
      </c>
      <c r="P160" s="75" t="s">
        <v>64</v>
      </c>
    </row>
    <row r="161" spans="2:17" ht="48">
      <c r="B161" s="79" t="s">
        <v>885</v>
      </c>
      <c r="C161" s="76" t="s">
        <v>1324</v>
      </c>
      <c r="D161" s="76" t="s">
        <v>59</v>
      </c>
      <c r="E161" s="76" t="s">
        <v>1578</v>
      </c>
      <c r="H161" s="76" t="s">
        <v>516</v>
      </c>
      <c r="J161" s="75" t="s">
        <v>64</v>
      </c>
      <c r="K161" s="76" t="s">
        <v>64</v>
      </c>
      <c r="L161" s="75" t="s">
        <v>65</v>
      </c>
      <c r="M161" s="75">
        <v>2020</v>
      </c>
      <c r="N161" s="75" t="s">
        <v>64</v>
      </c>
      <c r="O161" s="75" t="s">
        <v>64</v>
      </c>
      <c r="P161" s="75" t="s">
        <v>64</v>
      </c>
    </row>
    <row r="162" spans="2:17" s="36" customFormat="1" ht="32.1">
      <c r="B162" s="52" t="s">
        <v>1247</v>
      </c>
      <c r="C162" s="37" t="s">
        <v>1280</v>
      </c>
      <c r="D162" s="37" t="s">
        <v>1035</v>
      </c>
      <c r="E162" s="37" t="s">
        <v>903</v>
      </c>
      <c r="F162" s="37" t="s">
        <v>1579</v>
      </c>
      <c r="G162" s="37" t="s">
        <v>1580</v>
      </c>
      <c r="H162" s="37" t="s">
        <v>516</v>
      </c>
      <c r="I162" s="37"/>
      <c r="J162" s="36" t="s">
        <v>64</v>
      </c>
      <c r="K162" s="37" t="s">
        <v>64</v>
      </c>
      <c r="L162" s="36" t="s">
        <v>65</v>
      </c>
      <c r="M162" s="36">
        <v>2020</v>
      </c>
      <c r="N162" s="36" t="s">
        <v>64</v>
      </c>
      <c r="O162" s="36" t="s">
        <v>64</v>
      </c>
      <c r="P162" s="36" t="s">
        <v>64</v>
      </c>
      <c r="Q162" s="37"/>
    </row>
    <row r="163" spans="2:17" ht="176.1">
      <c r="B163" s="79" t="s">
        <v>1247</v>
      </c>
      <c r="C163" s="76" t="s">
        <v>1324</v>
      </c>
      <c r="D163" s="76" t="s">
        <v>927</v>
      </c>
      <c r="E163" s="76" t="s">
        <v>1248</v>
      </c>
      <c r="F163" s="76" t="s">
        <v>1581</v>
      </c>
      <c r="G163" s="76" t="s">
        <v>906</v>
      </c>
      <c r="H163" s="76" t="s">
        <v>516</v>
      </c>
      <c r="J163" s="75" t="s">
        <v>64</v>
      </c>
      <c r="K163" s="76" t="s">
        <v>64</v>
      </c>
      <c r="L163" s="75" t="s">
        <v>65</v>
      </c>
      <c r="M163" s="75">
        <v>2020</v>
      </c>
      <c r="N163" s="75" t="s">
        <v>64</v>
      </c>
      <c r="O163" s="75" t="s">
        <v>64</v>
      </c>
      <c r="P163" s="75" t="s">
        <v>64</v>
      </c>
    </row>
    <row r="164" spans="2:17" ht="32.1">
      <c r="B164" s="79" t="s">
        <v>1247</v>
      </c>
      <c r="C164" s="76" t="s">
        <v>1280</v>
      </c>
      <c r="D164" s="76" t="s">
        <v>927</v>
      </c>
      <c r="E164" s="76" t="s">
        <v>1582</v>
      </c>
      <c r="F164" s="76" t="s">
        <v>1280</v>
      </c>
      <c r="G164" s="28" t="s">
        <v>1319</v>
      </c>
      <c r="H164" s="76" t="s">
        <v>516</v>
      </c>
      <c r="J164" s="75" t="s">
        <v>64</v>
      </c>
      <c r="K164" s="76" t="s">
        <v>64</v>
      </c>
      <c r="L164" s="75" t="s">
        <v>65</v>
      </c>
      <c r="M164" s="75">
        <v>2020</v>
      </c>
      <c r="N164" s="75" t="s">
        <v>64</v>
      </c>
      <c r="O164" s="75" t="s">
        <v>64</v>
      </c>
      <c r="P164" s="75" t="s">
        <v>64</v>
      </c>
    </row>
    <row r="165" spans="2:17" ht="176.1">
      <c r="B165" s="79" t="s">
        <v>1247</v>
      </c>
      <c r="C165" s="76" t="s">
        <v>1324</v>
      </c>
      <c r="D165" s="76" t="s">
        <v>59</v>
      </c>
      <c r="E165" s="76" t="s">
        <v>1583</v>
      </c>
      <c r="F165" s="76" t="s">
        <v>1581</v>
      </c>
      <c r="G165" s="76" t="s">
        <v>1584</v>
      </c>
      <c r="H165" s="76" t="s">
        <v>516</v>
      </c>
      <c r="J165" s="75" t="s">
        <v>64</v>
      </c>
      <c r="K165" s="76" t="s">
        <v>64</v>
      </c>
      <c r="L165" s="75" t="s">
        <v>65</v>
      </c>
      <c r="M165" s="75">
        <v>2020</v>
      </c>
      <c r="N165" s="75" t="s">
        <v>64</v>
      </c>
      <c r="O165" s="75" t="s">
        <v>64</v>
      </c>
      <c r="P165" s="75" t="s">
        <v>64</v>
      </c>
    </row>
    <row r="166" spans="2:17" s="36" customFormat="1" ht="48">
      <c r="B166" s="52" t="s">
        <v>912</v>
      </c>
      <c r="C166" s="37" t="s">
        <v>1324</v>
      </c>
      <c r="D166" s="37" t="s">
        <v>128</v>
      </c>
      <c r="E166" s="37" t="s">
        <v>1585</v>
      </c>
      <c r="F166" s="37" t="s">
        <v>1586</v>
      </c>
      <c r="G166" s="37" t="s">
        <v>62</v>
      </c>
      <c r="H166" s="37" t="s">
        <v>73</v>
      </c>
      <c r="I166" s="37"/>
      <c r="J166" s="36" t="s">
        <v>64</v>
      </c>
      <c r="K166" s="37" t="s">
        <v>64</v>
      </c>
      <c r="L166" s="36" t="s">
        <v>65</v>
      </c>
      <c r="M166" s="36">
        <v>2010</v>
      </c>
      <c r="N166" s="36" t="s">
        <v>64</v>
      </c>
      <c r="O166" s="36" t="s">
        <v>64</v>
      </c>
      <c r="P166" s="36" t="s">
        <v>64</v>
      </c>
      <c r="Q166" s="37"/>
    </row>
    <row r="167" spans="2:17" ht="32.1">
      <c r="B167" s="79" t="s">
        <v>912</v>
      </c>
      <c r="C167" s="76" t="s">
        <v>1268</v>
      </c>
      <c r="D167" s="76" t="s">
        <v>927</v>
      </c>
      <c r="E167" s="76" t="s">
        <v>1587</v>
      </c>
      <c r="F167" s="76" t="s">
        <v>1588</v>
      </c>
      <c r="G167" s="76" t="s">
        <v>62</v>
      </c>
      <c r="I167" s="76" t="s">
        <v>1589</v>
      </c>
      <c r="J167" s="75" t="s">
        <v>64</v>
      </c>
      <c r="K167" s="76" t="s">
        <v>64</v>
      </c>
      <c r="L167" s="75" t="s">
        <v>65</v>
      </c>
      <c r="M167" s="75">
        <v>2021</v>
      </c>
      <c r="N167" s="75" t="s">
        <v>67</v>
      </c>
      <c r="O167" s="75" t="s">
        <v>64</v>
      </c>
      <c r="P167" s="75" t="s">
        <v>64</v>
      </c>
    </row>
  </sheetData>
  <hyperlinks>
    <hyperlink ref="K30" r:id="rId1" xr:uid="{1EC3DA7E-1800-47A5-BF12-E4D7569B0F5D}"/>
    <hyperlink ref="K31" r:id="rId2" xr:uid="{FFF88FF0-AF46-4154-87A8-466F26DA2210}"/>
    <hyperlink ref="K137" r:id="rId3" xr:uid="{F4D22578-B2E7-4FEC-BEF7-42E0539FE207}"/>
    <hyperlink ref="K142" r:id="rId4" xr:uid="{D8B8E390-3913-4DFC-99E0-B1E3CF945D8B}"/>
    <hyperlink ref="K158" r:id="rId5" xr:uid="{6EA1897D-9B73-4311-A9EA-8829A4C08FD5}"/>
    <hyperlink ref="K159" r:id="rId6" xr:uid="{D86733AB-5DDE-4A92-A773-438D1C68310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8FCB2-D987-4E69-8223-D6337FECBF39}">
  <dimension ref="A1:T182"/>
  <sheetViews>
    <sheetView topLeftCell="C1" workbookViewId="0">
      <pane ySplit="1" topLeftCell="A72" activePane="bottomLeft" state="frozen"/>
      <selection pane="bottomLeft" activeCell="E72" sqref="E72"/>
    </sheetView>
  </sheetViews>
  <sheetFormatPr defaultColWidth="9.140625" defaultRowHeight="15"/>
  <cols>
    <col min="1" max="1" width="9.28515625" style="23" customWidth="1"/>
    <col min="2" max="2" width="17.42578125" style="23" customWidth="1"/>
    <col min="3" max="3" width="19.28515625" style="23" customWidth="1"/>
    <col min="4" max="4" width="27.42578125" style="23" customWidth="1"/>
    <col min="5" max="5" width="26.42578125" style="23" customWidth="1"/>
    <col min="6" max="6" width="22.42578125" style="23" customWidth="1"/>
    <col min="7" max="7" width="19.85546875" style="23" customWidth="1"/>
    <col min="8" max="9" width="22.7109375" style="23" customWidth="1"/>
    <col min="10" max="10" width="27.42578125" style="23" customWidth="1"/>
    <col min="11" max="11" width="24.85546875" style="23" customWidth="1"/>
    <col min="12" max="12" width="10.140625" style="23" customWidth="1"/>
    <col min="13" max="13" width="15.7109375" style="42" customWidth="1"/>
    <col min="14" max="14" width="12.42578125" style="23" customWidth="1"/>
    <col min="15" max="15" width="13.42578125" style="23" customWidth="1"/>
    <col min="16" max="16" width="10.140625" style="23" customWidth="1"/>
    <col min="17" max="17" width="10.85546875" style="23" customWidth="1"/>
    <col min="18" max="18" width="10.140625" style="23" customWidth="1"/>
    <col min="19" max="19" width="22" style="23" customWidth="1"/>
    <col min="20" max="16384" width="9.140625" style="23"/>
  </cols>
  <sheetData>
    <row r="1" spans="1:20" s="22" customFormat="1" ht="94.5" customHeight="1">
      <c r="A1" s="22" t="s">
        <v>1</v>
      </c>
      <c r="B1" s="22" t="s">
        <v>48</v>
      </c>
      <c r="C1" s="22" t="s">
        <v>49</v>
      </c>
      <c r="D1" s="22" t="s">
        <v>19</v>
      </c>
      <c r="E1" s="22" t="s">
        <v>21</v>
      </c>
      <c r="F1" s="22" t="s">
        <v>23</v>
      </c>
      <c r="G1" s="22" t="s">
        <v>25</v>
      </c>
      <c r="H1" s="22" t="s">
        <v>27</v>
      </c>
      <c r="I1" s="22" t="s">
        <v>1590</v>
      </c>
      <c r="J1" s="22" t="s">
        <v>29</v>
      </c>
      <c r="K1" s="22" t="s">
        <v>1591</v>
      </c>
      <c r="L1" s="22" t="s">
        <v>31</v>
      </c>
      <c r="M1" s="41" t="s">
        <v>33</v>
      </c>
      <c r="N1" s="22" t="s">
        <v>35</v>
      </c>
      <c r="O1" s="22" t="s">
        <v>37</v>
      </c>
      <c r="P1" s="22" t="s">
        <v>50</v>
      </c>
      <c r="Q1" s="22" t="s">
        <v>41</v>
      </c>
      <c r="R1" s="22" t="s">
        <v>44</v>
      </c>
      <c r="S1" s="25" t="s">
        <v>46</v>
      </c>
      <c r="T1" s="24"/>
    </row>
    <row r="2" spans="1:20" ht="63.95">
      <c r="A2" s="23">
        <v>20</v>
      </c>
      <c r="B2" s="23" t="s">
        <v>143</v>
      </c>
      <c r="C2" s="23" t="s">
        <v>1592</v>
      </c>
      <c r="D2" s="23" t="s">
        <v>1593</v>
      </c>
      <c r="E2" s="23" t="s">
        <v>1594</v>
      </c>
      <c r="F2" s="23" t="s">
        <v>1595</v>
      </c>
      <c r="G2" s="23" t="s">
        <v>1596</v>
      </c>
      <c r="J2" s="23" t="s">
        <v>1597</v>
      </c>
      <c r="K2" s="23" t="s">
        <v>1598</v>
      </c>
      <c r="L2" s="23" t="s">
        <v>64</v>
      </c>
      <c r="M2" s="42" t="s">
        <v>64</v>
      </c>
      <c r="N2" s="23" t="s">
        <v>65</v>
      </c>
      <c r="O2" s="23">
        <v>2021</v>
      </c>
      <c r="P2" s="23" t="s">
        <v>64</v>
      </c>
      <c r="Q2" s="23" t="s">
        <v>64</v>
      </c>
      <c r="R2" s="23" t="s">
        <v>64</v>
      </c>
    </row>
    <row r="3" spans="1:20" ht="32.1">
      <c r="B3" s="23" t="s">
        <v>143</v>
      </c>
      <c r="C3" s="23" t="s">
        <v>1592</v>
      </c>
      <c r="D3" s="23" t="s">
        <v>1593</v>
      </c>
      <c r="E3" s="23" t="s">
        <v>1599</v>
      </c>
      <c r="F3" s="23" t="s">
        <v>1600</v>
      </c>
      <c r="G3" s="23" t="s">
        <v>338</v>
      </c>
      <c r="J3" s="23" t="s">
        <v>1601</v>
      </c>
      <c r="K3" s="23" t="s">
        <v>1601</v>
      </c>
      <c r="L3" s="23" t="s">
        <v>64</v>
      </c>
      <c r="M3" s="42" t="s">
        <v>64</v>
      </c>
      <c r="N3" s="23" t="s">
        <v>65</v>
      </c>
      <c r="O3" s="23">
        <v>2023</v>
      </c>
      <c r="P3" s="23" t="s">
        <v>67</v>
      </c>
      <c r="Q3" s="23" t="s">
        <v>64</v>
      </c>
      <c r="R3" s="23" t="s">
        <v>64</v>
      </c>
    </row>
    <row r="4" spans="1:20" ht="32.1">
      <c r="B4" s="23" t="s">
        <v>143</v>
      </c>
      <c r="C4" s="23" t="s">
        <v>1592</v>
      </c>
      <c r="D4" s="23" t="s">
        <v>1593</v>
      </c>
      <c r="E4" s="23" t="s">
        <v>1602</v>
      </c>
      <c r="F4" s="23" t="s">
        <v>1600</v>
      </c>
      <c r="G4" s="23" t="s">
        <v>338</v>
      </c>
      <c r="J4" s="23" t="s">
        <v>1601</v>
      </c>
      <c r="K4" s="23" t="s">
        <v>1601</v>
      </c>
      <c r="L4" s="23" t="s">
        <v>64</v>
      </c>
      <c r="M4" s="42" t="s">
        <v>64</v>
      </c>
      <c r="N4" s="23" t="s">
        <v>65</v>
      </c>
      <c r="O4" s="23">
        <v>2022</v>
      </c>
      <c r="P4" s="23" t="s">
        <v>67</v>
      </c>
      <c r="Q4" s="23" t="s">
        <v>64</v>
      </c>
      <c r="R4" s="23" t="s">
        <v>64</v>
      </c>
    </row>
    <row r="5" spans="1:20" ht="32.1">
      <c r="B5" s="23" t="s">
        <v>143</v>
      </c>
      <c r="C5" s="23" t="s">
        <v>1592</v>
      </c>
      <c r="D5" s="23" t="s">
        <v>1593</v>
      </c>
      <c r="E5" s="23" t="s">
        <v>1603</v>
      </c>
      <c r="F5" s="23" t="s">
        <v>1600</v>
      </c>
      <c r="G5" s="23" t="s">
        <v>338</v>
      </c>
      <c r="J5" s="23" t="s">
        <v>1601</v>
      </c>
      <c r="K5" s="23" t="s">
        <v>1601</v>
      </c>
      <c r="L5" s="23" t="s">
        <v>64</v>
      </c>
      <c r="M5" s="42" t="s">
        <v>64</v>
      </c>
      <c r="N5" s="23" t="s">
        <v>65</v>
      </c>
      <c r="O5" s="23">
        <v>2022</v>
      </c>
      <c r="P5" s="23" t="s">
        <v>67</v>
      </c>
      <c r="Q5" s="23" t="s">
        <v>64</v>
      </c>
      <c r="R5" s="23" t="s">
        <v>64</v>
      </c>
    </row>
    <row r="6" spans="1:20" ht="32.1">
      <c r="B6" s="23" t="s">
        <v>143</v>
      </c>
      <c r="C6" s="23" t="s">
        <v>1592</v>
      </c>
      <c r="D6" s="23" t="s">
        <v>1593</v>
      </c>
      <c r="E6" s="23" t="s">
        <v>1604</v>
      </c>
      <c r="F6" s="23" t="s">
        <v>1600</v>
      </c>
      <c r="G6" s="23" t="s">
        <v>163</v>
      </c>
      <c r="J6" s="23" t="s">
        <v>1601</v>
      </c>
      <c r="K6" s="23" t="s">
        <v>1601</v>
      </c>
      <c r="L6" s="23" t="s">
        <v>64</v>
      </c>
      <c r="M6" s="42" t="s">
        <v>64</v>
      </c>
      <c r="N6" s="23" t="s">
        <v>65</v>
      </c>
      <c r="O6" s="23">
        <v>2021</v>
      </c>
      <c r="P6" s="23" t="s">
        <v>67</v>
      </c>
      <c r="Q6" s="23" t="s">
        <v>64</v>
      </c>
      <c r="R6" s="23" t="s">
        <v>64</v>
      </c>
    </row>
    <row r="7" spans="1:20" ht="48">
      <c r="B7" s="23" t="s">
        <v>143</v>
      </c>
      <c r="C7" s="23" t="s">
        <v>1592</v>
      </c>
      <c r="D7" s="23" t="s">
        <v>1593</v>
      </c>
      <c r="E7" s="23" t="s">
        <v>1605</v>
      </c>
      <c r="F7" s="23" t="s">
        <v>1600</v>
      </c>
      <c r="G7" s="23" t="s">
        <v>163</v>
      </c>
      <c r="J7" s="23" t="s">
        <v>1601</v>
      </c>
      <c r="K7" s="23" t="s">
        <v>1601</v>
      </c>
      <c r="L7" s="23" t="s">
        <v>64</v>
      </c>
      <c r="M7" s="42" t="s">
        <v>64</v>
      </c>
      <c r="N7" s="23" t="s">
        <v>65</v>
      </c>
      <c r="O7" s="23">
        <v>2021</v>
      </c>
      <c r="P7" s="23" t="s">
        <v>67</v>
      </c>
      <c r="Q7" s="23" t="s">
        <v>64</v>
      </c>
      <c r="R7" s="23" t="s">
        <v>64</v>
      </c>
    </row>
    <row r="8" spans="1:20" ht="32.1">
      <c r="B8" s="23" t="s">
        <v>143</v>
      </c>
      <c r="C8" s="23" t="s">
        <v>1606</v>
      </c>
      <c r="D8" s="23" t="s">
        <v>1593</v>
      </c>
      <c r="E8" s="23" t="s">
        <v>1607</v>
      </c>
      <c r="F8" s="23" t="s">
        <v>1608</v>
      </c>
      <c r="G8" s="23" t="s">
        <v>163</v>
      </c>
      <c r="J8" s="23" t="s">
        <v>1601</v>
      </c>
      <c r="K8" s="23" t="s">
        <v>1601</v>
      </c>
      <c r="L8" s="23" t="s">
        <v>64</v>
      </c>
      <c r="M8" s="42" t="s">
        <v>64</v>
      </c>
      <c r="N8" s="23" t="s">
        <v>65</v>
      </c>
      <c r="O8" s="23">
        <v>2021</v>
      </c>
      <c r="P8" s="23" t="s">
        <v>67</v>
      </c>
      <c r="Q8" s="23" t="s">
        <v>64</v>
      </c>
      <c r="R8" s="23" t="s">
        <v>64</v>
      </c>
    </row>
    <row r="9" spans="1:20" ht="48">
      <c r="B9" s="23" t="s">
        <v>143</v>
      </c>
      <c r="C9" s="23" t="s">
        <v>1606</v>
      </c>
      <c r="D9" s="23" t="s">
        <v>1593</v>
      </c>
      <c r="E9" s="23" t="s">
        <v>1609</v>
      </c>
      <c r="F9" s="23" t="s">
        <v>1610</v>
      </c>
      <c r="G9" s="23" t="s">
        <v>163</v>
      </c>
      <c r="J9" s="23" t="s">
        <v>1601</v>
      </c>
      <c r="K9" s="23" t="s">
        <v>1601</v>
      </c>
      <c r="L9" s="23" t="s">
        <v>64</v>
      </c>
      <c r="M9" s="42" t="s">
        <v>64</v>
      </c>
      <c r="N9" s="23" t="s">
        <v>65</v>
      </c>
      <c r="O9" s="23">
        <v>2021</v>
      </c>
      <c r="P9" s="23" t="s">
        <v>67</v>
      </c>
      <c r="Q9" s="23" t="s">
        <v>64</v>
      </c>
      <c r="R9" s="23" t="s">
        <v>64</v>
      </c>
    </row>
    <row r="10" spans="1:20" ht="63.95">
      <c r="B10" s="23" t="s">
        <v>143</v>
      </c>
      <c r="C10" s="23" t="s">
        <v>1592</v>
      </c>
      <c r="D10" s="23" t="s">
        <v>1593</v>
      </c>
      <c r="E10" s="23" t="s">
        <v>1611</v>
      </c>
      <c r="F10" s="23" t="s">
        <v>1612</v>
      </c>
      <c r="G10" s="23" t="s">
        <v>156</v>
      </c>
      <c r="J10" s="23" t="s">
        <v>1601</v>
      </c>
      <c r="K10" s="23" t="s">
        <v>1601</v>
      </c>
      <c r="L10" s="23" t="s">
        <v>64</v>
      </c>
      <c r="M10" s="42" t="s">
        <v>64</v>
      </c>
      <c r="N10" s="23" t="s">
        <v>65</v>
      </c>
      <c r="O10" s="23">
        <v>2021</v>
      </c>
      <c r="P10" s="23" t="s">
        <v>67</v>
      </c>
      <c r="Q10" s="23" t="s">
        <v>64</v>
      </c>
      <c r="R10" s="23" t="s">
        <v>64</v>
      </c>
    </row>
    <row r="11" spans="1:20" ht="32.1">
      <c r="B11" s="23" t="s">
        <v>143</v>
      </c>
      <c r="C11" s="23" t="s">
        <v>1592</v>
      </c>
      <c r="D11" s="23" t="s">
        <v>1593</v>
      </c>
      <c r="E11" s="23" t="s">
        <v>1613</v>
      </c>
      <c r="F11" s="23" t="s">
        <v>1614</v>
      </c>
      <c r="G11" s="23" t="s">
        <v>62</v>
      </c>
      <c r="J11" s="23" t="s">
        <v>1601</v>
      </c>
      <c r="K11" s="23" t="s">
        <v>1601</v>
      </c>
      <c r="L11" s="23" t="s">
        <v>64</v>
      </c>
      <c r="M11" s="42" t="s">
        <v>64</v>
      </c>
      <c r="N11" s="23" t="s">
        <v>65</v>
      </c>
      <c r="O11" s="23">
        <v>2021</v>
      </c>
      <c r="P11" s="23" t="s">
        <v>64</v>
      </c>
      <c r="Q11" s="23" t="s">
        <v>64</v>
      </c>
      <c r="R11" s="23" t="s">
        <v>64</v>
      </c>
    </row>
    <row r="12" spans="1:20" ht="32.1">
      <c r="B12" s="23" t="s">
        <v>143</v>
      </c>
      <c r="C12" s="23" t="s">
        <v>1592</v>
      </c>
      <c r="D12" s="23" t="s">
        <v>1593</v>
      </c>
      <c r="E12" s="23" t="s">
        <v>1615</v>
      </c>
      <c r="F12" s="23" t="s">
        <v>1614</v>
      </c>
      <c r="G12" s="23" t="s">
        <v>163</v>
      </c>
      <c r="J12" s="23" t="s">
        <v>1601</v>
      </c>
      <c r="K12" s="23" t="s">
        <v>1601</v>
      </c>
      <c r="L12" s="23" t="s">
        <v>64</v>
      </c>
      <c r="M12" s="42" t="s">
        <v>64</v>
      </c>
      <c r="N12" s="23" t="s">
        <v>65</v>
      </c>
      <c r="O12" s="23">
        <v>2021</v>
      </c>
      <c r="P12" s="23" t="s">
        <v>64</v>
      </c>
      <c r="Q12" s="23" t="s">
        <v>64</v>
      </c>
      <c r="R12" s="23" t="s">
        <v>64</v>
      </c>
    </row>
    <row r="13" spans="1:20" ht="32.1">
      <c r="B13" s="23" t="s">
        <v>143</v>
      </c>
      <c r="C13" s="23" t="s">
        <v>1592</v>
      </c>
      <c r="D13" s="23" t="s">
        <v>1593</v>
      </c>
      <c r="E13" s="23" t="s">
        <v>1616</v>
      </c>
      <c r="F13" s="23" t="s">
        <v>1614</v>
      </c>
      <c r="G13" s="23" t="s">
        <v>62</v>
      </c>
      <c r="H13" s="23" t="s">
        <v>72</v>
      </c>
      <c r="I13" s="23" t="s">
        <v>73</v>
      </c>
      <c r="J13" s="23" t="s">
        <v>68</v>
      </c>
      <c r="L13" s="23" t="s">
        <v>67</v>
      </c>
      <c r="M13" s="43" t="s">
        <v>1617</v>
      </c>
      <c r="N13" s="23" t="s">
        <v>65</v>
      </c>
      <c r="O13" s="23">
        <v>2021</v>
      </c>
      <c r="P13" s="23" t="s">
        <v>67</v>
      </c>
      <c r="Q13" s="23" t="s">
        <v>64</v>
      </c>
      <c r="R13" s="23" t="s">
        <v>64</v>
      </c>
    </row>
    <row r="14" spans="1:20" ht="48">
      <c r="B14" s="23" t="s">
        <v>143</v>
      </c>
      <c r="C14" s="23" t="s">
        <v>1592</v>
      </c>
      <c r="D14" s="23" t="s">
        <v>1593</v>
      </c>
      <c r="E14" s="23" t="s">
        <v>1618</v>
      </c>
      <c r="F14" s="23" t="s">
        <v>1614</v>
      </c>
      <c r="G14" s="23" t="s">
        <v>62</v>
      </c>
      <c r="H14" s="23" t="s">
        <v>72</v>
      </c>
      <c r="I14" s="23" t="s">
        <v>73</v>
      </c>
      <c r="J14" s="23" t="s">
        <v>68</v>
      </c>
      <c r="L14" s="23" t="s">
        <v>64</v>
      </c>
      <c r="M14" s="42" t="s">
        <v>64</v>
      </c>
      <c r="N14" s="23" t="s">
        <v>65</v>
      </c>
      <c r="O14" s="23">
        <v>2021</v>
      </c>
      <c r="P14" s="23" t="s">
        <v>64</v>
      </c>
      <c r="Q14" s="23" t="s">
        <v>64</v>
      </c>
      <c r="R14" s="23" t="s">
        <v>64</v>
      </c>
    </row>
    <row r="15" spans="1:20" ht="32.1">
      <c r="B15" s="23" t="s">
        <v>143</v>
      </c>
      <c r="C15" s="23" t="s">
        <v>1592</v>
      </c>
      <c r="D15" s="23" t="s">
        <v>1593</v>
      </c>
      <c r="E15" s="23" t="s">
        <v>1619</v>
      </c>
      <c r="F15" s="23" t="s">
        <v>1620</v>
      </c>
      <c r="G15" s="23" t="s">
        <v>163</v>
      </c>
      <c r="H15" s="23" t="s">
        <v>72</v>
      </c>
      <c r="I15" s="23" t="s">
        <v>73</v>
      </c>
      <c r="J15" s="23" t="s">
        <v>68</v>
      </c>
      <c r="L15" s="23" t="s">
        <v>64</v>
      </c>
      <c r="M15" s="42" t="s">
        <v>64</v>
      </c>
      <c r="N15" s="23" t="s">
        <v>65</v>
      </c>
      <c r="O15" s="23">
        <v>2021</v>
      </c>
      <c r="P15" s="23" t="s">
        <v>64</v>
      </c>
      <c r="Q15" s="23" t="s">
        <v>64</v>
      </c>
      <c r="R15" s="23" t="s">
        <v>64</v>
      </c>
    </row>
    <row r="16" spans="1:20" ht="48">
      <c r="B16" s="23" t="s">
        <v>143</v>
      </c>
      <c r="C16" s="23" t="s">
        <v>1606</v>
      </c>
      <c r="D16" s="23" t="s">
        <v>1593</v>
      </c>
      <c r="E16" s="23" t="s">
        <v>1621</v>
      </c>
      <c r="F16" s="23" t="s">
        <v>1608</v>
      </c>
      <c r="G16" s="23" t="s">
        <v>163</v>
      </c>
      <c r="J16" s="23" t="s">
        <v>1622</v>
      </c>
      <c r="K16" s="23" t="s">
        <v>1601</v>
      </c>
      <c r="L16" s="23" t="s">
        <v>64</v>
      </c>
      <c r="M16" s="42" t="s">
        <v>64</v>
      </c>
      <c r="N16" s="23" t="s">
        <v>65</v>
      </c>
      <c r="O16" s="23">
        <v>2021</v>
      </c>
      <c r="P16" s="23" t="s">
        <v>67</v>
      </c>
      <c r="Q16" s="23" t="s">
        <v>64</v>
      </c>
      <c r="R16" s="23" t="s">
        <v>64</v>
      </c>
    </row>
    <row r="17" spans="1:19" ht="63.95">
      <c r="B17" s="23" t="s">
        <v>143</v>
      </c>
      <c r="C17" s="23" t="s">
        <v>1623</v>
      </c>
      <c r="D17" s="23" t="s">
        <v>1593</v>
      </c>
      <c r="E17" s="23" t="s">
        <v>1624</v>
      </c>
      <c r="F17" s="23" t="s">
        <v>1625</v>
      </c>
      <c r="G17" s="23" t="s">
        <v>163</v>
      </c>
      <c r="J17" s="23" t="s">
        <v>1626</v>
      </c>
      <c r="K17" s="23" t="s">
        <v>1627</v>
      </c>
      <c r="L17" s="23" t="s">
        <v>64</v>
      </c>
      <c r="M17" s="42" t="s">
        <v>64</v>
      </c>
      <c r="N17" s="23" t="s">
        <v>65</v>
      </c>
      <c r="O17" s="23">
        <v>2022</v>
      </c>
      <c r="P17" s="23" t="s">
        <v>64</v>
      </c>
      <c r="Q17" s="23" t="s">
        <v>64</v>
      </c>
      <c r="R17" s="23" t="s">
        <v>64</v>
      </c>
    </row>
    <row r="18" spans="1:19" ht="32.1">
      <c r="B18" s="23" t="s">
        <v>143</v>
      </c>
      <c r="C18" s="23" t="s">
        <v>1623</v>
      </c>
      <c r="D18" s="23" t="s">
        <v>1593</v>
      </c>
      <c r="E18" s="23" t="s">
        <v>1628</v>
      </c>
      <c r="F18" s="23" t="s">
        <v>1629</v>
      </c>
      <c r="G18" s="23" t="s">
        <v>62</v>
      </c>
      <c r="H18" s="23" t="s">
        <v>72</v>
      </c>
      <c r="I18" s="23" t="s">
        <v>73</v>
      </c>
      <c r="J18" s="23" t="s">
        <v>68</v>
      </c>
      <c r="L18" s="23" t="s">
        <v>64</v>
      </c>
      <c r="M18" s="42" t="s">
        <v>64</v>
      </c>
      <c r="N18" s="23" t="s">
        <v>65</v>
      </c>
      <c r="O18" s="23">
        <v>2021</v>
      </c>
      <c r="P18" s="23" t="s">
        <v>64</v>
      </c>
      <c r="Q18" s="23" t="s">
        <v>64</v>
      </c>
      <c r="R18" s="23" t="s">
        <v>64</v>
      </c>
    </row>
    <row r="19" spans="1:19" ht="48">
      <c r="B19" s="23" t="s">
        <v>143</v>
      </c>
      <c r="C19" s="23" t="s">
        <v>1630</v>
      </c>
      <c r="D19" s="23" t="s">
        <v>1593</v>
      </c>
      <c r="E19" s="23" t="s">
        <v>1631</v>
      </c>
      <c r="F19" s="23" t="s">
        <v>1632</v>
      </c>
      <c r="G19" s="23" t="s">
        <v>62</v>
      </c>
      <c r="J19" s="23" t="s">
        <v>1601</v>
      </c>
      <c r="K19" s="23" t="s">
        <v>1601</v>
      </c>
      <c r="L19" s="23" t="s">
        <v>64</v>
      </c>
      <c r="M19" s="42" t="s">
        <v>64</v>
      </c>
      <c r="N19" s="23" t="s">
        <v>65</v>
      </c>
      <c r="O19" s="23">
        <v>2022</v>
      </c>
      <c r="P19" s="23" t="s">
        <v>67</v>
      </c>
      <c r="Q19" s="23" t="s">
        <v>64</v>
      </c>
      <c r="R19" s="23" t="s">
        <v>64</v>
      </c>
    </row>
    <row r="20" spans="1:19" ht="32.1">
      <c r="B20" s="23" t="s">
        <v>143</v>
      </c>
      <c r="C20" s="23" t="s">
        <v>1630</v>
      </c>
      <c r="D20" s="23" t="s">
        <v>1593</v>
      </c>
      <c r="E20" s="23" t="s">
        <v>1633</v>
      </c>
      <c r="F20" s="23" t="s">
        <v>1634</v>
      </c>
      <c r="G20" s="23" t="s">
        <v>1635</v>
      </c>
      <c r="J20" s="23" t="s">
        <v>1636</v>
      </c>
      <c r="K20" s="23" t="s">
        <v>1601</v>
      </c>
      <c r="L20" s="23" t="s">
        <v>64</v>
      </c>
      <c r="M20" s="42" t="s">
        <v>64</v>
      </c>
      <c r="N20" s="23" t="s">
        <v>65</v>
      </c>
      <c r="O20" s="23">
        <v>2021</v>
      </c>
      <c r="P20" s="23" t="s">
        <v>67</v>
      </c>
      <c r="Q20" s="23" t="s">
        <v>64</v>
      </c>
      <c r="R20" s="23" t="s">
        <v>64</v>
      </c>
    </row>
    <row r="21" spans="1:19" s="26" customFormat="1" ht="63.95">
      <c r="B21" s="26" t="s">
        <v>143</v>
      </c>
      <c r="C21" s="26" t="s">
        <v>1630</v>
      </c>
      <c r="D21" s="26" t="s">
        <v>1593</v>
      </c>
      <c r="E21" s="26" t="s">
        <v>1637</v>
      </c>
      <c r="F21" s="26" t="s">
        <v>1638</v>
      </c>
      <c r="G21" s="26" t="s">
        <v>62</v>
      </c>
      <c r="J21" s="26" t="s">
        <v>1601</v>
      </c>
      <c r="K21" s="26" t="s">
        <v>1601</v>
      </c>
      <c r="L21" s="26" t="s">
        <v>64</v>
      </c>
      <c r="M21" s="44" t="s">
        <v>64</v>
      </c>
      <c r="N21" s="26" t="s">
        <v>65</v>
      </c>
      <c r="O21" s="26">
        <v>2023</v>
      </c>
      <c r="P21" s="26" t="s">
        <v>67</v>
      </c>
      <c r="Q21" s="26" t="s">
        <v>64</v>
      </c>
      <c r="R21" s="26" t="s">
        <v>64</v>
      </c>
    </row>
    <row r="22" spans="1:19" ht="48">
      <c r="A22" s="23">
        <v>5</v>
      </c>
      <c r="B22" s="23" t="s">
        <v>57</v>
      </c>
      <c r="C22" s="23" t="s">
        <v>1623</v>
      </c>
      <c r="D22" s="23" t="s">
        <v>1593</v>
      </c>
      <c r="E22" s="23" t="s">
        <v>1639</v>
      </c>
      <c r="F22" s="23" t="s">
        <v>1640</v>
      </c>
      <c r="G22" s="23" t="s">
        <v>62</v>
      </c>
      <c r="J22" s="23" t="s">
        <v>1641</v>
      </c>
      <c r="K22" s="23" t="s">
        <v>1627</v>
      </c>
      <c r="L22" s="23" t="s">
        <v>64</v>
      </c>
      <c r="M22" s="42" t="s">
        <v>64</v>
      </c>
      <c r="N22" s="23" t="s">
        <v>1642</v>
      </c>
      <c r="O22" s="23">
        <v>2023</v>
      </c>
      <c r="P22" s="23" t="s">
        <v>67</v>
      </c>
      <c r="Q22" s="23" t="s">
        <v>64</v>
      </c>
      <c r="R22" s="23" t="s">
        <v>64</v>
      </c>
    </row>
    <row r="23" spans="1:19" ht="48">
      <c r="B23" s="23" t="s">
        <v>57</v>
      </c>
      <c r="C23" s="23" t="s">
        <v>1643</v>
      </c>
      <c r="D23" s="23" t="s">
        <v>1593</v>
      </c>
      <c r="E23" s="23" t="s">
        <v>1644</v>
      </c>
      <c r="F23" s="23" t="s">
        <v>1640</v>
      </c>
      <c r="G23" s="23" t="s">
        <v>1635</v>
      </c>
      <c r="J23" s="23" t="s">
        <v>1641</v>
      </c>
      <c r="K23" s="23" t="s">
        <v>1627</v>
      </c>
      <c r="L23" s="23" t="s">
        <v>64</v>
      </c>
      <c r="M23" s="42" t="s">
        <v>64</v>
      </c>
      <c r="N23" s="23" t="s">
        <v>65</v>
      </c>
      <c r="O23" s="23">
        <v>2022</v>
      </c>
      <c r="P23" s="23" t="s">
        <v>64</v>
      </c>
      <c r="Q23" s="23" t="s">
        <v>64</v>
      </c>
      <c r="R23" s="23" t="s">
        <v>64</v>
      </c>
    </row>
    <row r="24" spans="1:19" ht="48">
      <c r="B24" s="23" t="s">
        <v>57</v>
      </c>
      <c r="C24" s="23" t="s">
        <v>1645</v>
      </c>
      <c r="D24" s="23" t="s">
        <v>1646</v>
      </c>
      <c r="E24" s="23" t="s">
        <v>1647</v>
      </c>
      <c r="F24" s="23" t="s">
        <v>1648</v>
      </c>
      <c r="G24" s="23" t="s">
        <v>1649</v>
      </c>
      <c r="J24" s="23" t="s">
        <v>1650</v>
      </c>
      <c r="K24" s="23" t="s">
        <v>1651</v>
      </c>
      <c r="L24" s="23" t="s">
        <v>64</v>
      </c>
      <c r="M24" s="42" t="s">
        <v>64</v>
      </c>
      <c r="N24" s="23" t="s">
        <v>1642</v>
      </c>
      <c r="O24" s="23">
        <v>2023</v>
      </c>
      <c r="P24" s="23" t="s">
        <v>67</v>
      </c>
      <c r="Q24" s="23" t="s">
        <v>64</v>
      </c>
      <c r="R24" s="23" t="s">
        <v>64</v>
      </c>
    </row>
    <row r="25" spans="1:19" ht="32.1">
      <c r="B25" s="23" t="s">
        <v>57</v>
      </c>
      <c r="C25" s="23" t="s">
        <v>1606</v>
      </c>
      <c r="D25" s="23" t="s">
        <v>1593</v>
      </c>
      <c r="E25" s="23" t="s">
        <v>1652</v>
      </c>
      <c r="F25" s="23" t="s">
        <v>1653</v>
      </c>
      <c r="G25" s="23" t="s">
        <v>62</v>
      </c>
      <c r="L25" s="23" t="s">
        <v>64</v>
      </c>
      <c r="M25" s="42" t="s">
        <v>64</v>
      </c>
      <c r="N25" s="23" t="s">
        <v>65</v>
      </c>
      <c r="O25" s="23">
        <v>2022</v>
      </c>
      <c r="P25" s="23" t="s">
        <v>64</v>
      </c>
      <c r="Q25" s="23" t="s">
        <v>64</v>
      </c>
      <c r="R25" s="23" t="s">
        <v>64</v>
      </c>
      <c r="S25" s="23" t="s">
        <v>1654</v>
      </c>
    </row>
    <row r="26" spans="1:19" s="26" customFormat="1" ht="48">
      <c r="B26" s="26" t="s">
        <v>57</v>
      </c>
      <c r="C26" s="26" t="s">
        <v>1623</v>
      </c>
      <c r="D26" s="26" t="s">
        <v>1655</v>
      </c>
      <c r="E26" s="26" t="s">
        <v>1656</v>
      </c>
      <c r="F26" s="26" t="s">
        <v>1657</v>
      </c>
      <c r="G26" s="26" t="s">
        <v>62</v>
      </c>
      <c r="J26" s="26" t="s">
        <v>1641</v>
      </c>
      <c r="K26" s="26" t="s">
        <v>1627</v>
      </c>
      <c r="L26" s="26" t="s">
        <v>64</v>
      </c>
      <c r="M26" s="44" t="s">
        <v>64</v>
      </c>
      <c r="N26" s="26" t="s">
        <v>65</v>
      </c>
      <c r="O26" s="26">
        <v>2020</v>
      </c>
      <c r="P26" s="26" t="s">
        <v>64</v>
      </c>
      <c r="Q26" s="26" t="s">
        <v>64</v>
      </c>
      <c r="R26" s="26" t="s">
        <v>64</v>
      </c>
    </row>
    <row r="27" spans="1:19" ht="121.5" customHeight="1">
      <c r="A27" s="23">
        <v>3</v>
      </c>
      <c r="B27" s="23" t="s">
        <v>170</v>
      </c>
      <c r="C27" s="23" t="s">
        <v>1643</v>
      </c>
      <c r="D27" s="23" t="s">
        <v>1646</v>
      </c>
      <c r="E27" s="23" t="s">
        <v>1658</v>
      </c>
      <c r="F27" s="23" t="s">
        <v>1659</v>
      </c>
      <c r="G27" s="23" t="s">
        <v>733</v>
      </c>
      <c r="J27" s="23" t="s">
        <v>1660</v>
      </c>
      <c r="K27" s="23" t="s">
        <v>1651</v>
      </c>
      <c r="L27" s="23" t="s">
        <v>64</v>
      </c>
      <c r="M27" s="42" t="s">
        <v>64</v>
      </c>
      <c r="N27" s="23" t="s">
        <v>1661</v>
      </c>
      <c r="O27" s="23">
        <v>2023</v>
      </c>
      <c r="P27" s="23" t="s">
        <v>67</v>
      </c>
      <c r="Q27" s="23" t="s">
        <v>64</v>
      </c>
      <c r="R27" s="23" t="s">
        <v>64</v>
      </c>
      <c r="S27" s="98" t="s">
        <v>1662</v>
      </c>
    </row>
    <row r="28" spans="1:19" ht="48">
      <c r="B28" s="23" t="s">
        <v>170</v>
      </c>
      <c r="C28" s="23" t="s">
        <v>1643</v>
      </c>
      <c r="D28" s="23" t="s">
        <v>1646</v>
      </c>
      <c r="E28" s="23" t="s">
        <v>1663</v>
      </c>
      <c r="F28" s="23" t="s">
        <v>1664</v>
      </c>
      <c r="G28" s="23" t="s">
        <v>733</v>
      </c>
      <c r="J28" s="23" t="s">
        <v>1660</v>
      </c>
      <c r="K28" s="23" t="s">
        <v>1651</v>
      </c>
      <c r="L28" s="23" t="s">
        <v>64</v>
      </c>
      <c r="M28" s="42" t="s">
        <v>64</v>
      </c>
      <c r="N28" s="23" t="s">
        <v>65</v>
      </c>
      <c r="O28" s="23">
        <v>2022</v>
      </c>
      <c r="P28" s="23" t="s">
        <v>67</v>
      </c>
      <c r="Q28" s="23" t="s">
        <v>64</v>
      </c>
      <c r="R28" s="23" t="s">
        <v>64</v>
      </c>
      <c r="S28" s="98"/>
    </row>
    <row r="29" spans="1:19" s="26" customFormat="1" ht="80.099999999999994">
      <c r="B29" s="26" t="s">
        <v>170</v>
      </c>
      <c r="C29" s="26" t="s">
        <v>1665</v>
      </c>
      <c r="D29" s="26" t="s">
        <v>1646</v>
      </c>
      <c r="E29" s="26" t="s">
        <v>1666</v>
      </c>
      <c r="F29" s="26" t="s">
        <v>1667</v>
      </c>
      <c r="G29" s="26" t="s">
        <v>1635</v>
      </c>
      <c r="J29" s="26" t="s">
        <v>1668</v>
      </c>
      <c r="K29" s="26" t="s">
        <v>1651</v>
      </c>
      <c r="L29" s="26" t="s">
        <v>64</v>
      </c>
      <c r="M29" s="44" t="s">
        <v>64</v>
      </c>
      <c r="N29" s="26" t="s">
        <v>65</v>
      </c>
      <c r="O29" s="26">
        <v>2021</v>
      </c>
      <c r="P29" s="26" t="s">
        <v>64</v>
      </c>
      <c r="Q29" s="26" t="s">
        <v>64</v>
      </c>
      <c r="R29" s="26" t="s">
        <v>64</v>
      </c>
      <c r="S29" s="98"/>
    </row>
    <row r="30" spans="1:19" s="26" customFormat="1" ht="80.099999999999994">
      <c r="A30" s="26">
        <v>1</v>
      </c>
      <c r="B30" s="26" t="s">
        <v>185</v>
      </c>
      <c r="C30" s="26" t="s">
        <v>1669</v>
      </c>
      <c r="D30" s="26" t="s">
        <v>1670</v>
      </c>
      <c r="E30" s="26" t="s">
        <v>1671</v>
      </c>
      <c r="F30" s="26" t="s">
        <v>1672</v>
      </c>
      <c r="G30" s="26" t="s">
        <v>733</v>
      </c>
      <c r="H30" s="26" t="s">
        <v>1673</v>
      </c>
      <c r="I30" s="26" t="s">
        <v>73</v>
      </c>
      <c r="J30" s="26" t="s">
        <v>68</v>
      </c>
      <c r="L30" s="26" t="s">
        <v>67</v>
      </c>
      <c r="M30" s="45" t="s">
        <v>1674</v>
      </c>
      <c r="N30" s="26" t="s">
        <v>65</v>
      </c>
      <c r="O30" s="26">
        <v>2017</v>
      </c>
      <c r="P30" s="26" t="s">
        <v>67</v>
      </c>
      <c r="Q30" s="26" t="s">
        <v>64</v>
      </c>
      <c r="R30" s="26" t="s">
        <v>64</v>
      </c>
      <c r="S30" s="26" t="s">
        <v>1675</v>
      </c>
    </row>
    <row r="31" spans="1:19" ht="30" customHeight="1">
      <c r="A31" s="23">
        <v>2</v>
      </c>
      <c r="B31" s="23" t="s">
        <v>244</v>
      </c>
      <c r="C31" s="23" t="s">
        <v>1630</v>
      </c>
      <c r="D31" s="23" t="s">
        <v>1593</v>
      </c>
      <c r="E31" s="23" t="s">
        <v>1676</v>
      </c>
      <c r="F31" s="23" t="s">
        <v>1677</v>
      </c>
      <c r="G31" s="23" t="s">
        <v>62</v>
      </c>
      <c r="J31" s="23" t="s">
        <v>1678</v>
      </c>
      <c r="K31" s="23" t="s">
        <v>1627</v>
      </c>
      <c r="L31" s="23" t="s">
        <v>64</v>
      </c>
      <c r="M31" s="42" t="s">
        <v>64</v>
      </c>
      <c r="N31" s="23" t="s">
        <v>1661</v>
      </c>
      <c r="O31" s="23">
        <v>2023</v>
      </c>
      <c r="P31" s="23" t="s">
        <v>67</v>
      </c>
      <c r="Q31" s="23" t="s">
        <v>64</v>
      </c>
      <c r="R31" s="23" t="s">
        <v>64</v>
      </c>
    </row>
    <row r="32" spans="1:19" s="26" customFormat="1" ht="32.1">
      <c r="B32" s="26" t="s">
        <v>244</v>
      </c>
      <c r="C32" s="26" t="s">
        <v>1630</v>
      </c>
      <c r="D32" s="26" t="s">
        <v>1593</v>
      </c>
      <c r="E32" s="26" t="s">
        <v>1679</v>
      </c>
      <c r="F32" s="26" t="s">
        <v>1680</v>
      </c>
      <c r="G32" s="26" t="s">
        <v>62</v>
      </c>
      <c r="J32" s="26" t="s">
        <v>1681</v>
      </c>
      <c r="K32" s="26" t="s">
        <v>1627</v>
      </c>
      <c r="L32" s="26" t="s">
        <v>64</v>
      </c>
      <c r="M32" s="44" t="s">
        <v>64</v>
      </c>
      <c r="N32" s="26" t="s">
        <v>1682</v>
      </c>
      <c r="O32" s="26">
        <v>2023</v>
      </c>
      <c r="P32" s="26" t="s">
        <v>67</v>
      </c>
      <c r="Q32" s="26" t="s">
        <v>64</v>
      </c>
      <c r="R32" s="26" t="s">
        <v>64</v>
      </c>
    </row>
    <row r="33" spans="1:19" ht="32.1">
      <c r="A33" s="23">
        <v>11</v>
      </c>
      <c r="B33" s="23" t="s">
        <v>331</v>
      </c>
      <c r="C33" s="23" t="s">
        <v>1683</v>
      </c>
      <c r="D33" s="23" t="s">
        <v>1670</v>
      </c>
      <c r="E33" s="23" t="s">
        <v>1684</v>
      </c>
      <c r="F33" s="23" t="s">
        <v>1685</v>
      </c>
      <c r="G33" s="23" t="s">
        <v>338</v>
      </c>
      <c r="L33" s="23" t="s">
        <v>64</v>
      </c>
      <c r="M33" s="42" t="s">
        <v>64</v>
      </c>
      <c r="N33" s="23" t="s">
        <v>1642</v>
      </c>
      <c r="O33" s="23">
        <v>2020</v>
      </c>
      <c r="P33" s="23" t="s">
        <v>67</v>
      </c>
      <c r="Q33" s="23" t="s">
        <v>64</v>
      </c>
      <c r="R33" s="23" t="s">
        <v>64</v>
      </c>
      <c r="S33" s="23" t="s">
        <v>1654</v>
      </c>
    </row>
    <row r="34" spans="1:19" ht="32.1">
      <c r="B34" s="23" t="s">
        <v>331</v>
      </c>
      <c r="C34" s="23" t="s">
        <v>1623</v>
      </c>
      <c r="D34" s="23" t="s">
        <v>1670</v>
      </c>
      <c r="E34" s="23" t="s">
        <v>1686</v>
      </c>
      <c r="F34" s="23" t="s">
        <v>1687</v>
      </c>
      <c r="G34" s="23" t="s">
        <v>338</v>
      </c>
      <c r="J34" s="23" t="s">
        <v>354</v>
      </c>
      <c r="K34" s="23" t="s">
        <v>1627</v>
      </c>
      <c r="L34" s="23" t="s">
        <v>64</v>
      </c>
      <c r="M34" s="42" t="s">
        <v>64</v>
      </c>
      <c r="N34" s="23" t="s">
        <v>65</v>
      </c>
      <c r="O34" s="23">
        <v>2021</v>
      </c>
      <c r="P34" s="23" t="s">
        <v>64</v>
      </c>
      <c r="Q34" s="23" t="s">
        <v>64</v>
      </c>
      <c r="R34" s="23" t="s">
        <v>64</v>
      </c>
    </row>
    <row r="35" spans="1:19" ht="32.1">
      <c r="B35" s="23" t="s">
        <v>331</v>
      </c>
      <c r="C35" s="23" t="s">
        <v>1688</v>
      </c>
      <c r="D35" s="23" t="s">
        <v>1670</v>
      </c>
      <c r="E35" s="23" t="s">
        <v>1689</v>
      </c>
      <c r="F35" s="23" t="s">
        <v>1690</v>
      </c>
      <c r="G35" s="23" t="s">
        <v>338</v>
      </c>
      <c r="L35" s="23" t="s">
        <v>64</v>
      </c>
      <c r="M35" s="42" t="s">
        <v>64</v>
      </c>
      <c r="N35" s="23" t="s">
        <v>65</v>
      </c>
      <c r="O35" s="23">
        <v>2019</v>
      </c>
      <c r="P35" s="23" t="s">
        <v>67</v>
      </c>
      <c r="Q35" s="23" t="s">
        <v>64</v>
      </c>
      <c r="R35" s="23" t="s">
        <v>64</v>
      </c>
      <c r="S35" s="23" t="s">
        <v>1654</v>
      </c>
    </row>
    <row r="36" spans="1:19" ht="32.1">
      <c r="B36" s="23" t="s">
        <v>331</v>
      </c>
      <c r="C36" s="23" t="s">
        <v>1691</v>
      </c>
      <c r="D36" s="23" t="s">
        <v>1670</v>
      </c>
      <c r="E36" s="23" t="s">
        <v>1692</v>
      </c>
      <c r="F36" s="23" t="s">
        <v>1693</v>
      </c>
      <c r="G36" s="23" t="s">
        <v>163</v>
      </c>
      <c r="L36" s="23" t="s">
        <v>64</v>
      </c>
      <c r="M36" s="42" t="s">
        <v>64</v>
      </c>
      <c r="N36" s="23" t="s">
        <v>65</v>
      </c>
      <c r="O36" s="23">
        <v>2020</v>
      </c>
      <c r="P36" s="23" t="s">
        <v>67</v>
      </c>
      <c r="Q36" s="23" t="s">
        <v>64</v>
      </c>
      <c r="R36" s="23" t="s">
        <v>64</v>
      </c>
      <c r="S36" s="23" t="s">
        <v>1654</v>
      </c>
    </row>
    <row r="37" spans="1:19" ht="48">
      <c r="B37" s="23" t="s">
        <v>331</v>
      </c>
      <c r="C37" s="23" t="s">
        <v>1623</v>
      </c>
      <c r="D37" s="23" t="s">
        <v>1670</v>
      </c>
      <c r="E37" s="23" t="s">
        <v>1694</v>
      </c>
      <c r="F37" s="23" t="s">
        <v>1695</v>
      </c>
      <c r="G37" s="23" t="s">
        <v>163</v>
      </c>
      <c r="J37" s="23" t="s">
        <v>354</v>
      </c>
      <c r="K37" s="23" t="s">
        <v>1627</v>
      </c>
      <c r="L37" s="23" t="s">
        <v>64</v>
      </c>
      <c r="M37" s="42" t="s">
        <v>64</v>
      </c>
      <c r="N37" s="23" t="s">
        <v>65</v>
      </c>
      <c r="O37" s="23">
        <v>2021</v>
      </c>
      <c r="P37" s="23" t="s">
        <v>64</v>
      </c>
      <c r="Q37" s="23" t="s">
        <v>64</v>
      </c>
      <c r="R37" s="23" t="s">
        <v>64</v>
      </c>
    </row>
    <row r="38" spans="1:19" ht="32.1">
      <c r="B38" s="23" t="s">
        <v>331</v>
      </c>
      <c r="C38" s="23" t="s">
        <v>1688</v>
      </c>
      <c r="D38" s="23" t="s">
        <v>1670</v>
      </c>
      <c r="E38" s="23" t="s">
        <v>1696</v>
      </c>
      <c r="F38" s="23" t="s">
        <v>1697</v>
      </c>
      <c r="G38" s="23" t="s">
        <v>163</v>
      </c>
      <c r="L38" s="23" t="s">
        <v>64</v>
      </c>
      <c r="M38" s="42" t="s">
        <v>64</v>
      </c>
      <c r="N38" s="23" t="s">
        <v>65</v>
      </c>
      <c r="O38" s="23">
        <v>2019</v>
      </c>
      <c r="P38" s="23" t="s">
        <v>67</v>
      </c>
      <c r="Q38" s="23" t="s">
        <v>64</v>
      </c>
      <c r="R38" s="23" t="s">
        <v>64</v>
      </c>
      <c r="S38" s="23" t="s">
        <v>1654</v>
      </c>
    </row>
    <row r="39" spans="1:19" ht="32.1">
      <c r="B39" s="23" t="s">
        <v>331</v>
      </c>
      <c r="C39" s="23" t="s">
        <v>1683</v>
      </c>
      <c r="D39" s="23" t="s">
        <v>1593</v>
      </c>
      <c r="E39" s="23" t="s">
        <v>1698</v>
      </c>
      <c r="F39" s="23" t="s">
        <v>1699</v>
      </c>
      <c r="G39" s="23" t="s">
        <v>163</v>
      </c>
      <c r="L39" s="23" t="s">
        <v>64</v>
      </c>
      <c r="M39" s="42" t="s">
        <v>64</v>
      </c>
      <c r="N39" s="23" t="s">
        <v>65</v>
      </c>
      <c r="O39" s="23">
        <v>2021</v>
      </c>
      <c r="P39" s="23" t="s">
        <v>67</v>
      </c>
      <c r="Q39" s="23" t="s">
        <v>64</v>
      </c>
      <c r="R39" s="23" t="s">
        <v>64</v>
      </c>
      <c r="S39" s="23" t="s">
        <v>1654</v>
      </c>
    </row>
    <row r="40" spans="1:19" ht="32.1">
      <c r="B40" s="23" t="s">
        <v>331</v>
      </c>
      <c r="C40" s="23" t="s">
        <v>1683</v>
      </c>
      <c r="D40" s="23" t="s">
        <v>1593</v>
      </c>
      <c r="E40" s="23" t="s">
        <v>1700</v>
      </c>
      <c r="F40" s="23" t="s">
        <v>1701</v>
      </c>
      <c r="G40" s="23" t="s">
        <v>1702</v>
      </c>
      <c r="H40" s="23" t="s">
        <v>1703</v>
      </c>
      <c r="I40" s="23" t="s">
        <v>73</v>
      </c>
      <c r="L40" s="23" t="s">
        <v>64</v>
      </c>
      <c r="M40" s="42" t="s">
        <v>64</v>
      </c>
      <c r="N40" s="23" t="s">
        <v>65</v>
      </c>
      <c r="O40" s="23">
        <v>2019</v>
      </c>
      <c r="P40" s="23" t="s">
        <v>67</v>
      </c>
      <c r="Q40" s="23" t="s">
        <v>64</v>
      </c>
      <c r="R40" s="23" t="s">
        <v>64</v>
      </c>
    </row>
    <row r="41" spans="1:19" ht="47.25" customHeight="1">
      <c r="B41" s="23" t="s">
        <v>331</v>
      </c>
      <c r="C41" s="23" t="s">
        <v>1683</v>
      </c>
      <c r="D41" s="23" t="s">
        <v>1593</v>
      </c>
      <c r="E41" s="23" t="s">
        <v>1704</v>
      </c>
      <c r="F41" s="23" t="s">
        <v>1705</v>
      </c>
      <c r="G41" s="23" t="s">
        <v>1706</v>
      </c>
      <c r="L41" s="23" t="s">
        <v>64</v>
      </c>
      <c r="M41" s="42" t="s">
        <v>64</v>
      </c>
      <c r="N41" s="23" t="s">
        <v>65</v>
      </c>
      <c r="O41" s="23">
        <v>2019</v>
      </c>
      <c r="P41" s="23" t="s">
        <v>67</v>
      </c>
      <c r="Q41" s="23" t="s">
        <v>64</v>
      </c>
      <c r="R41" s="23" t="s">
        <v>64</v>
      </c>
      <c r="S41" s="23" t="s">
        <v>1654</v>
      </c>
    </row>
    <row r="42" spans="1:19" ht="32.1">
      <c r="B42" s="23" t="s">
        <v>331</v>
      </c>
      <c r="C42" s="23" t="s">
        <v>1630</v>
      </c>
      <c r="D42" s="23" t="s">
        <v>275</v>
      </c>
      <c r="E42" s="23" t="s">
        <v>1707</v>
      </c>
      <c r="G42" s="23" t="s">
        <v>1708</v>
      </c>
      <c r="H42" s="23" t="s">
        <v>1709</v>
      </c>
      <c r="I42" s="23" t="s">
        <v>1709</v>
      </c>
      <c r="J42" s="23" t="s">
        <v>68</v>
      </c>
      <c r="L42" s="23" t="s">
        <v>67</v>
      </c>
      <c r="M42" s="46" t="s">
        <v>1710</v>
      </c>
      <c r="N42" s="23" t="s">
        <v>65</v>
      </c>
      <c r="Q42" s="23" t="s">
        <v>64</v>
      </c>
      <c r="R42" s="23" t="s">
        <v>64</v>
      </c>
    </row>
    <row r="43" spans="1:19" s="26" customFormat="1" ht="48">
      <c r="B43" s="26" t="s">
        <v>331</v>
      </c>
      <c r="C43" s="26" t="s">
        <v>1623</v>
      </c>
      <c r="D43" s="26" t="s">
        <v>275</v>
      </c>
      <c r="E43" s="26" t="s">
        <v>1711</v>
      </c>
      <c r="G43" s="26" t="s">
        <v>1712</v>
      </c>
      <c r="H43" s="26" t="s">
        <v>1713</v>
      </c>
      <c r="I43" s="26" t="s">
        <v>73</v>
      </c>
      <c r="J43" s="26" t="s">
        <v>68</v>
      </c>
      <c r="L43" s="26" t="s">
        <v>67</v>
      </c>
      <c r="M43" s="45" t="s">
        <v>1714</v>
      </c>
      <c r="N43" s="26" t="s">
        <v>65</v>
      </c>
      <c r="Q43" s="26" t="s">
        <v>64</v>
      </c>
      <c r="R43" s="26" t="s">
        <v>64</v>
      </c>
    </row>
    <row r="44" spans="1:19" ht="63.95">
      <c r="A44" s="23">
        <v>10</v>
      </c>
      <c r="B44" s="23" t="s">
        <v>389</v>
      </c>
      <c r="C44" s="23" t="s">
        <v>1643</v>
      </c>
      <c r="D44" s="23" t="s">
        <v>1593</v>
      </c>
      <c r="E44" s="23" t="s">
        <v>1715</v>
      </c>
      <c r="F44" s="23" t="s">
        <v>1716</v>
      </c>
      <c r="G44" s="23" t="s">
        <v>297</v>
      </c>
      <c r="J44" s="23" t="s">
        <v>1717</v>
      </c>
      <c r="K44" s="23" t="s">
        <v>1627</v>
      </c>
      <c r="L44" s="23" t="s">
        <v>64</v>
      </c>
      <c r="M44" s="42" t="s">
        <v>64</v>
      </c>
      <c r="N44" s="23" t="s">
        <v>65</v>
      </c>
      <c r="O44" s="23">
        <v>2020</v>
      </c>
      <c r="P44" s="23" t="s">
        <v>67</v>
      </c>
      <c r="Q44" s="23" t="s">
        <v>64</v>
      </c>
      <c r="R44" s="23" t="s">
        <v>64</v>
      </c>
    </row>
    <row r="45" spans="1:19" ht="63.95">
      <c r="B45" s="23" t="s">
        <v>389</v>
      </c>
      <c r="C45" s="23" t="s">
        <v>1688</v>
      </c>
      <c r="D45" s="23" t="s">
        <v>1593</v>
      </c>
      <c r="E45" s="23" t="s">
        <v>1718</v>
      </c>
      <c r="F45" s="23" t="s">
        <v>1719</v>
      </c>
      <c r="G45" s="23" t="s">
        <v>1708</v>
      </c>
      <c r="J45" s="23" t="s">
        <v>1717</v>
      </c>
      <c r="K45" s="23" t="s">
        <v>1627</v>
      </c>
      <c r="L45" s="23" t="s">
        <v>64</v>
      </c>
      <c r="M45" s="42" t="s">
        <v>64</v>
      </c>
      <c r="N45" s="23" t="s">
        <v>65</v>
      </c>
      <c r="O45" s="23">
        <v>2021</v>
      </c>
      <c r="P45" s="23" t="s">
        <v>67</v>
      </c>
      <c r="Q45" s="23" t="s">
        <v>64</v>
      </c>
      <c r="R45" s="23" t="s">
        <v>64</v>
      </c>
    </row>
    <row r="46" spans="1:19" ht="48">
      <c r="B46" s="23" t="s">
        <v>389</v>
      </c>
      <c r="C46" s="23" t="s">
        <v>1592</v>
      </c>
      <c r="D46" s="23" t="s">
        <v>1593</v>
      </c>
      <c r="E46" s="23" t="s">
        <v>1720</v>
      </c>
      <c r="F46" s="23" t="s">
        <v>1721</v>
      </c>
      <c r="G46" s="23" t="s">
        <v>1708</v>
      </c>
      <c r="H46" s="23" t="s">
        <v>1722</v>
      </c>
      <c r="I46" s="23" t="s">
        <v>433</v>
      </c>
      <c r="L46" s="23" t="s">
        <v>64</v>
      </c>
      <c r="M46" s="42" t="s">
        <v>64</v>
      </c>
      <c r="N46" s="23" t="s">
        <v>65</v>
      </c>
      <c r="O46" s="23">
        <v>2019</v>
      </c>
      <c r="P46" s="23" t="s">
        <v>67</v>
      </c>
      <c r="Q46" s="23" t="s">
        <v>64</v>
      </c>
      <c r="R46" s="23" t="s">
        <v>64</v>
      </c>
    </row>
    <row r="47" spans="1:19" ht="96">
      <c r="B47" s="23" t="s">
        <v>389</v>
      </c>
      <c r="C47" s="23" t="s">
        <v>1592</v>
      </c>
      <c r="D47" s="23" t="s">
        <v>1593</v>
      </c>
      <c r="E47" s="23" t="s">
        <v>1723</v>
      </c>
      <c r="F47" s="23" t="s">
        <v>1724</v>
      </c>
      <c r="G47" s="23" t="s">
        <v>1708</v>
      </c>
      <c r="H47" s="23" t="s">
        <v>1725</v>
      </c>
      <c r="I47" s="23" t="s">
        <v>433</v>
      </c>
      <c r="L47" s="23" t="s">
        <v>64</v>
      </c>
      <c r="M47" s="42" t="s">
        <v>64</v>
      </c>
      <c r="N47" s="23" t="s">
        <v>65</v>
      </c>
      <c r="O47" s="23">
        <v>2019</v>
      </c>
      <c r="P47" s="23" t="s">
        <v>67</v>
      </c>
      <c r="Q47" s="23" t="s">
        <v>64</v>
      </c>
      <c r="R47" s="23" t="s">
        <v>64</v>
      </c>
    </row>
    <row r="48" spans="1:19" ht="32.1">
      <c r="B48" s="23" t="s">
        <v>389</v>
      </c>
      <c r="C48" s="23" t="s">
        <v>1630</v>
      </c>
      <c r="D48" s="23" t="s">
        <v>1726</v>
      </c>
      <c r="E48" s="23" t="s">
        <v>427</v>
      </c>
      <c r="F48" s="23" t="s">
        <v>1727</v>
      </c>
      <c r="G48" s="23" t="s">
        <v>1708</v>
      </c>
      <c r="H48" s="23" t="s">
        <v>1728</v>
      </c>
      <c r="I48" s="23" t="s">
        <v>433</v>
      </c>
      <c r="L48" s="23" t="s">
        <v>64</v>
      </c>
      <c r="M48" s="42" t="s">
        <v>64</v>
      </c>
      <c r="N48" s="23" t="s">
        <v>65</v>
      </c>
      <c r="O48" s="23">
        <v>2021</v>
      </c>
      <c r="P48" s="23" t="s">
        <v>67</v>
      </c>
      <c r="Q48" s="23" t="s">
        <v>64</v>
      </c>
      <c r="R48" s="23" t="s">
        <v>64</v>
      </c>
    </row>
    <row r="49" spans="1:19" ht="48">
      <c r="B49" s="23" t="s">
        <v>389</v>
      </c>
      <c r="C49" s="23" t="s">
        <v>1623</v>
      </c>
      <c r="D49" s="23" t="s">
        <v>1593</v>
      </c>
      <c r="E49" s="23" t="s">
        <v>1729</v>
      </c>
      <c r="F49" s="23" t="s">
        <v>1730</v>
      </c>
      <c r="G49" s="23" t="s">
        <v>1731</v>
      </c>
      <c r="H49" s="23" t="s">
        <v>1732</v>
      </c>
      <c r="I49" s="23" t="s">
        <v>433</v>
      </c>
      <c r="L49" s="23" t="s">
        <v>64</v>
      </c>
      <c r="M49" s="42" t="s">
        <v>64</v>
      </c>
      <c r="N49" s="23" t="s">
        <v>65</v>
      </c>
      <c r="O49" s="23">
        <v>2021</v>
      </c>
      <c r="P49" s="23" t="s">
        <v>67</v>
      </c>
      <c r="Q49" s="23" t="s">
        <v>64</v>
      </c>
      <c r="R49" s="23" t="s">
        <v>64</v>
      </c>
    </row>
    <row r="50" spans="1:19" ht="48">
      <c r="B50" s="23" t="s">
        <v>389</v>
      </c>
      <c r="C50" s="23" t="s">
        <v>1623</v>
      </c>
      <c r="D50" s="23" t="s">
        <v>1593</v>
      </c>
      <c r="E50" s="23" t="s">
        <v>1733</v>
      </c>
      <c r="F50" s="23" t="s">
        <v>1734</v>
      </c>
      <c r="G50" s="23" t="s">
        <v>163</v>
      </c>
      <c r="H50" s="23" t="s">
        <v>1735</v>
      </c>
      <c r="I50" s="23" t="s">
        <v>433</v>
      </c>
      <c r="L50" s="23" t="s">
        <v>64</v>
      </c>
      <c r="M50" s="42" t="s">
        <v>64</v>
      </c>
      <c r="N50" s="23" t="s">
        <v>65</v>
      </c>
      <c r="O50" s="23">
        <v>2019</v>
      </c>
      <c r="P50" s="23" t="s">
        <v>67</v>
      </c>
      <c r="Q50" s="23" t="s">
        <v>64</v>
      </c>
      <c r="R50" s="23" t="s">
        <v>64</v>
      </c>
    </row>
    <row r="51" spans="1:19" ht="15.95">
      <c r="B51" s="23" t="s">
        <v>389</v>
      </c>
      <c r="C51" s="23" t="s">
        <v>1630</v>
      </c>
      <c r="D51" s="23" t="s">
        <v>275</v>
      </c>
      <c r="E51" s="23" t="s">
        <v>1736</v>
      </c>
      <c r="F51" s="23" t="s">
        <v>1672</v>
      </c>
      <c r="G51" s="23" t="s">
        <v>1708</v>
      </c>
      <c r="L51" s="23" t="s">
        <v>64</v>
      </c>
      <c r="M51" s="42" t="s">
        <v>64</v>
      </c>
      <c r="Q51" s="23" t="s">
        <v>64</v>
      </c>
      <c r="R51" s="23" t="s">
        <v>64</v>
      </c>
      <c r="S51" s="23" t="s">
        <v>1654</v>
      </c>
    </row>
    <row r="52" spans="1:19" ht="32.1">
      <c r="B52" s="23" t="s">
        <v>389</v>
      </c>
      <c r="C52" s="23" t="s">
        <v>1630</v>
      </c>
      <c r="D52" s="23" t="s">
        <v>275</v>
      </c>
      <c r="E52" s="23" t="s">
        <v>1737</v>
      </c>
      <c r="F52" s="23" t="s">
        <v>1738</v>
      </c>
      <c r="G52" s="23" t="s">
        <v>1708</v>
      </c>
      <c r="H52" s="23" t="s">
        <v>1739</v>
      </c>
      <c r="I52" s="23" t="s">
        <v>1709</v>
      </c>
      <c r="L52" s="23" t="s">
        <v>67</v>
      </c>
      <c r="M52" s="46" t="s">
        <v>1740</v>
      </c>
      <c r="N52" s="23" t="s">
        <v>68</v>
      </c>
      <c r="O52" s="23" t="s">
        <v>68</v>
      </c>
      <c r="P52" s="23" t="s">
        <v>68</v>
      </c>
      <c r="Q52" s="23" t="s">
        <v>64</v>
      </c>
      <c r="R52" s="23" t="s">
        <v>64</v>
      </c>
    </row>
    <row r="53" spans="1:19" s="26" customFormat="1" ht="32.1">
      <c r="B53" s="26" t="s">
        <v>389</v>
      </c>
      <c r="C53" s="26" t="s">
        <v>1630</v>
      </c>
      <c r="D53" s="26" t="s">
        <v>275</v>
      </c>
      <c r="E53" s="26" t="s">
        <v>1741</v>
      </c>
      <c r="F53" s="26" t="s">
        <v>1738</v>
      </c>
      <c r="G53" s="26" t="s">
        <v>1708</v>
      </c>
      <c r="H53" s="26" t="s">
        <v>1742</v>
      </c>
      <c r="I53" s="26" t="s">
        <v>1709</v>
      </c>
      <c r="L53" s="26" t="s">
        <v>67</v>
      </c>
      <c r="M53" s="45" t="s">
        <v>1743</v>
      </c>
      <c r="N53" s="26" t="s">
        <v>68</v>
      </c>
      <c r="O53" s="26" t="s">
        <v>68</v>
      </c>
      <c r="P53" s="26" t="s">
        <v>68</v>
      </c>
      <c r="Q53" s="26" t="s">
        <v>64</v>
      </c>
      <c r="R53" s="26" t="s">
        <v>64</v>
      </c>
    </row>
    <row r="54" spans="1:19" s="26" customFormat="1" ht="32.1">
      <c r="A54" s="26">
        <v>0</v>
      </c>
      <c r="B54" s="26" t="s">
        <v>564</v>
      </c>
      <c r="M54" s="44"/>
      <c r="S54" s="26" t="s">
        <v>1744</v>
      </c>
    </row>
    <row r="55" spans="1:19" s="26" customFormat="1" ht="80.099999999999994">
      <c r="A55" s="26">
        <v>0</v>
      </c>
      <c r="B55" s="26" t="s">
        <v>1436</v>
      </c>
      <c r="M55" s="44"/>
      <c r="S55" s="26" t="s">
        <v>1745</v>
      </c>
    </row>
    <row r="56" spans="1:19" ht="32.1">
      <c r="A56" s="23">
        <v>8</v>
      </c>
      <c r="B56" s="23" t="s">
        <v>579</v>
      </c>
      <c r="C56" s="23" t="s">
        <v>1630</v>
      </c>
      <c r="D56" s="23" t="s">
        <v>1593</v>
      </c>
      <c r="E56" s="23" t="s">
        <v>1746</v>
      </c>
      <c r="F56" s="23" t="s">
        <v>1747</v>
      </c>
      <c r="G56" s="23" t="s">
        <v>1702</v>
      </c>
      <c r="J56" s="23" t="s">
        <v>1748</v>
      </c>
      <c r="K56" s="23" t="s">
        <v>1601</v>
      </c>
      <c r="L56" s="23" t="s">
        <v>64</v>
      </c>
      <c r="M56" s="42" t="s">
        <v>64</v>
      </c>
      <c r="N56" s="23" t="s">
        <v>65</v>
      </c>
      <c r="O56" s="23">
        <v>2020</v>
      </c>
      <c r="P56" s="23" t="s">
        <v>67</v>
      </c>
      <c r="Q56" s="23" t="s">
        <v>64</v>
      </c>
      <c r="R56" s="23" t="s">
        <v>64</v>
      </c>
    </row>
    <row r="57" spans="1:19" ht="32.1">
      <c r="B57" s="23" t="s">
        <v>579</v>
      </c>
      <c r="C57" s="23" t="s">
        <v>1592</v>
      </c>
      <c r="D57" s="23" t="s">
        <v>1593</v>
      </c>
      <c r="E57" s="23" t="s">
        <v>1606</v>
      </c>
      <c r="F57" s="23" t="s">
        <v>1747</v>
      </c>
      <c r="G57" s="23" t="s">
        <v>1702</v>
      </c>
      <c r="J57" s="23" t="s">
        <v>1749</v>
      </c>
      <c r="K57" s="23" t="s">
        <v>1651</v>
      </c>
      <c r="L57" s="23" t="s">
        <v>64</v>
      </c>
      <c r="M57" s="42" t="s">
        <v>64</v>
      </c>
      <c r="N57" s="23" t="s">
        <v>65</v>
      </c>
      <c r="O57" s="23">
        <v>2021</v>
      </c>
      <c r="P57" s="23" t="s">
        <v>67</v>
      </c>
      <c r="Q57" s="23" t="s">
        <v>64</v>
      </c>
      <c r="R57" s="23" t="s">
        <v>64</v>
      </c>
    </row>
    <row r="58" spans="1:19" ht="32.1">
      <c r="B58" s="23" t="s">
        <v>579</v>
      </c>
      <c r="C58" s="23" t="s">
        <v>1750</v>
      </c>
      <c r="D58" s="23" t="s">
        <v>1751</v>
      </c>
      <c r="E58" s="23" t="s">
        <v>1752</v>
      </c>
      <c r="G58" s="23" t="s">
        <v>1708</v>
      </c>
      <c r="J58" s="23" t="s">
        <v>1601</v>
      </c>
      <c r="K58" s="23" t="s">
        <v>1601</v>
      </c>
      <c r="L58" s="23" t="s">
        <v>64</v>
      </c>
      <c r="M58" s="42" t="s">
        <v>64</v>
      </c>
      <c r="Q58" s="23" t="s">
        <v>64</v>
      </c>
      <c r="R58" s="23" t="s">
        <v>64</v>
      </c>
    </row>
    <row r="59" spans="1:19" ht="48">
      <c r="B59" s="23" t="s">
        <v>579</v>
      </c>
      <c r="C59" s="23" t="s">
        <v>1753</v>
      </c>
      <c r="D59" s="23" t="s">
        <v>1751</v>
      </c>
      <c r="E59" s="23" t="s">
        <v>1754</v>
      </c>
      <c r="F59" s="23" t="s">
        <v>1755</v>
      </c>
      <c r="G59" s="23" t="s">
        <v>62</v>
      </c>
      <c r="J59" s="23" t="s">
        <v>1756</v>
      </c>
      <c r="K59" s="23" t="s">
        <v>1651</v>
      </c>
      <c r="L59" s="23" t="s">
        <v>64</v>
      </c>
      <c r="M59" s="42" t="s">
        <v>64</v>
      </c>
      <c r="N59" s="23" t="s">
        <v>65</v>
      </c>
      <c r="O59" s="23">
        <v>2020</v>
      </c>
      <c r="P59" s="23" t="s">
        <v>180</v>
      </c>
      <c r="Q59" s="23" t="s">
        <v>67</v>
      </c>
      <c r="R59" s="23" t="s">
        <v>64</v>
      </c>
    </row>
    <row r="60" spans="1:19" ht="48">
      <c r="B60" s="23" t="s">
        <v>579</v>
      </c>
      <c r="C60" s="23" t="s">
        <v>1753</v>
      </c>
      <c r="D60" s="23" t="s">
        <v>1751</v>
      </c>
      <c r="E60" s="23" t="s">
        <v>1757</v>
      </c>
      <c r="F60" s="23" t="s">
        <v>1755</v>
      </c>
      <c r="G60" s="23" t="s">
        <v>62</v>
      </c>
      <c r="J60" s="23" t="s">
        <v>1756</v>
      </c>
      <c r="K60" s="23" t="s">
        <v>1627</v>
      </c>
      <c r="L60" s="23" t="s">
        <v>64</v>
      </c>
      <c r="M60" s="42" t="s">
        <v>64</v>
      </c>
      <c r="N60" s="23" t="s">
        <v>65</v>
      </c>
      <c r="O60" s="23">
        <v>2019</v>
      </c>
      <c r="P60" s="23" t="s">
        <v>180</v>
      </c>
      <c r="Q60" s="23" t="s">
        <v>67</v>
      </c>
      <c r="R60" s="23" t="s">
        <v>64</v>
      </c>
    </row>
    <row r="61" spans="1:19" ht="48">
      <c r="B61" s="23" t="s">
        <v>579</v>
      </c>
      <c r="C61" s="23" t="s">
        <v>1753</v>
      </c>
      <c r="D61" s="23" t="s">
        <v>1751</v>
      </c>
      <c r="E61" s="23" t="s">
        <v>1758</v>
      </c>
      <c r="F61" s="23" t="s">
        <v>1755</v>
      </c>
      <c r="G61" s="23" t="s">
        <v>62</v>
      </c>
      <c r="J61" s="23" t="s">
        <v>1756</v>
      </c>
      <c r="K61" s="23" t="s">
        <v>1651</v>
      </c>
      <c r="L61" s="23" t="s">
        <v>64</v>
      </c>
      <c r="M61" s="42" t="s">
        <v>64</v>
      </c>
      <c r="N61" s="23" t="s">
        <v>65</v>
      </c>
      <c r="O61" s="23">
        <v>2018</v>
      </c>
      <c r="P61" s="23" t="s">
        <v>180</v>
      </c>
      <c r="Q61" s="23" t="s">
        <v>67</v>
      </c>
      <c r="R61" s="23" t="s">
        <v>64</v>
      </c>
    </row>
    <row r="62" spans="1:19" ht="48">
      <c r="B62" s="23" t="s">
        <v>579</v>
      </c>
      <c r="C62" s="23" t="s">
        <v>1753</v>
      </c>
      <c r="D62" s="23" t="s">
        <v>1751</v>
      </c>
      <c r="E62" s="23" t="s">
        <v>1759</v>
      </c>
      <c r="F62" s="23" t="s">
        <v>1755</v>
      </c>
      <c r="G62" s="23" t="s">
        <v>62</v>
      </c>
      <c r="J62" s="23" t="s">
        <v>1756</v>
      </c>
      <c r="K62" s="23" t="s">
        <v>1627</v>
      </c>
      <c r="L62" s="23" t="s">
        <v>64</v>
      </c>
      <c r="M62" s="42" t="s">
        <v>64</v>
      </c>
      <c r="N62" s="23" t="s">
        <v>65</v>
      </c>
      <c r="O62" s="23">
        <v>2017</v>
      </c>
      <c r="P62" s="23" t="s">
        <v>180</v>
      </c>
      <c r="Q62" s="23" t="s">
        <v>67</v>
      </c>
      <c r="R62" s="23" t="s">
        <v>64</v>
      </c>
    </row>
    <row r="63" spans="1:19" s="26" customFormat="1" ht="48">
      <c r="B63" s="26" t="s">
        <v>579</v>
      </c>
      <c r="C63" s="26" t="s">
        <v>1753</v>
      </c>
      <c r="D63" s="26" t="s">
        <v>1751</v>
      </c>
      <c r="E63" s="26" t="s">
        <v>1760</v>
      </c>
      <c r="F63" s="26" t="s">
        <v>1755</v>
      </c>
      <c r="G63" s="26" t="s">
        <v>62</v>
      </c>
      <c r="J63" s="26" t="s">
        <v>1756</v>
      </c>
      <c r="K63" s="26" t="s">
        <v>1651</v>
      </c>
      <c r="L63" s="26" t="s">
        <v>64</v>
      </c>
      <c r="M63" s="44" t="s">
        <v>64</v>
      </c>
      <c r="N63" s="26" t="s">
        <v>65</v>
      </c>
      <c r="O63" s="26">
        <v>2016</v>
      </c>
      <c r="P63" s="26" t="s">
        <v>64</v>
      </c>
      <c r="Q63" s="26" t="s">
        <v>67</v>
      </c>
      <c r="R63" s="26" t="s">
        <v>64</v>
      </c>
    </row>
    <row r="64" spans="1:19" ht="48">
      <c r="A64" s="23">
        <v>5</v>
      </c>
      <c r="B64" s="23" t="s">
        <v>598</v>
      </c>
      <c r="C64" s="23" t="s">
        <v>1592</v>
      </c>
      <c r="D64" s="23" t="s">
        <v>1670</v>
      </c>
      <c r="E64" s="23" t="s">
        <v>1761</v>
      </c>
      <c r="F64" s="23" t="s">
        <v>1762</v>
      </c>
      <c r="G64" s="23" t="s">
        <v>1763</v>
      </c>
      <c r="H64" s="23" t="s">
        <v>1764</v>
      </c>
      <c r="I64" s="23" t="s">
        <v>1150</v>
      </c>
      <c r="J64" s="23" t="s">
        <v>68</v>
      </c>
      <c r="L64" s="23" t="s">
        <v>64</v>
      </c>
      <c r="M64" s="42" t="s">
        <v>64</v>
      </c>
      <c r="N64" s="23" t="s">
        <v>65</v>
      </c>
      <c r="O64" s="23">
        <v>2011</v>
      </c>
      <c r="P64" s="23" t="s">
        <v>64</v>
      </c>
      <c r="Q64" s="23" t="s">
        <v>64</v>
      </c>
      <c r="R64" s="23" t="s">
        <v>64</v>
      </c>
    </row>
    <row r="65" spans="1:19" ht="48">
      <c r="B65" s="23" t="s">
        <v>598</v>
      </c>
      <c r="C65" s="23" t="s">
        <v>1630</v>
      </c>
      <c r="D65" s="23" t="s">
        <v>1670</v>
      </c>
      <c r="E65" s="23" t="s">
        <v>1765</v>
      </c>
      <c r="F65" s="23" t="s">
        <v>1766</v>
      </c>
      <c r="G65" s="23" t="s">
        <v>1767</v>
      </c>
      <c r="H65" s="23" t="s">
        <v>1764</v>
      </c>
      <c r="I65" s="23" t="s">
        <v>1150</v>
      </c>
      <c r="J65" s="23" t="s">
        <v>68</v>
      </c>
      <c r="L65" s="23" t="s">
        <v>64</v>
      </c>
      <c r="M65" s="42" t="s">
        <v>64</v>
      </c>
      <c r="N65" s="23" t="s">
        <v>65</v>
      </c>
      <c r="O65" s="23">
        <v>2011</v>
      </c>
      <c r="P65" s="23" t="s">
        <v>64</v>
      </c>
      <c r="Q65" s="23" t="s">
        <v>64</v>
      </c>
      <c r="R65" s="23" t="s">
        <v>64</v>
      </c>
    </row>
    <row r="66" spans="1:19" ht="15.95">
      <c r="B66" s="23" t="s">
        <v>598</v>
      </c>
      <c r="C66" s="23" t="s">
        <v>1630</v>
      </c>
      <c r="D66" s="23" t="s">
        <v>1768</v>
      </c>
      <c r="E66" s="23" t="s">
        <v>1601</v>
      </c>
      <c r="J66" s="23" t="s">
        <v>1601</v>
      </c>
      <c r="K66" s="23" t="s">
        <v>1601</v>
      </c>
      <c r="L66" s="23" t="s">
        <v>64</v>
      </c>
      <c r="M66" s="42" t="s">
        <v>64</v>
      </c>
      <c r="Q66" s="23" t="s">
        <v>64</v>
      </c>
      <c r="R66" s="23" t="s">
        <v>64</v>
      </c>
    </row>
    <row r="67" spans="1:19" ht="15.95">
      <c r="B67" s="23" t="s">
        <v>598</v>
      </c>
      <c r="C67" s="23" t="s">
        <v>1688</v>
      </c>
      <c r="D67" s="23" t="s">
        <v>1768</v>
      </c>
      <c r="E67" s="23" t="s">
        <v>1651</v>
      </c>
      <c r="J67" s="23" t="s">
        <v>1651</v>
      </c>
      <c r="K67" s="23" t="s">
        <v>1651</v>
      </c>
      <c r="L67" s="23" t="s">
        <v>64</v>
      </c>
      <c r="M67" s="42" t="s">
        <v>64</v>
      </c>
      <c r="Q67" s="23" t="s">
        <v>64</v>
      </c>
      <c r="R67" s="23" t="s">
        <v>64</v>
      </c>
    </row>
    <row r="68" spans="1:19" s="26" customFormat="1" ht="15.95">
      <c r="B68" s="26" t="s">
        <v>598</v>
      </c>
      <c r="C68" s="26" t="s">
        <v>1688</v>
      </c>
      <c r="D68" s="26" t="s">
        <v>1768</v>
      </c>
      <c r="E68" s="26" t="s">
        <v>1769</v>
      </c>
      <c r="J68" s="26" t="s">
        <v>1769</v>
      </c>
      <c r="K68" s="26" t="s">
        <v>1627</v>
      </c>
      <c r="L68" s="26" t="s">
        <v>64</v>
      </c>
      <c r="M68" s="44" t="s">
        <v>64</v>
      </c>
      <c r="Q68" s="26" t="s">
        <v>64</v>
      </c>
      <c r="R68" s="26" t="s">
        <v>64</v>
      </c>
    </row>
    <row r="69" spans="1:19" ht="32.1">
      <c r="A69" s="23">
        <v>4</v>
      </c>
      <c r="B69" s="23" t="s">
        <v>625</v>
      </c>
      <c r="C69" s="23" t="s">
        <v>1630</v>
      </c>
      <c r="D69" s="23" t="s">
        <v>1768</v>
      </c>
      <c r="E69" s="23" t="s">
        <v>1770</v>
      </c>
      <c r="H69" s="23" t="s">
        <v>121</v>
      </c>
      <c r="I69" s="23" t="s">
        <v>73</v>
      </c>
      <c r="J69" s="23" t="s">
        <v>68</v>
      </c>
      <c r="L69" s="23" t="s">
        <v>67</v>
      </c>
      <c r="M69" s="46" t="s">
        <v>1771</v>
      </c>
      <c r="Q69" s="23" t="s">
        <v>64</v>
      </c>
      <c r="R69" s="23" t="s">
        <v>64</v>
      </c>
    </row>
    <row r="70" spans="1:19" ht="32.1">
      <c r="B70" s="23" t="s">
        <v>625</v>
      </c>
      <c r="C70" s="23" t="s">
        <v>1630</v>
      </c>
      <c r="D70" s="23" t="s">
        <v>1768</v>
      </c>
      <c r="E70" s="23" t="s">
        <v>1772</v>
      </c>
      <c r="H70" s="23" t="s">
        <v>121</v>
      </c>
      <c r="I70" s="23" t="s">
        <v>73</v>
      </c>
      <c r="J70" s="23" t="s">
        <v>68</v>
      </c>
      <c r="L70" s="23" t="s">
        <v>67</v>
      </c>
      <c r="M70" s="46" t="s">
        <v>1773</v>
      </c>
      <c r="N70" s="23" t="s">
        <v>1774</v>
      </c>
      <c r="O70" s="23" t="s">
        <v>1774</v>
      </c>
      <c r="P70" s="23" t="s">
        <v>1774</v>
      </c>
      <c r="Q70" s="23" t="s">
        <v>64</v>
      </c>
      <c r="R70" s="23" t="s">
        <v>64</v>
      </c>
    </row>
    <row r="71" spans="1:19" ht="32.1">
      <c r="B71" s="23" t="s">
        <v>625</v>
      </c>
      <c r="C71" s="23" t="s">
        <v>1630</v>
      </c>
      <c r="D71" s="23" t="s">
        <v>1768</v>
      </c>
      <c r="E71" s="23" t="s">
        <v>1775</v>
      </c>
      <c r="H71" s="23" t="s">
        <v>121</v>
      </c>
      <c r="I71" s="23" t="s">
        <v>73</v>
      </c>
      <c r="J71" s="23" t="s">
        <v>68</v>
      </c>
      <c r="L71" s="23" t="s">
        <v>67</v>
      </c>
      <c r="M71" s="46" t="s">
        <v>1776</v>
      </c>
      <c r="Q71" s="23" t="s">
        <v>64</v>
      </c>
      <c r="R71" s="23" t="s">
        <v>64</v>
      </c>
    </row>
    <row r="72" spans="1:19" s="26" customFormat="1" ht="48">
      <c r="B72" s="26" t="s">
        <v>625</v>
      </c>
      <c r="C72" s="26" t="s">
        <v>1630</v>
      </c>
      <c r="D72" s="26" t="s">
        <v>1751</v>
      </c>
      <c r="E72" s="26" t="s">
        <v>1777</v>
      </c>
      <c r="H72" s="26" t="s">
        <v>1778</v>
      </c>
      <c r="I72" s="26" t="s">
        <v>73</v>
      </c>
      <c r="J72" s="26" t="s">
        <v>68</v>
      </c>
      <c r="L72" s="26" t="s">
        <v>64</v>
      </c>
      <c r="M72" s="44" t="s">
        <v>64</v>
      </c>
      <c r="N72" s="26" t="s">
        <v>65</v>
      </c>
      <c r="O72" s="26">
        <v>2017</v>
      </c>
      <c r="P72" s="26" t="s">
        <v>64</v>
      </c>
      <c r="Q72" s="26" t="s">
        <v>64</v>
      </c>
      <c r="R72" s="26" t="s">
        <v>64</v>
      </c>
    </row>
    <row r="73" spans="1:19" ht="48" customHeight="1">
      <c r="A73" s="23">
        <v>7</v>
      </c>
      <c r="B73" s="23" t="s">
        <v>660</v>
      </c>
      <c r="C73" s="23" t="s">
        <v>1779</v>
      </c>
      <c r="D73" s="23" t="s">
        <v>1593</v>
      </c>
      <c r="E73" s="23" t="s">
        <v>1780</v>
      </c>
      <c r="F73" s="23" t="s">
        <v>1781</v>
      </c>
      <c r="G73" s="23" t="s">
        <v>163</v>
      </c>
      <c r="J73" s="23" t="s">
        <v>1782</v>
      </c>
      <c r="K73" s="23" t="s">
        <v>1627</v>
      </c>
      <c r="L73" s="23" t="s">
        <v>64</v>
      </c>
      <c r="M73" s="42" t="s">
        <v>64</v>
      </c>
      <c r="N73" s="23" t="s">
        <v>1661</v>
      </c>
      <c r="O73" s="23">
        <v>2023</v>
      </c>
      <c r="P73" s="23" t="s">
        <v>67</v>
      </c>
      <c r="Q73" s="23" t="s">
        <v>64</v>
      </c>
      <c r="R73" s="23" t="s">
        <v>64</v>
      </c>
    </row>
    <row r="74" spans="1:19" ht="48">
      <c r="B74" s="23" t="s">
        <v>660</v>
      </c>
      <c r="C74" s="23" t="s">
        <v>1779</v>
      </c>
      <c r="D74" s="23" t="s">
        <v>1593</v>
      </c>
      <c r="E74" s="23" t="s">
        <v>1783</v>
      </c>
      <c r="F74" s="23" t="s">
        <v>1784</v>
      </c>
      <c r="G74" s="23" t="s">
        <v>1702</v>
      </c>
      <c r="J74" s="23" t="s">
        <v>1785</v>
      </c>
      <c r="K74" s="23" t="s">
        <v>1627</v>
      </c>
      <c r="L74" s="23" t="s">
        <v>64</v>
      </c>
      <c r="M74" s="42" t="s">
        <v>64</v>
      </c>
      <c r="N74" s="23" t="s">
        <v>1272</v>
      </c>
      <c r="O74" s="23">
        <v>2023</v>
      </c>
      <c r="P74" s="23" t="s">
        <v>67</v>
      </c>
      <c r="Q74" s="23" t="s">
        <v>64</v>
      </c>
      <c r="R74" s="23" t="s">
        <v>64</v>
      </c>
    </row>
    <row r="75" spans="1:19" ht="63.95">
      <c r="B75" s="23" t="s">
        <v>660</v>
      </c>
      <c r="C75" s="23" t="s">
        <v>1643</v>
      </c>
      <c r="D75" s="23" t="s">
        <v>1593</v>
      </c>
      <c r="E75" s="23" t="s">
        <v>1786</v>
      </c>
      <c r="F75" s="23" t="s">
        <v>1787</v>
      </c>
      <c r="G75" s="23" t="s">
        <v>1708</v>
      </c>
      <c r="J75" s="23" t="s">
        <v>1788</v>
      </c>
      <c r="K75" s="23" t="s">
        <v>1627</v>
      </c>
      <c r="L75" s="23" t="s">
        <v>64</v>
      </c>
      <c r="M75" s="42" t="s">
        <v>64</v>
      </c>
      <c r="N75" s="23" t="s">
        <v>65</v>
      </c>
      <c r="O75" s="23">
        <v>2022</v>
      </c>
      <c r="P75" s="23" t="s">
        <v>64</v>
      </c>
      <c r="Q75" s="23" t="s">
        <v>64</v>
      </c>
      <c r="R75" s="23" t="s">
        <v>64</v>
      </c>
    </row>
    <row r="76" spans="1:19" ht="32.1">
      <c r="B76" s="23" t="s">
        <v>660</v>
      </c>
      <c r="C76" s="23" t="s">
        <v>1630</v>
      </c>
      <c r="D76" s="23" t="s">
        <v>1593</v>
      </c>
      <c r="E76" s="23" t="s">
        <v>1789</v>
      </c>
      <c r="F76" s="23" t="s">
        <v>1784</v>
      </c>
      <c r="G76" s="23" t="s">
        <v>1790</v>
      </c>
      <c r="J76" s="23" t="s">
        <v>1791</v>
      </c>
      <c r="K76" s="23" t="s">
        <v>1651</v>
      </c>
      <c r="L76" s="23" t="s">
        <v>64</v>
      </c>
      <c r="M76" s="42" t="s">
        <v>64</v>
      </c>
      <c r="N76" s="23" t="s">
        <v>1661</v>
      </c>
      <c r="O76" s="23">
        <v>2023</v>
      </c>
      <c r="P76" s="23" t="s">
        <v>67</v>
      </c>
      <c r="Q76" s="23" t="s">
        <v>64</v>
      </c>
      <c r="R76" s="23" t="s">
        <v>64</v>
      </c>
    </row>
    <row r="77" spans="1:19" ht="32.1">
      <c r="B77" s="23" t="s">
        <v>660</v>
      </c>
      <c r="C77" s="23" t="s">
        <v>1643</v>
      </c>
      <c r="D77" s="23" t="s">
        <v>1792</v>
      </c>
      <c r="E77" s="23" t="s">
        <v>1793</v>
      </c>
      <c r="F77" s="23" t="s">
        <v>1794</v>
      </c>
      <c r="G77" s="23" t="s">
        <v>1702</v>
      </c>
      <c r="J77" s="23" t="s">
        <v>1791</v>
      </c>
      <c r="K77" s="23" t="s">
        <v>1651</v>
      </c>
      <c r="L77" s="23" t="s">
        <v>64</v>
      </c>
      <c r="M77" s="42" t="s">
        <v>64</v>
      </c>
      <c r="N77" s="23" t="s">
        <v>1272</v>
      </c>
      <c r="O77" s="23">
        <v>2022</v>
      </c>
      <c r="P77" s="23" t="s">
        <v>67</v>
      </c>
      <c r="Q77" s="23" t="s">
        <v>64</v>
      </c>
      <c r="R77" s="23" t="s">
        <v>64</v>
      </c>
    </row>
    <row r="78" spans="1:19" ht="32.1">
      <c r="B78" s="23" t="s">
        <v>660</v>
      </c>
      <c r="C78" s="23" t="s">
        <v>1623</v>
      </c>
      <c r="D78" s="23" t="s">
        <v>1795</v>
      </c>
      <c r="E78" s="23" t="s">
        <v>1796</v>
      </c>
      <c r="F78" s="23" t="s">
        <v>1797</v>
      </c>
      <c r="G78" s="23" t="s">
        <v>1708</v>
      </c>
      <c r="J78" s="23" t="s">
        <v>1791</v>
      </c>
      <c r="K78" s="23" t="s">
        <v>1651</v>
      </c>
      <c r="L78" s="23" t="s">
        <v>64</v>
      </c>
      <c r="M78" s="42" t="s">
        <v>64</v>
      </c>
      <c r="N78" s="23" t="s">
        <v>1798</v>
      </c>
      <c r="O78" s="23">
        <v>2023</v>
      </c>
      <c r="P78" s="23" t="s">
        <v>67</v>
      </c>
      <c r="Q78" s="23" t="s">
        <v>64</v>
      </c>
      <c r="R78" s="23" t="s">
        <v>64</v>
      </c>
    </row>
    <row r="79" spans="1:19" s="26" customFormat="1" ht="48">
      <c r="B79" s="26" t="s">
        <v>660</v>
      </c>
      <c r="C79" s="26" t="s">
        <v>1799</v>
      </c>
      <c r="D79" s="26" t="s">
        <v>1795</v>
      </c>
      <c r="E79" s="26" t="s">
        <v>1800</v>
      </c>
      <c r="F79" s="26" t="s">
        <v>1801</v>
      </c>
      <c r="G79" s="26" t="s">
        <v>1702</v>
      </c>
      <c r="J79" s="26" t="s">
        <v>1651</v>
      </c>
      <c r="K79" s="26" t="s">
        <v>1651</v>
      </c>
      <c r="L79" s="26" t="s">
        <v>64</v>
      </c>
      <c r="M79" s="44" t="s">
        <v>64</v>
      </c>
      <c r="N79" s="26" t="s">
        <v>65</v>
      </c>
      <c r="O79" s="26">
        <v>2022</v>
      </c>
      <c r="P79" s="26" t="s">
        <v>67</v>
      </c>
      <c r="Q79" s="26" t="s">
        <v>64</v>
      </c>
      <c r="R79" s="26" t="s">
        <v>64</v>
      </c>
    </row>
    <row r="80" spans="1:19" s="26" customFormat="1" ht="80.099999999999994">
      <c r="A80" s="26">
        <v>0</v>
      </c>
      <c r="B80" s="26" t="s">
        <v>685</v>
      </c>
      <c r="M80" s="44"/>
      <c r="S80" s="26" t="s">
        <v>1802</v>
      </c>
    </row>
    <row r="81" spans="1:18" ht="32.1">
      <c r="A81" s="23">
        <v>22</v>
      </c>
      <c r="B81" s="23" t="s">
        <v>693</v>
      </c>
      <c r="C81" s="23" t="s">
        <v>1630</v>
      </c>
      <c r="D81" s="23" t="s">
        <v>1768</v>
      </c>
      <c r="E81" s="23" t="s">
        <v>1803</v>
      </c>
      <c r="J81" s="23" t="s">
        <v>1803</v>
      </c>
      <c r="K81" s="23" t="s">
        <v>1804</v>
      </c>
      <c r="L81" s="23" t="s">
        <v>64</v>
      </c>
      <c r="M81" s="42" t="s">
        <v>64</v>
      </c>
      <c r="Q81" s="23" t="s">
        <v>64</v>
      </c>
      <c r="R81" s="23" t="s">
        <v>64</v>
      </c>
    </row>
    <row r="82" spans="1:18" ht="32.1">
      <c r="B82" s="23" t="s">
        <v>693</v>
      </c>
      <c r="C82" s="23" t="s">
        <v>1630</v>
      </c>
      <c r="D82" s="23" t="s">
        <v>1768</v>
      </c>
      <c r="E82" s="23" t="s">
        <v>1805</v>
      </c>
      <c r="J82" s="23" t="s">
        <v>1805</v>
      </c>
      <c r="K82" s="23" t="s">
        <v>1804</v>
      </c>
      <c r="L82" s="23" t="s">
        <v>64</v>
      </c>
      <c r="M82" s="42" t="s">
        <v>64</v>
      </c>
      <c r="Q82" s="23" t="s">
        <v>64</v>
      </c>
      <c r="R82" s="23" t="s">
        <v>64</v>
      </c>
    </row>
    <row r="83" spans="1:18" ht="15.95">
      <c r="B83" s="23" t="s">
        <v>693</v>
      </c>
      <c r="C83" s="23" t="s">
        <v>1630</v>
      </c>
      <c r="D83" s="23" t="s">
        <v>1768</v>
      </c>
      <c r="E83" s="23" t="s">
        <v>1601</v>
      </c>
      <c r="J83" s="23" t="s">
        <v>1601</v>
      </c>
      <c r="K83" s="23" t="s">
        <v>1601</v>
      </c>
      <c r="L83" s="23" t="s">
        <v>64</v>
      </c>
      <c r="M83" s="42" t="s">
        <v>64</v>
      </c>
      <c r="Q83" s="23" t="s">
        <v>64</v>
      </c>
      <c r="R83" s="23" t="s">
        <v>64</v>
      </c>
    </row>
    <row r="84" spans="1:18" ht="32.1">
      <c r="B84" s="23" t="s">
        <v>693</v>
      </c>
      <c r="C84" s="23" t="s">
        <v>1630</v>
      </c>
      <c r="D84" s="23" t="s">
        <v>1768</v>
      </c>
      <c r="E84" s="23" t="s">
        <v>1806</v>
      </c>
      <c r="J84" s="23" t="s">
        <v>1807</v>
      </c>
      <c r="K84" s="23" t="s">
        <v>1804</v>
      </c>
      <c r="L84" s="23" t="s">
        <v>64</v>
      </c>
      <c r="M84" s="42" t="s">
        <v>64</v>
      </c>
      <c r="Q84" s="23" t="s">
        <v>64</v>
      </c>
      <c r="R84" s="23" t="s">
        <v>64</v>
      </c>
    </row>
    <row r="85" spans="1:18" ht="32.1">
      <c r="B85" s="23" t="s">
        <v>693</v>
      </c>
      <c r="C85" s="23" t="s">
        <v>1630</v>
      </c>
      <c r="D85" s="23" t="s">
        <v>1768</v>
      </c>
      <c r="E85" s="23" t="s">
        <v>1808</v>
      </c>
      <c r="J85" s="23" t="s">
        <v>1809</v>
      </c>
      <c r="K85" s="23" t="s">
        <v>1809</v>
      </c>
      <c r="L85" s="23" t="s">
        <v>64</v>
      </c>
      <c r="M85" s="42" t="s">
        <v>64</v>
      </c>
      <c r="Q85" s="23" t="s">
        <v>64</v>
      </c>
      <c r="R85" s="23" t="s">
        <v>64</v>
      </c>
    </row>
    <row r="86" spans="1:18" ht="15.95">
      <c r="B86" s="23" t="s">
        <v>693</v>
      </c>
      <c r="C86" s="23" t="s">
        <v>1630</v>
      </c>
      <c r="D86" s="23" t="s">
        <v>1810</v>
      </c>
      <c r="E86" s="23" t="s">
        <v>1811</v>
      </c>
      <c r="J86" s="23" t="s">
        <v>1812</v>
      </c>
      <c r="K86" s="23" t="s">
        <v>1651</v>
      </c>
      <c r="L86" s="23" t="s">
        <v>64</v>
      </c>
      <c r="M86" s="42" t="s">
        <v>64</v>
      </c>
      <c r="Q86" s="23" t="s">
        <v>64</v>
      </c>
      <c r="R86" s="23" t="s">
        <v>64</v>
      </c>
    </row>
    <row r="87" spans="1:18" ht="32.1">
      <c r="B87" s="23" t="s">
        <v>693</v>
      </c>
      <c r="C87" s="23" t="s">
        <v>1630</v>
      </c>
      <c r="D87" s="23" t="s">
        <v>1768</v>
      </c>
      <c r="E87" s="23" t="s">
        <v>1813</v>
      </c>
      <c r="J87" s="23" t="s">
        <v>1807</v>
      </c>
      <c r="K87" s="23" t="s">
        <v>1804</v>
      </c>
      <c r="L87" s="23" t="s">
        <v>64</v>
      </c>
      <c r="M87" s="42" t="s">
        <v>64</v>
      </c>
      <c r="Q87" s="23" t="s">
        <v>64</v>
      </c>
      <c r="R87" s="23" t="s">
        <v>64</v>
      </c>
    </row>
    <row r="88" spans="1:18" ht="15.95">
      <c r="B88" s="23" t="s">
        <v>693</v>
      </c>
      <c r="C88" s="23" t="s">
        <v>1630</v>
      </c>
      <c r="D88" s="23" t="s">
        <v>1768</v>
      </c>
      <c r="E88" s="23" t="s">
        <v>1814</v>
      </c>
      <c r="F88" s="23" t="s">
        <v>1815</v>
      </c>
      <c r="J88" s="23" t="s">
        <v>1816</v>
      </c>
      <c r="K88" s="23" t="s">
        <v>1601</v>
      </c>
      <c r="L88" s="23" t="s">
        <v>64</v>
      </c>
      <c r="M88" s="42" t="s">
        <v>64</v>
      </c>
      <c r="Q88" s="23" t="s">
        <v>64</v>
      </c>
      <c r="R88" s="23" t="s">
        <v>64</v>
      </c>
    </row>
    <row r="89" spans="1:18" ht="32.1">
      <c r="B89" s="23" t="s">
        <v>693</v>
      </c>
      <c r="C89" s="23" t="s">
        <v>1623</v>
      </c>
      <c r="D89" s="23" t="s">
        <v>1768</v>
      </c>
      <c r="E89" s="23" t="s">
        <v>1817</v>
      </c>
      <c r="J89" s="23" t="s">
        <v>1807</v>
      </c>
      <c r="K89" s="23" t="s">
        <v>1804</v>
      </c>
      <c r="L89" s="23" t="s">
        <v>64</v>
      </c>
      <c r="M89" s="42" t="s">
        <v>64</v>
      </c>
      <c r="Q89" s="23" t="s">
        <v>64</v>
      </c>
      <c r="R89" s="23" t="s">
        <v>64</v>
      </c>
    </row>
    <row r="90" spans="1:18" ht="32.1">
      <c r="B90" s="23" t="s">
        <v>693</v>
      </c>
      <c r="C90" s="23" t="s">
        <v>1683</v>
      </c>
      <c r="D90" s="23" t="s">
        <v>1768</v>
      </c>
      <c r="E90" s="23" t="s">
        <v>1818</v>
      </c>
      <c r="J90" s="23" t="s">
        <v>1174</v>
      </c>
      <c r="K90" s="23" t="s">
        <v>1804</v>
      </c>
      <c r="L90" s="23" t="s">
        <v>64</v>
      </c>
      <c r="M90" s="42" t="s">
        <v>64</v>
      </c>
      <c r="Q90" s="23" t="s">
        <v>64</v>
      </c>
      <c r="R90" s="23" t="s">
        <v>64</v>
      </c>
    </row>
    <row r="91" spans="1:18" ht="32.1">
      <c r="B91" s="23" t="s">
        <v>693</v>
      </c>
      <c r="C91" s="23" t="s">
        <v>1819</v>
      </c>
      <c r="D91" s="23" t="s">
        <v>1768</v>
      </c>
      <c r="E91" s="23" t="s">
        <v>1718</v>
      </c>
      <c r="J91" s="23" t="s">
        <v>1174</v>
      </c>
      <c r="K91" s="23" t="s">
        <v>1804</v>
      </c>
      <c r="L91" s="23" t="s">
        <v>64</v>
      </c>
      <c r="M91" s="42" t="s">
        <v>64</v>
      </c>
      <c r="Q91" s="23" t="s">
        <v>64</v>
      </c>
      <c r="R91" s="23" t="s">
        <v>64</v>
      </c>
    </row>
    <row r="92" spans="1:18" ht="32.1">
      <c r="B92" s="23" t="s">
        <v>693</v>
      </c>
      <c r="C92" s="23" t="s">
        <v>1819</v>
      </c>
      <c r="D92" s="23" t="s">
        <v>1768</v>
      </c>
      <c r="E92" s="23" t="s">
        <v>1820</v>
      </c>
      <c r="F92" s="23" t="s">
        <v>1821</v>
      </c>
      <c r="J92" s="23" t="s">
        <v>1807</v>
      </c>
      <c r="K92" s="23" t="s">
        <v>1804</v>
      </c>
      <c r="L92" s="23" t="s">
        <v>64</v>
      </c>
      <c r="M92" s="42" t="s">
        <v>64</v>
      </c>
      <c r="Q92" s="23" t="s">
        <v>64</v>
      </c>
      <c r="R92" s="23" t="s">
        <v>64</v>
      </c>
    </row>
    <row r="93" spans="1:18" ht="32.1">
      <c r="B93" s="23" t="s">
        <v>693</v>
      </c>
      <c r="C93" s="23" t="s">
        <v>1606</v>
      </c>
      <c r="D93" s="23" t="s">
        <v>1768</v>
      </c>
      <c r="E93" s="23" t="s">
        <v>1822</v>
      </c>
      <c r="J93" s="23" t="s">
        <v>1174</v>
      </c>
      <c r="K93" s="23" t="s">
        <v>1804</v>
      </c>
      <c r="L93" s="23" t="s">
        <v>64</v>
      </c>
      <c r="M93" s="42" t="s">
        <v>64</v>
      </c>
      <c r="Q93" s="23" t="s">
        <v>64</v>
      </c>
      <c r="R93" s="23" t="s">
        <v>64</v>
      </c>
    </row>
    <row r="94" spans="1:18" ht="32.1">
      <c r="B94" s="23" t="s">
        <v>693</v>
      </c>
      <c r="C94" s="23" t="s">
        <v>1643</v>
      </c>
      <c r="D94" s="23" t="s">
        <v>1768</v>
      </c>
      <c r="E94" s="23" t="s">
        <v>1823</v>
      </c>
      <c r="J94" s="23" t="s">
        <v>1807</v>
      </c>
      <c r="K94" s="23" t="s">
        <v>1804</v>
      </c>
      <c r="L94" s="23" t="s">
        <v>64</v>
      </c>
      <c r="M94" s="42" t="s">
        <v>64</v>
      </c>
      <c r="Q94" s="23" t="s">
        <v>64</v>
      </c>
      <c r="R94" s="23" t="s">
        <v>64</v>
      </c>
    </row>
    <row r="95" spans="1:18" ht="15.95">
      <c r="B95" s="23" t="s">
        <v>693</v>
      </c>
      <c r="C95" s="23" t="s">
        <v>1592</v>
      </c>
      <c r="D95" s="23" t="s">
        <v>1768</v>
      </c>
      <c r="E95" s="23" t="s">
        <v>1824</v>
      </c>
      <c r="H95" s="23" t="s">
        <v>392</v>
      </c>
      <c r="I95" s="23" t="s">
        <v>73</v>
      </c>
      <c r="J95" s="23" t="s">
        <v>68</v>
      </c>
      <c r="L95" s="23" t="s">
        <v>67</v>
      </c>
      <c r="M95" s="46" t="s">
        <v>1825</v>
      </c>
      <c r="Q95" s="23" t="s">
        <v>64</v>
      </c>
      <c r="R95" s="23" t="s">
        <v>64</v>
      </c>
    </row>
    <row r="96" spans="1:18" ht="32.1">
      <c r="B96" s="23" t="s">
        <v>693</v>
      </c>
      <c r="C96" s="23" t="s">
        <v>1592</v>
      </c>
      <c r="D96" s="23" t="s">
        <v>1768</v>
      </c>
      <c r="E96" s="23" t="s">
        <v>1826</v>
      </c>
      <c r="J96" s="23" t="s">
        <v>1807</v>
      </c>
      <c r="K96" s="23" t="s">
        <v>1804</v>
      </c>
      <c r="L96" s="23" t="s">
        <v>64</v>
      </c>
      <c r="M96" s="42" t="s">
        <v>64</v>
      </c>
      <c r="Q96" s="23" t="s">
        <v>64</v>
      </c>
      <c r="R96" s="23" t="s">
        <v>64</v>
      </c>
    </row>
    <row r="97" spans="1:18" ht="32.1">
      <c r="B97" s="23" t="s">
        <v>693</v>
      </c>
      <c r="C97" s="23" t="s">
        <v>1592</v>
      </c>
      <c r="D97" s="23" t="s">
        <v>1768</v>
      </c>
      <c r="E97" s="23" t="s">
        <v>1827</v>
      </c>
      <c r="J97" s="23" t="s">
        <v>1828</v>
      </c>
      <c r="K97" s="23" t="s">
        <v>1598</v>
      </c>
      <c r="L97" s="23" t="s">
        <v>64</v>
      </c>
      <c r="M97" s="42" t="s">
        <v>64</v>
      </c>
      <c r="Q97" s="23" t="s">
        <v>64</v>
      </c>
      <c r="R97" s="23" t="s">
        <v>64</v>
      </c>
    </row>
    <row r="98" spans="1:18" ht="32.1">
      <c r="B98" s="23" t="s">
        <v>693</v>
      </c>
      <c r="C98" s="23" t="s">
        <v>1592</v>
      </c>
      <c r="D98" s="23" t="s">
        <v>1768</v>
      </c>
      <c r="E98" s="23" t="s">
        <v>1829</v>
      </c>
      <c r="J98" s="23" t="s">
        <v>1807</v>
      </c>
      <c r="K98" s="23" t="s">
        <v>1804</v>
      </c>
      <c r="L98" s="23" t="s">
        <v>64</v>
      </c>
      <c r="M98" s="42" t="s">
        <v>64</v>
      </c>
      <c r="Q98" s="23" t="s">
        <v>64</v>
      </c>
      <c r="R98" s="23" t="s">
        <v>64</v>
      </c>
    </row>
    <row r="99" spans="1:18" ht="15.95">
      <c r="B99" s="23" t="s">
        <v>693</v>
      </c>
      <c r="C99" s="23" t="s">
        <v>1753</v>
      </c>
      <c r="D99" s="23" t="s">
        <v>1768</v>
      </c>
      <c r="E99" s="23" t="s">
        <v>1830</v>
      </c>
      <c r="J99" s="23" t="s">
        <v>1831</v>
      </c>
      <c r="K99" s="23" t="s">
        <v>1832</v>
      </c>
      <c r="L99" s="23" t="s">
        <v>64</v>
      </c>
      <c r="M99" s="42" t="s">
        <v>64</v>
      </c>
      <c r="Q99" s="23" t="s">
        <v>64</v>
      </c>
      <c r="R99" s="23" t="s">
        <v>64</v>
      </c>
    </row>
    <row r="100" spans="1:18" ht="48">
      <c r="B100" s="23" t="s">
        <v>693</v>
      </c>
      <c r="C100" s="23" t="s">
        <v>1753</v>
      </c>
      <c r="D100" s="23" t="s">
        <v>1768</v>
      </c>
      <c r="E100" s="23" t="s">
        <v>1833</v>
      </c>
      <c r="H100" s="23" t="s">
        <v>392</v>
      </c>
      <c r="I100" s="23" t="s">
        <v>73</v>
      </c>
      <c r="J100" s="23" t="s">
        <v>68</v>
      </c>
      <c r="L100" s="23" t="s">
        <v>67</v>
      </c>
      <c r="M100" s="46" t="s">
        <v>1834</v>
      </c>
      <c r="Q100" s="23" t="s">
        <v>64</v>
      </c>
      <c r="R100" s="23" t="s">
        <v>64</v>
      </c>
    </row>
    <row r="101" spans="1:18" ht="32.1">
      <c r="B101" s="23" t="s">
        <v>693</v>
      </c>
      <c r="C101" s="23" t="s">
        <v>1623</v>
      </c>
      <c r="D101" s="23" t="s">
        <v>1768</v>
      </c>
      <c r="E101" s="23" t="s">
        <v>1835</v>
      </c>
      <c r="J101" s="23" t="s">
        <v>1812</v>
      </c>
      <c r="K101" s="23" t="s">
        <v>1651</v>
      </c>
      <c r="L101" s="23" t="s">
        <v>64</v>
      </c>
      <c r="M101" s="42" t="s">
        <v>64</v>
      </c>
      <c r="Q101" s="23" t="s">
        <v>64</v>
      </c>
      <c r="R101" s="23" t="s">
        <v>64</v>
      </c>
    </row>
    <row r="102" spans="1:18" s="26" customFormat="1" ht="35.25" customHeight="1">
      <c r="B102" s="26" t="s">
        <v>693</v>
      </c>
      <c r="C102" s="26" t="s">
        <v>1606</v>
      </c>
      <c r="D102" s="26" t="s">
        <v>1768</v>
      </c>
      <c r="E102" s="26" t="s">
        <v>1836</v>
      </c>
      <c r="F102" s="26" t="s">
        <v>1837</v>
      </c>
      <c r="G102" s="26" t="s">
        <v>297</v>
      </c>
      <c r="J102" s="26" t="s">
        <v>1812</v>
      </c>
      <c r="K102" s="26" t="s">
        <v>1651</v>
      </c>
      <c r="L102" s="26" t="s">
        <v>64</v>
      </c>
      <c r="M102" s="44" t="s">
        <v>64</v>
      </c>
      <c r="Q102" s="26" t="s">
        <v>64</v>
      </c>
      <c r="R102" s="26" t="s">
        <v>64</v>
      </c>
    </row>
    <row r="103" spans="1:18" ht="32.1">
      <c r="A103" s="23">
        <v>17</v>
      </c>
      <c r="B103" s="23" t="s">
        <v>729</v>
      </c>
      <c r="C103" s="23" t="s">
        <v>1592</v>
      </c>
      <c r="D103" s="23" t="s">
        <v>1593</v>
      </c>
      <c r="E103" s="23" t="s">
        <v>1838</v>
      </c>
      <c r="F103" s="23" t="s">
        <v>1839</v>
      </c>
      <c r="G103" s="23" t="s">
        <v>1840</v>
      </c>
      <c r="H103" s="23" t="s">
        <v>1841</v>
      </c>
      <c r="I103" s="23" t="s">
        <v>433</v>
      </c>
      <c r="J103" s="23" t="s">
        <v>68</v>
      </c>
      <c r="L103" s="23" t="s">
        <v>64</v>
      </c>
      <c r="M103" s="42" t="s">
        <v>64</v>
      </c>
      <c r="N103" s="23" t="s">
        <v>65</v>
      </c>
      <c r="O103" s="23">
        <v>2021</v>
      </c>
      <c r="P103" s="23" t="s">
        <v>67</v>
      </c>
      <c r="Q103" s="23" t="s">
        <v>64</v>
      </c>
      <c r="R103" s="23" t="s">
        <v>64</v>
      </c>
    </row>
    <row r="104" spans="1:18" ht="32.1">
      <c r="B104" s="23" t="s">
        <v>729</v>
      </c>
      <c r="C104" s="23" t="s">
        <v>1592</v>
      </c>
      <c r="D104" s="23" t="s">
        <v>1795</v>
      </c>
      <c r="E104" s="23" t="s">
        <v>1842</v>
      </c>
      <c r="F104" s="23" t="s">
        <v>1843</v>
      </c>
      <c r="G104" s="23" t="s">
        <v>1844</v>
      </c>
      <c r="H104" s="23" t="s">
        <v>1841</v>
      </c>
      <c r="I104" s="23" t="s">
        <v>433</v>
      </c>
      <c r="J104" s="23" t="s">
        <v>68</v>
      </c>
      <c r="L104" s="23" t="s">
        <v>64</v>
      </c>
      <c r="M104" s="42" t="s">
        <v>64</v>
      </c>
      <c r="N104" s="23" t="s">
        <v>65</v>
      </c>
      <c r="O104" s="23">
        <v>2021</v>
      </c>
      <c r="P104" s="23" t="s">
        <v>67</v>
      </c>
      <c r="Q104" s="23" t="s">
        <v>64</v>
      </c>
      <c r="R104" s="23" t="s">
        <v>64</v>
      </c>
    </row>
    <row r="105" spans="1:18" ht="32.1">
      <c r="B105" s="23" t="s">
        <v>729</v>
      </c>
      <c r="C105" s="23" t="s">
        <v>1592</v>
      </c>
      <c r="D105" s="23" t="s">
        <v>1593</v>
      </c>
      <c r="E105" s="23" t="s">
        <v>1845</v>
      </c>
      <c r="F105" s="23" t="s">
        <v>1846</v>
      </c>
      <c r="G105" s="23" t="s">
        <v>1844</v>
      </c>
      <c r="H105" s="23" t="s">
        <v>1841</v>
      </c>
      <c r="I105" s="23" t="s">
        <v>433</v>
      </c>
      <c r="J105" s="23" t="s">
        <v>68</v>
      </c>
      <c r="L105" s="23" t="s">
        <v>64</v>
      </c>
      <c r="M105" s="42" t="s">
        <v>64</v>
      </c>
      <c r="N105" s="23" t="s">
        <v>65</v>
      </c>
      <c r="O105" s="23">
        <v>2021</v>
      </c>
      <c r="P105" s="23" t="s">
        <v>67</v>
      </c>
      <c r="Q105" s="23" t="s">
        <v>64</v>
      </c>
      <c r="R105" s="23" t="s">
        <v>64</v>
      </c>
    </row>
    <row r="106" spans="1:18" ht="48">
      <c r="B106" s="23" t="s">
        <v>729</v>
      </c>
      <c r="C106" s="23" t="s">
        <v>1592</v>
      </c>
      <c r="D106" s="23" t="s">
        <v>1593</v>
      </c>
      <c r="E106" s="23" t="s">
        <v>1847</v>
      </c>
      <c r="F106" s="23" t="s">
        <v>1848</v>
      </c>
      <c r="G106" s="23" t="s">
        <v>1844</v>
      </c>
      <c r="H106" s="23" t="s">
        <v>1841</v>
      </c>
      <c r="I106" s="23" t="s">
        <v>433</v>
      </c>
      <c r="J106" s="23" t="s">
        <v>68</v>
      </c>
      <c r="L106" s="23" t="s">
        <v>64</v>
      </c>
      <c r="M106" s="42" t="s">
        <v>64</v>
      </c>
      <c r="N106" s="23" t="s">
        <v>65</v>
      </c>
      <c r="O106" s="23">
        <v>2021</v>
      </c>
      <c r="P106" s="23" t="s">
        <v>67</v>
      </c>
      <c r="Q106" s="23" t="s">
        <v>64</v>
      </c>
      <c r="R106" s="23" t="s">
        <v>64</v>
      </c>
    </row>
    <row r="107" spans="1:18" ht="80.099999999999994">
      <c r="B107" s="23" t="s">
        <v>729</v>
      </c>
      <c r="C107" s="23" t="s">
        <v>1592</v>
      </c>
      <c r="D107" s="23" t="s">
        <v>1849</v>
      </c>
      <c r="E107" s="23" t="s">
        <v>1850</v>
      </c>
      <c r="F107" s="23" t="s">
        <v>1851</v>
      </c>
      <c r="G107" s="23" t="s">
        <v>1844</v>
      </c>
      <c r="H107" s="23" t="s">
        <v>1841</v>
      </c>
      <c r="I107" s="23" t="s">
        <v>433</v>
      </c>
      <c r="J107" s="23" t="s">
        <v>68</v>
      </c>
      <c r="L107" s="23" t="s">
        <v>64</v>
      </c>
      <c r="M107" s="42" t="s">
        <v>64</v>
      </c>
      <c r="N107" s="23" t="s">
        <v>65</v>
      </c>
      <c r="O107" s="23">
        <v>2021</v>
      </c>
      <c r="P107" s="23" t="s">
        <v>67</v>
      </c>
      <c r="Q107" s="23" t="s">
        <v>64</v>
      </c>
      <c r="R107" s="23" t="s">
        <v>64</v>
      </c>
    </row>
    <row r="108" spans="1:18" ht="32.1">
      <c r="B108" s="23" t="s">
        <v>729</v>
      </c>
      <c r="C108" s="23" t="s">
        <v>1592</v>
      </c>
      <c r="D108" s="23" t="s">
        <v>1849</v>
      </c>
      <c r="E108" s="23" t="s">
        <v>1852</v>
      </c>
      <c r="F108" s="23" t="s">
        <v>1853</v>
      </c>
      <c r="G108" s="23" t="s">
        <v>1844</v>
      </c>
      <c r="H108" s="23" t="s">
        <v>1841</v>
      </c>
      <c r="I108" s="23" t="s">
        <v>433</v>
      </c>
      <c r="J108" s="23" t="s">
        <v>68</v>
      </c>
      <c r="L108" s="23" t="s">
        <v>64</v>
      </c>
      <c r="M108" s="42" t="s">
        <v>64</v>
      </c>
      <c r="N108" s="23" t="s">
        <v>65</v>
      </c>
      <c r="O108" s="23">
        <v>2021</v>
      </c>
      <c r="P108" s="23" t="s">
        <v>67</v>
      </c>
      <c r="Q108" s="23" t="s">
        <v>64</v>
      </c>
      <c r="R108" s="23" t="s">
        <v>64</v>
      </c>
    </row>
    <row r="109" spans="1:18" ht="32.1">
      <c r="B109" s="23" t="s">
        <v>729</v>
      </c>
      <c r="C109" s="23" t="s">
        <v>1592</v>
      </c>
      <c r="D109" s="23" t="s">
        <v>1849</v>
      </c>
      <c r="E109" s="23" t="s">
        <v>1854</v>
      </c>
      <c r="F109" s="23" t="s">
        <v>1855</v>
      </c>
      <c r="G109" s="23" t="s">
        <v>1844</v>
      </c>
      <c r="H109" s="23" t="s">
        <v>1841</v>
      </c>
      <c r="I109" s="23" t="s">
        <v>433</v>
      </c>
      <c r="J109" s="23" t="s">
        <v>68</v>
      </c>
      <c r="L109" s="23" t="s">
        <v>64</v>
      </c>
      <c r="M109" s="42" t="s">
        <v>64</v>
      </c>
      <c r="N109" s="23" t="s">
        <v>65</v>
      </c>
      <c r="O109" s="23">
        <v>2021</v>
      </c>
      <c r="P109" s="23" t="s">
        <v>67</v>
      </c>
      <c r="Q109" s="23" t="s">
        <v>64</v>
      </c>
      <c r="R109" s="23" t="s">
        <v>64</v>
      </c>
    </row>
    <row r="110" spans="1:18" ht="32.1">
      <c r="B110" s="23" t="s">
        <v>729</v>
      </c>
      <c r="C110" s="23" t="s">
        <v>1592</v>
      </c>
      <c r="D110" s="23" t="s">
        <v>1849</v>
      </c>
      <c r="E110" s="23" t="s">
        <v>1856</v>
      </c>
      <c r="F110" s="23" t="s">
        <v>1857</v>
      </c>
      <c r="G110" s="23" t="s">
        <v>1844</v>
      </c>
      <c r="H110" s="23" t="s">
        <v>1841</v>
      </c>
      <c r="I110" s="23" t="s">
        <v>433</v>
      </c>
      <c r="J110" s="23" t="s">
        <v>68</v>
      </c>
      <c r="L110" s="23" t="s">
        <v>64</v>
      </c>
      <c r="M110" s="42" t="s">
        <v>64</v>
      </c>
      <c r="N110" s="23" t="s">
        <v>65</v>
      </c>
      <c r="O110" s="23">
        <v>2021</v>
      </c>
      <c r="P110" s="23" t="s">
        <v>67</v>
      </c>
      <c r="Q110" s="23" t="s">
        <v>64</v>
      </c>
      <c r="R110" s="23" t="s">
        <v>64</v>
      </c>
    </row>
    <row r="111" spans="1:18" ht="32.1">
      <c r="B111" s="23" t="s">
        <v>729</v>
      </c>
      <c r="C111" s="23" t="s">
        <v>1592</v>
      </c>
      <c r="D111" s="23" t="s">
        <v>1849</v>
      </c>
      <c r="E111" s="23" t="s">
        <v>1195</v>
      </c>
      <c r="F111" s="23" t="s">
        <v>1858</v>
      </c>
      <c r="G111" s="23" t="s">
        <v>1844</v>
      </c>
      <c r="H111" s="23" t="s">
        <v>1841</v>
      </c>
      <c r="I111" s="23" t="s">
        <v>433</v>
      </c>
      <c r="J111" s="23" t="s">
        <v>68</v>
      </c>
      <c r="L111" s="23" t="s">
        <v>64</v>
      </c>
      <c r="M111" s="42" t="s">
        <v>64</v>
      </c>
      <c r="N111" s="23" t="s">
        <v>65</v>
      </c>
      <c r="O111" s="23">
        <v>2021</v>
      </c>
      <c r="P111" s="23" t="s">
        <v>67</v>
      </c>
      <c r="Q111" s="23" t="s">
        <v>64</v>
      </c>
      <c r="R111" s="23" t="s">
        <v>64</v>
      </c>
    </row>
    <row r="112" spans="1:18" ht="32.1">
      <c r="B112" s="23" t="s">
        <v>729</v>
      </c>
      <c r="C112" s="23" t="s">
        <v>1592</v>
      </c>
      <c r="D112" s="23" t="s">
        <v>1849</v>
      </c>
      <c r="E112" s="23" t="s">
        <v>1859</v>
      </c>
      <c r="F112" s="23" t="s">
        <v>1860</v>
      </c>
      <c r="G112" s="23" t="s">
        <v>1844</v>
      </c>
      <c r="H112" s="23" t="s">
        <v>1841</v>
      </c>
      <c r="I112" s="23" t="s">
        <v>433</v>
      </c>
      <c r="J112" s="23" t="s">
        <v>68</v>
      </c>
      <c r="L112" s="23" t="s">
        <v>64</v>
      </c>
      <c r="M112" s="42" t="s">
        <v>64</v>
      </c>
      <c r="N112" s="23" t="s">
        <v>65</v>
      </c>
      <c r="O112" s="23">
        <v>2021</v>
      </c>
      <c r="P112" s="23" t="s">
        <v>67</v>
      </c>
      <c r="Q112" s="23" t="s">
        <v>64</v>
      </c>
      <c r="R112" s="23" t="s">
        <v>64</v>
      </c>
    </row>
    <row r="113" spans="1:19" ht="32.1">
      <c r="B113" s="23" t="s">
        <v>729</v>
      </c>
      <c r="C113" s="23" t="s">
        <v>1592</v>
      </c>
      <c r="D113" s="23" t="s">
        <v>1751</v>
      </c>
      <c r="E113" s="23" t="s">
        <v>1861</v>
      </c>
      <c r="F113" s="23" t="s">
        <v>1862</v>
      </c>
      <c r="G113" s="23" t="s">
        <v>1844</v>
      </c>
      <c r="H113" s="23" t="s">
        <v>1863</v>
      </c>
      <c r="I113" s="23" t="s">
        <v>1709</v>
      </c>
      <c r="J113" s="23" t="s">
        <v>68</v>
      </c>
      <c r="L113" s="23" t="s">
        <v>64</v>
      </c>
      <c r="M113" s="42" t="s">
        <v>64</v>
      </c>
      <c r="N113" s="23" t="s">
        <v>65</v>
      </c>
      <c r="O113" s="23">
        <v>2021</v>
      </c>
      <c r="P113" s="23" t="s">
        <v>67</v>
      </c>
      <c r="Q113" s="23" t="s">
        <v>64</v>
      </c>
      <c r="R113" s="23" t="s">
        <v>64</v>
      </c>
    </row>
    <row r="114" spans="1:19" ht="32.1">
      <c r="B114" s="23" t="s">
        <v>729</v>
      </c>
      <c r="C114" s="23" t="s">
        <v>1623</v>
      </c>
      <c r="D114" s="23" t="s">
        <v>1849</v>
      </c>
      <c r="E114" s="23" t="s">
        <v>1864</v>
      </c>
      <c r="F114" s="23" t="s">
        <v>1865</v>
      </c>
      <c r="G114" s="23" t="s">
        <v>1844</v>
      </c>
      <c r="H114" s="23" t="s">
        <v>1841</v>
      </c>
      <c r="I114" s="23" t="s">
        <v>433</v>
      </c>
      <c r="J114" s="23" t="s">
        <v>68</v>
      </c>
      <c r="L114" s="23" t="s">
        <v>64</v>
      </c>
      <c r="M114" s="42" t="s">
        <v>64</v>
      </c>
      <c r="N114" s="23" t="s">
        <v>65</v>
      </c>
      <c r="O114" s="23">
        <v>2021</v>
      </c>
      <c r="P114" s="23" t="s">
        <v>67</v>
      </c>
      <c r="Q114" s="23" t="s">
        <v>64</v>
      </c>
      <c r="R114" s="23" t="s">
        <v>64</v>
      </c>
    </row>
    <row r="115" spans="1:19" ht="48">
      <c r="B115" s="23" t="s">
        <v>729</v>
      </c>
      <c r="C115" s="23" t="s">
        <v>1623</v>
      </c>
      <c r="D115" s="23" t="s">
        <v>1849</v>
      </c>
      <c r="E115" s="23" t="s">
        <v>1197</v>
      </c>
      <c r="F115" s="23" t="s">
        <v>1866</v>
      </c>
      <c r="G115" s="23" t="s">
        <v>1844</v>
      </c>
      <c r="H115" s="23" t="s">
        <v>1841</v>
      </c>
      <c r="I115" s="23" t="s">
        <v>433</v>
      </c>
      <c r="J115" s="23" t="s">
        <v>68</v>
      </c>
      <c r="L115" s="23" t="s">
        <v>64</v>
      </c>
      <c r="M115" s="42" t="s">
        <v>64</v>
      </c>
      <c r="N115" s="23" t="s">
        <v>65</v>
      </c>
      <c r="O115" s="23">
        <v>2021</v>
      </c>
      <c r="P115" s="23" t="s">
        <v>67</v>
      </c>
      <c r="Q115" s="23" t="s">
        <v>64</v>
      </c>
      <c r="R115" s="23" t="s">
        <v>64</v>
      </c>
    </row>
    <row r="116" spans="1:19" ht="32.1">
      <c r="B116" s="23" t="s">
        <v>729</v>
      </c>
      <c r="C116" s="23" t="s">
        <v>1623</v>
      </c>
      <c r="D116" s="23" t="s">
        <v>1849</v>
      </c>
      <c r="E116" s="23" t="s">
        <v>1867</v>
      </c>
      <c r="F116" s="23" t="s">
        <v>1868</v>
      </c>
      <c r="G116" s="23" t="s">
        <v>1844</v>
      </c>
      <c r="H116" s="23" t="s">
        <v>1841</v>
      </c>
      <c r="I116" s="23" t="s">
        <v>433</v>
      </c>
      <c r="J116" s="23" t="s">
        <v>68</v>
      </c>
      <c r="L116" s="23" t="s">
        <v>64</v>
      </c>
      <c r="M116" s="42" t="s">
        <v>64</v>
      </c>
      <c r="N116" s="23" t="s">
        <v>65</v>
      </c>
      <c r="O116" s="23">
        <v>2021</v>
      </c>
      <c r="P116" s="23" t="s">
        <v>67</v>
      </c>
      <c r="Q116" s="23" t="s">
        <v>64</v>
      </c>
      <c r="R116" s="23" t="s">
        <v>64</v>
      </c>
    </row>
    <row r="117" spans="1:19" ht="32.1">
      <c r="B117" s="23" t="s">
        <v>729</v>
      </c>
      <c r="C117" s="23" t="s">
        <v>1623</v>
      </c>
      <c r="D117" s="23" t="s">
        <v>1849</v>
      </c>
      <c r="E117" s="23" t="s">
        <v>1869</v>
      </c>
      <c r="F117" s="23" t="s">
        <v>1870</v>
      </c>
      <c r="G117" s="23" t="s">
        <v>1844</v>
      </c>
      <c r="H117" s="23" t="s">
        <v>1841</v>
      </c>
      <c r="I117" s="23" t="s">
        <v>433</v>
      </c>
      <c r="J117" s="23" t="s">
        <v>68</v>
      </c>
      <c r="L117" s="23" t="s">
        <v>64</v>
      </c>
      <c r="M117" s="42" t="s">
        <v>64</v>
      </c>
      <c r="N117" s="23" t="s">
        <v>65</v>
      </c>
      <c r="O117" s="23">
        <v>2021</v>
      </c>
      <c r="P117" s="23" t="s">
        <v>67</v>
      </c>
      <c r="Q117" s="23" t="s">
        <v>64</v>
      </c>
      <c r="R117" s="23" t="s">
        <v>64</v>
      </c>
    </row>
    <row r="118" spans="1:19" ht="32.1">
      <c r="B118" s="23" t="s">
        <v>729</v>
      </c>
      <c r="C118" s="23" t="s">
        <v>1623</v>
      </c>
      <c r="D118" s="23" t="s">
        <v>1849</v>
      </c>
      <c r="E118" s="23" t="s">
        <v>1871</v>
      </c>
      <c r="F118" s="23" t="s">
        <v>1870</v>
      </c>
      <c r="G118" s="23" t="s">
        <v>1844</v>
      </c>
      <c r="H118" s="23" t="s">
        <v>1841</v>
      </c>
      <c r="I118" s="23" t="s">
        <v>433</v>
      </c>
      <c r="J118" s="23" t="s">
        <v>68</v>
      </c>
      <c r="L118" s="23" t="s">
        <v>64</v>
      </c>
      <c r="M118" s="42" t="s">
        <v>64</v>
      </c>
      <c r="N118" s="23" t="s">
        <v>65</v>
      </c>
      <c r="O118" s="23">
        <v>2021</v>
      </c>
      <c r="P118" s="23" t="s">
        <v>67</v>
      </c>
      <c r="Q118" s="23" t="s">
        <v>64</v>
      </c>
      <c r="R118" s="23" t="s">
        <v>64</v>
      </c>
    </row>
    <row r="119" spans="1:19" s="26" customFormat="1" ht="32.1">
      <c r="B119" s="26" t="s">
        <v>729</v>
      </c>
      <c r="C119" s="26" t="s">
        <v>1630</v>
      </c>
      <c r="D119" s="26" t="s">
        <v>1849</v>
      </c>
      <c r="E119" s="26" t="s">
        <v>1872</v>
      </c>
      <c r="F119" s="26" t="s">
        <v>1873</v>
      </c>
      <c r="G119" s="26" t="s">
        <v>163</v>
      </c>
      <c r="J119" s="26" t="s">
        <v>1874</v>
      </c>
      <c r="K119" s="26" t="s">
        <v>1875</v>
      </c>
      <c r="L119" s="26" t="s">
        <v>64</v>
      </c>
      <c r="M119" s="44" t="s">
        <v>64</v>
      </c>
      <c r="N119" s="26" t="s">
        <v>65</v>
      </c>
      <c r="O119" s="26">
        <v>2021</v>
      </c>
      <c r="P119" s="26" t="s">
        <v>67</v>
      </c>
      <c r="Q119" s="26" t="s">
        <v>64</v>
      </c>
      <c r="R119" s="26" t="s">
        <v>64</v>
      </c>
    </row>
    <row r="120" spans="1:19" ht="48">
      <c r="A120" s="23">
        <v>4</v>
      </c>
      <c r="B120" s="23" t="s">
        <v>756</v>
      </c>
      <c r="C120" s="23" t="s">
        <v>1592</v>
      </c>
      <c r="D120" s="23" t="s">
        <v>1795</v>
      </c>
      <c r="E120" s="23" t="s">
        <v>1876</v>
      </c>
      <c r="F120" s="23" t="s">
        <v>1877</v>
      </c>
      <c r="G120" s="23" t="s">
        <v>163</v>
      </c>
      <c r="J120" s="23" t="s">
        <v>1878</v>
      </c>
      <c r="K120" s="23" t="s">
        <v>1879</v>
      </c>
      <c r="L120" s="23" t="s">
        <v>64</v>
      </c>
      <c r="M120" s="42" t="s">
        <v>64</v>
      </c>
      <c r="N120" s="23" t="s">
        <v>65</v>
      </c>
      <c r="O120" s="23">
        <v>2021</v>
      </c>
      <c r="P120" s="23" t="s">
        <v>67</v>
      </c>
      <c r="Q120" s="23" t="s">
        <v>64</v>
      </c>
      <c r="R120" s="23" t="s">
        <v>64</v>
      </c>
    </row>
    <row r="121" spans="1:19" ht="32.1">
      <c r="B121" s="23" t="s">
        <v>756</v>
      </c>
      <c r="C121" s="23" t="s">
        <v>1880</v>
      </c>
      <c r="D121" s="23" t="s">
        <v>1795</v>
      </c>
      <c r="E121" s="23" t="s">
        <v>1881</v>
      </c>
      <c r="F121" s="23" t="s">
        <v>1877</v>
      </c>
      <c r="G121" s="23" t="s">
        <v>163</v>
      </c>
      <c r="J121" s="23" t="s">
        <v>1749</v>
      </c>
      <c r="K121" s="23" t="s">
        <v>1651</v>
      </c>
      <c r="L121" s="23" t="s">
        <v>64</v>
      </c>
      <c r="M121" s="42" t="s">
        <v>64</v>
      </c>
      <c r="N121" s="23" t="s">
        <v>65</v>
      </c>
      <c r="O121" s="23">
        <v>2021</v>
      </c>
      <c r="P121" s="23" t="s">
        <v>67</v>
      </c>
      <c r="Q121" s="23" t="s">
        <v>64</v>
      </c>
      <c r="R121" s="23" t="s">
        <v>64</v>
      </c>
    </row>
    <row r="122" spans="1:19" ht="48">
      <c r="B122" s="23" t="s">
        <v>756</v>
      </c>
      <c r="C122" s="23" t="s">
        <v>1623</v>
      </c>
      <c r="D122" s="23" t="s">
        <v>1795</v>
      </c>
      <c r="E122" s="23" t="s">
        <v>1882</v>
      </c>
      <c r="F122" s="23" t="s">
        <v>1877</v>
      </c>
      <c r="G122" s="23" t="s">
        <v>163</v>
      </c>
      <c r="J122" s="23" t="s">
        <v>1878</v>
      </c>
      <c r="K122" s="23" t="s">
        <v>1879</v>
      </c>
      <c r="L122" s="23" t="s">
        <v>64</v>
      </c>
      <c r="M122" s="42" t="s">
        <v>64</v>
      </c>
      <c r="N122" s="23" t="s">
        <v>65</v>
      </c>
      <c r="O122" s="23">
        <v>2020</v>
      </c>
      <c r="P122" s="23" t="s">
        <v>67</v>
      </c>
      <c r="Q122" s="23" t="s">
        <v>64</v>
      </c>
      <c r="R122" s="23" t="s">
        <v>64</v>
      </c>
    </row>
    <row r="123" spans="1:19" s="26" customFormat="1" ht="48">
      <c r="B123" s="26" t="s">
        <v>756</v>
      </c>
      <c r="C123" s="26" t="s">
        <v>1623</v>
      </c>
      <c r="D123" s="26" t="s">
        <v>1795</v>
      </c>
      <c r="E123" s="26" t="s">
        <v>1883</v>
      </c>
      <c r="F123" s="26" t="s">
        <v>1884</v>
      </c>
      <c r="G123" s="26" t="s">
        <v>163</v>
      </c>
      <c r="J123" s="26" t="s">
        <v>1885</v>
      </c>
      <c r="K123" s="26" t="s">
        <v>1879</v>
      </c>
      <c r="L123" s="26" t="s">
        <v>64</v>
      </c>
      <c r="M123" s="44" t="s">
        <v>64</v>
      </c>
      <c r="N123" s="26" t="s">
        <v>65</v>
      </c>
      <c r="O123" s="26">
        <v>2020</v>
      </c>
      <c r="P123" s="26" t="s">
        <v>67</v>
      </c>
      <c r="Q123" s="26" t="s">
        <v>64</v>
      </c>
      <c r="R123" s="26" t="s">
        <v>64</v>
      </c>
    </row>
    <row r="124" spans="1:19" ht="32.1">
      <c r="A124" s="23">
        <v>12</v>
      </c>
      <c r="B124" s="23" t="s">
        <v>780</v>
      </c>
      <c r="C124" s="23" t="s">
        <v>1630</v>
      </c>
      <c r="D124" s="23" t="s">
        <v>1751</v>
      </c>
      <c r="E124" s="23" t="s">
        <v>1886</v>
      </c>
      <c r="F124" s="23" t="s">
        <v>1877</v>
      </c>
      <c r="G124" s="23" t="s">
        <v>297</v>
      </c>
      <c r="H124" s="23" t="s">
        <v>1886</v>
      </c>
      <c r="I124" s="23" t="s">
        <v>1709</v>
      </c>
      <c r="J124" s="23" t="s">
        <v>68</v>
      </c>
      <c r="L124" s="23" t="s">
        <v>67</v>
      </c>
      <c r="M124" s="46" t="s">
        <v>1740</v>
      </c>
      <c r="Q124" s="23" t="s">
        <v>64</v>
      </c>
      <c r="R124" s="23" t="s">
        <v>64</v>
      </c>
    </row>
    <row r="125" spans="1:19" ht="32.1" customHeight="1">
      <c r="B125" s="23" t="s">
        <v>780</v>
      </c>
      <c r="C125" s="23" t="s">
        <v>1592</v>
      </c>
      <c r="D125" s="23" t="s">
        <v>1768</v>
      </c>
      <c r="E125" s="23" t="s">
        <v>1447</v>
      </c>
      <c r="H125" s="23" t="s">
        <v>1841</v>
      </c>
      <c r="I125" s="23" t="s">
        <v>433</v>
      </c>
      <c r="J125" s="23" t="s">
        <v>68</v>
      </c>
      <c r="L125" s="23" t="s">
        <v>67</v>
      </c>
      <c r="M125" s="46" t="s">
        <v>1887</v>
      </c>
      <c r="Q125" s="23" t="s">
        <v>64</v>
      </c>
      <c r="R125" s="23" t="s">
        <v>64</v>
      </c>
      <c r="S125" s="99" t="s">
        <v>1888</v>
      </c>
    </row>
    <row r="126" spans="1:19" ht="15.95">
      <c r="B126" s="23" t="s">
        <v>780</v>
      </c>
      <c r="C126" s="23" t="s">
        <v>1592</v>
      </c>
      <c r="D126" s="23" t="s">
        <v>1768</v>
      </c>
      <c r="E126" s="23" t="s">
        <v>1889</v>
      </c>
      <c r="H126" s="23" t="s">
        <v>1841</v>
      </c>
      <c r="I126" s="23" t="s">
        <v>433</v>
      </c>
      <c r="J126" s="23" t="s">
        <v>68</v>
      </c>
      <c r="L126" s="23" t="s">
        <v>67</v>
      </c>
      <c r="M126" s="46" t="s">
        <v>1890</v>
      </c>
      <c r="Q126" s="23" t="s">
        <v>64</v>
      </c>
      <c r="R126" s="23" t="s">
        <v>64</v>
      </c>
      <c r="S126" s="99"/>
    </row>
    <row r="127" spans="1:19" ht="48">
      <c r="B127" s="23" t="s">
        <v>780</v>
      </c>
      <c r="C127" s="23" t="s">
        <v>1592</v>
      </c>
      <c r="D127" s="23" t="s">
        <v>1768</v>
      </c>
      <c r="E127" s="23" t="s">
        <v>1150</v>
      </c>
      <c r="H127" s="23" t="s">
        <v>1891</v>
      </c>
      <c r="I127" s="23" t="s">
        <v>433</v>
      </c>
      <c r="J127" s="23" t="s">
        <v>68</v>
      </c>
      <c r="L127" s="23" t="s">
        <v>67</v>
      </c>
      <c r="M127" s="46" t="s">
        <v>1892</v>
      </c>
      <c r="Q127" s="23" t="s">
        <v>64</v>
      </c>
      <c r="R127" s="23" t="s">
        <v>64</v>
      </c>
      <c r="S127" s="99"/>
    </row>
    <row r="128" spans="1:19" ht="48">
      <c r="B128" s="23" t="s">
        <v>780</v>
      </c>
      <c r="C128" s="23" t="s">
        <v>1592</v>
      </c>
      <c r="D128" s="23" t="s">
        <v>1593</v>
      </c>
      <c r="E128" s="23" t="s">
        <v>1893</v>
      </c>
      <c r="F128" s="23" t="s">
        <v>1784</v>
      </c>
      <c r="G128" s="23" t="s">
        <v>62</v>
      </c>
      <c r="H128" s="23" t="s">
        <v>1894</v>
      </c>
      <c r="I128" s="23" t="s">
        <v>433</v>
      </c>
      <c r="J128" s="23" t="s">
        <v>68</v>
      </c>
      <c r="L128" s="23" t="s">
        <v>67</v>
      </c>
      <c r="M128" s="46" t="s">
        <v>1895</v>
      </c>
      <c r="N128" s="23" t="s">
        <v>1642</v>
      </c>
      <c r="O128" s="23">
        <v>2022</v>
      </c>
      <c r="P128" s="23" t="s">
        <v>67</v>
      </c>
      <c r="Q128" s="23" t="s">
        <v>64</v>
      </c>
      <c r="R128" s="23" t="s">
        <v>64</v>
      </c>
    </row>
    <row r="129" spans="1:19" ht="15.95">
      <c r="B129" s="23" t="s">
        <v>780</v>
      </c>
      <c r="C129" s="23" t="s">
        <v>1592</v>
      </c>
      <c r="D129" s="23" t="s">
        <v>1593</v>
      </c>
      <c r="E129" s="23" t="s">
        <v>1896</v>
      </c>
      <c r="H129" s="23" t="s">
        <v>1841</v>
      </c>
      <c r="I129" s="23" t="s">
        <v>433</v>
      </c>
      <c r="J129" s="23" t="s">
        <v>68</v>
      </c>
      <c r="L129" s="23" t="s">
        <v>67</v>
      </c>
      <c r="M129" s="46" t="s">
        <v>1890</v>
      </c>
      <c r="Q129" s="23" t="s">
        <v>64</v>
      </c>
      <c r="R129" s="23" t="s">
        <v>64</v>
      </c>
      <c r="S129" s="99" t="s">
        <v>1888</v>
      </c>
    </row>
    <row r="130" spans="1:19" ht="32.1">
      <c r="B130" s="23" t="s">
        <v>780</v>
      </c>
      <c r="C130" s="23" t="s">
        <v>1897</v>
      </c>
      <c r="D130" s="23" t="s">
        <v>1593</v>
      </c>
      <c r="E130" s="23" t="s">
        <v>1898</v>
      </c>
      <c r="H130" s="23" t="s">
        <v>1841</v>
      </c>
      <c r="I130" s="23" t="s">
        <v>433</v>
      </c>
      <c r="J130" s="23" t="s">
        <v>68</v>
      </c>
      <c r="L130" s="23" t="s">
        <v>67</v>
      </c>
      <c r="M130" s="46" t="s">
        <v>1899</v>
      </c>
      <c r="Q130" s="23" t="s">
        <v>64</v>
      </c>
      <c r="R130" s="23" t="s">
        <v>64</v>
      </c>
      <c r="S130" s="99"/>
    </row>
    <row r="131" spans="1:19" ht="32.1">
      <c r="B131" s="23" t="s">
        <v>780</v>
      </c>
      <c r="C131" s="23" t="s">
        <v>1897</v>
      </c>
      <c r="D131" s="23" t="s">
        <v>1593</v>
      </c>
      <c r="E131" s="23" t="s">
        <v>1900</v>
      </c>
      <c r="H131" s="23" t="s">
        <v>1841</v>
      </c>
      <c r="I131" s="23" t="s">
        <v>433</v>
      </c>
      <c r="J131" s="23" t="s">
        <v>68</v>
      </c>
      <c r="L131" s="23" t="s">
        <v>67</v>
      </c>
      <c r="M131" s="46" t="s">
        <v>1901</v>
      </c>
      <c r="Q131" s="23" t="s">
        <v>64</v>
      </c>
      <c r="R131" s="23" t="s">
        <v>64</v>
      </c>
      <c r="S131" s="99"/>
    </row>
    <row r="132" spans="1:19" ht="15.95">
      <c r="B132" s="23" t="s">
        <v>780</v>
      </c>
      <c r="C132" s="23" t="s">
        <v>1623</v>
      </c>
      <c r="D132" s="23" t="s">
        <v>1593</v>
      </c>
      <c r="E132" s="23" t="s">
        <v>1657</v>
      </c>
      <c r="H132" s="23" t="s">
        <v>1841</v>
      </c>
      <c r="I132" s="23" t="s">
        <v>433</v>
      </c>
      <c r="J132" s="23" t="s">
        <v>68</v>
      </c>
      <c r="L132" s="23" t="s">
        <v>67</v>
      </c>
      <c r="M132" s="46" t="s">
        <v>1902</v>
      </c>
      <c r="Q132" s="23" t="s">
        <v>64</v>
      </c>
      <c r="R132" s="23" t="s">
        <v>64</v>
      </c>
    </row>
    <row r="133" spans="1:19" ht="32.1">
      <c r="B133" s="23" t="s">
        <v>780</v>
      </c>
      <c r="C133" s="23" t="s">
        <v>1819</v>
      </c>
      <c r="D133" s="23" t="s">
        <v>1593</v>
      </c>
      <c r="E133" s="23" t="s">
        <v>1903</v>
      </c>
      <c r="F133" s="23" t="s">
        <v>1904</v>
      </c>
      <c r="G133" s="23" t="s">
        <v>325</v>
      </c>
      <c r="J133" s="23" t="s">
        <v>1905</v>
      </c>
      <c r="K133" s="23" t="s">
        <v>1627</v>
      </c>
      <c r="L133" s="23" t="s">
        <v>64</v>
      </c>
      <c r="M133" s="42" t="s">
        <v>64</v>
      </c>
      <c r="N133" s="23" t="s">
        <v>1906</v>
      </c>
      <c r="O133" s="23">
        <v>2023</v>
      </c>
      <c r="P133" s="23" t="s">
        <v>67</v>
      </c>
      <c r="Q133" s="23" t="s">
        <v>64</v>
      </c>
      <c r="R133" s="23" t="s">
        <v>64</v>
      </c>
    </row>
    <row r="134" spans="1:19" ht="32.1">
      <c r="B134" s="23" t="s">
        <v>780</v>
      </c>
      <c r="C134" s="23" t="s">
        <v>1907</v>
      </c>
      <c r="D134" s="23" t="s">
        <v>1593</v>
      </c>
      <c r="E134" s="23" t="s">
        <v>1908</v>
      </c>
      <c r="G134" s="23" t="s">
        <v>62</v>
      </c>
      <c r="J134" s="23" t="s">
        <v>1909</v>
      </c>
      <c r="K134" s="23" t="s">
        <v>1651</v>
      </c>
      <c r="L134" s="23" t="s">
        <v>64</v>
      </c>
      <c r="M134" s="42" t="s">
        <v>64</v>
      </c>
      <c r="N134" s="23" t="s">
        <v>1682</v>
      </c>
      <c r="O134" s="23">
        <v>2023</v>
      </c>
      <c r="P134" s="23" t="s">
        <v>67</v>
      </c>
      <c r="Q134" s="23" t="s">
        <v>64</v>
      </c>
      <c r="R134" s="23" t="s">
        <v>64</v>
      </c>
    </row>
    <row r="135" spans="1:19" s="26" customFormat="1" ht="48">
      <c r="B135" s="26" t="s">
        <v>780</v>
      </c>
      <c r="C135" s="26" t="s">
        <v>1630</v>
      </c>
      <c r="D135" s="26" t="s">
        <v>1593</v>
      </c>
      <c r="E135" s="26" t="s">
        <v>1910</v>
      </c>
      <c r="G135" s="26" t="s">
        <v>1911</v>
      </c>
      <c r="J135" s="26" t="s">
        <v>1912</v>
      </c>
      <c r="K135" s="26" t="s">
        <v>1601</v>
      </c>
      <c r="L135" s="26" t="s">
        <v>64</v>
      </c>
      <c r="M135" s="44" t="s">
        <v>64</v>
      </c>
      <c r="N135" s="26" t="s">
        <v>1661</v>
      </c>
      <c r="O135" s="26">
        <v>2023</v>
      </c>
      <c r="P135" s="26" t="s">
        <v>67</v>
      </c>
      <c r="Q135" s="26" t="s">
        <v>64</v>
      </c>
      <c r="R135" s="26" t="s">
        <v>64</v>
      </c>
    </row>
    <row r="136" spans="1:19" s="26" customFormat="1" ht="32.1">
      <c r="A136" s="26">
        <v>0</v>
      </c>
      <c r="B136" s="26" t="s">
        <v>800</v>
      </c>
      <c r="M136" s="44"/>
      <c r="S136" s="26" t="s">
        <v>1913</v>
      </c>
    </row>
    <row r="137" spans="1:19" ht="32.1">
      <c r="A137" s="23">
        <v>2</v>
      </c>
      <c r="B137" s="23" t="s">
        <v>809</v>
      </c>
      <c r="C137" s="23" t="s">
        <v>1630</v>
      </c>
      <c r="D137" s="23" t="s">
        <v>1914</v>
      </c>
      <c r="E137" s="23" t="s">
        <v>1915</v>
      </c>
      <c r="F137" s="23" t="s">
        <v>1916</v>
      </c>
      <c r="G137" s="23" t="s">
        <v>62</v>
      </c>
      <c r="J137" s="23" t="s">
        <v>1917</v>
      </c>
      <c r="K137" s="23" t="s">
        <v>1627</v>
      </c>
      <c r="L137" s="23" t="s">
        <v>64</v>
      </c>
      <c r="M137" s="42" t="s">
        <v>64</v>
      </c>
      <c r="N137" s="23" t="s">
        <v>1272</v>
      </c>
      <c r="O137" s="23">
        <v>2023</v>
      </c>
      <c r="P137" s="23" t="s">
        <v>67</v>
      </c>
      <c r="Q137" s="23" t="s">
        <v>64</v>
      </c>
      <c r="R137" s="23" t="s">
        <v>64</v>
      </c>
    </row>
    <row r="138" spans="1:19" s="26" customFormat="1" ht="48">
      <c r="B138" s="26" t="s">
        <v>809</v>
      </c>
      <c r="C138" s="26" t="s">
        <v>1592</v>
      </c>
      <c r="D138" s="26" t="s">
        <v>1810</v>
      </c>
      <c r="E138" s="26" t="s">
        <v>1918</v>
      </c>
      <c r="F138" s="26" t="s">
        <v>1919</v>
      </c>
      <c r="G138" s="26" t="s">
        <v>62</v>
      </c>
      <c r="J138" s="26" t="s">
        <v>1920</v>
      </c>
      <c r="K138" s="26" t="s">
        <v>1601</v>
      </c>
      <c r="L138" s="26" t="s">
        <v>64</v>
      </c>
      <c r="M138" s="44" t="s">
        <v>64</v>
      </c>
      <c r="N138" s="26" t="s">
        <v>1272</v>
      </c>
      <c r="O138" s="26">
        <v>2023</v>
      </c>
      <c r="P138" s="26" t="s">
        <v>67</v>
      </c>
      <c r="Q138" s="26" t="s">
        <v>64</v>
      </c>
      <c r="R138" s="26" t="s">
        <v>64</v>
      </c>
    </row>
    <row r="139" spans="1:19" ht="32.1">
      <c r="A139" s="23">
        <v>6</v>
      </c>
      <c r="B139" s="23" t="s">
        <v>830</v>
      </c>
      <c r="C139" s="23" t="s">
        <v>1921</v>
      </c>
      <c r="D139" s="23" t="s">
        <v>1593</v>
      </c>
      <c r="E139" s="23" t="s">
        <v>1922</v>
      </c>
      <c r="F139" s="23" t="s">
        <v>1923</v>
      </c>
      <c r="G139" s="23" t="s">
        <v>163</v>
      </c>
      <c r="J139" s="23" t="s">
        <v>1924</v>
      </c>
      <c r="K139" s="23" t="s">
        <v>1601</v>
      </c>
      <c r="L139" s="23" t="s">
        <v>64</v>
      </c>
      <c r="M139" s="42" t="s">
        <v>64</v>
      </c>
      <c r="N139" s="23" t="s">
        <v>65</v>
      </c>
      <c r="O139" s="23">
        <v>2021</v>
      </c>
      <c r="P139" s="23" t="s">
        <v>67</v>
      </c>
      <c r="Q139" s="23" t="s">
        <v>64</v>
      </c>
      <c r="R139" s="23" t="s">
        <v>64</v>
      </c>
    </row>
    <row r="140" spans="1:19" ht="48">
      <c r="B140" s="23" t="s">
        <v>830</v>
      </c>
      <c r="C140" s="23" t="s">
        <v>1592</v>
      </c>
      <c r="D140" s="23" t="s">
        <v>1593</v>
      </c>
      <c r="E140" s="23" t="s">
        <v>1925</v>
      </c>
      <c r="F140" s="23" t="s">
        <v>1926</v>
      </c>
      <c r="G140" s="23" t="s">
        <v>1702</v>
      </c>
      <c r="J140" s="23" t="s">
        <v>1927</v>
      </c>
      <c r="K140" s="23" t="s">
        <v>1601</v>
      </c>
      <c r="L140" s="23" t="s">
        <v>64</v>
      </c>
      <c r="M140" s="42" t="s">
        <v>64</v>
      </c>
      <c r="N140" s="23" t="s">
        <v>65</v>
      </c>
      <c r="O140" s="23">
        <v>2021</v>
      </c>
      <c r="P140" s="23" t="s">
        <v>67</v>
      </c>
      <c r="Q140" s="23" t="s">
        <v>64</v>
      </c>
      <c r="R140" s="23" t="s">
        <v>64</v>
      </c>
    </row>
    <row r="141" spans="1:19" ht="32.1">
      <c r="B141" s="23" t="s">
        <v>830</v>
      </c>
      <c r="C141" s="23" t="s">
        <v>1623</v>
      </c>
      <c r="D141" s="23" t="s">
        <v>1593</v>
      </c>
      <c r="E141" s="23" t="s">
        <v>1928</v>
      </c>
      <c r="J141" s="23" t="s">
        <v>1929</v>
      </c>
      <c r="K141" s="23" t="s">
        <v>1929</v>
      </c>
      <c r="L141" s="23" t="s">
        <v>64</v>
      </c>
      <c r="M141" s="42" t="s">
        <v>64</v>
      </c>
      <c r="N141" s="23" t="s">
        <v>65</v>
      </c>
      <c r="O141" s="23">
        <v>2021</v>
      </c>
      <c r="P141" s="23" t="s">
        <v>67</v>
      </c>
      <c r="Q141" s="23" t="s">
        <v>64</v>
      </c>
      <c r="R141" s="23" t="s">
        <v>64</v>
      </c>
    </row>
    <row r="142" spans="1:19" ht="32.1">
      <c r="B142" s="23" t="s">
        <v>830</v>
      </c>
      <c r="C142" s="23" t="s">
        <v>1606</v>
      </c>
      <c r="D142" s="23" t="s">
        <v>1593</v>
      </c>
      <c r="E142" s="23" t="s">
        <v>1930</v>
      </c>
      <c r="F142" s="23" t="s">
        <v>1931</v>
      </c>
      <c r="G142" s="23" t="s">
        <v>1702</v>
      </c>
      <c r="J142" s="23" t="s">
        <v>1929</v>
      </c>
      <c r="K142" s="23" t="s">
        <v>1929</v>
      </c>
      <c r="L142" s="23" t="s">
        <v>64</v>
      </c>
      <c r="M142" s="42" t="s">
        <v>64</v>
      </c>
      <c r="N142" s="23" t="s">
        <v>65</v>
      </c>
      <c r="O142" s="23">
        <v>2021</v>
      </c>
      <c r="P142" s="23" t="s">
        <v>67</v>
      </c>
      <c r="Q142" s="23" t="s">
        <v>64</v>
      </c>
      <c r="R142" s="23" t="s">
        <v>64</v>
      </c>
    </row>
    <row r="143" spans="1:19" ht="32.1">
      <c r="B143" s="23" t="s">
        <v>830</v>
      </c>
      <c r="C143" s="23" t="s">
        <v>1753</v>
      </c>
      <c r="D143" s="23" t="s">
        <v>1593</v>
      </c>
      <c r="E143" s="23" t="s">
        <v>1932</v>
      </c>
      <c r="F143" s="23" t="s">
        <v>1933</v>
      </c>
      <c r="G143" s="23" t="s">
        <v>1934</v>
      </c>
      <c r="J143" s="23" t="s">
        <v>1935</v>
      </c>
      <c r="K143" s="23" t="s">
        <v>1832</v>
      </c>
      <c r="L143" s="23" t="s">
        <v>64</v>
      </c>
      <c r="M143" s="42" t="s">
        <v>64</v>
      </c>
      <c r="N143" s="23" t="s">
        <v>65</v>
      </c>
      <c r="O143" s="23">
        <v>2019</v>
      </c>
      <c r="P143" s="23" t="s">
        <v>67</v>
      </c>
      <c r="Q143" s="23" t="s">
        <v>64</v>
      </c>
      <c r="R143" s="23" t="s">
        <v>64</v>
      </c>
    </row>
    <row r="144" spans="1:19" s="26" customFormat="1" ht="48">
      <c r="B144" s="26" t="s">
        <v>830</v>
      </c>
      <c r="C144" s="26" t="s">
        <v>1592</v>
      </c>
      <c r="D144" s="26" t="s">
        <v>1593</v>
      </c>
      <c r="E144" s="26" t="s">
        <v>1936</v>
      </c>
      <c r="F144" s="26" t="s">
        <v>1937</v>
      </c>
      <c r="G144" s="26" t="s">
        <v>1934</v>
      </c>
      <c r="J144" s="26" t="s">
        <v>1938</v>
      </c>
      <c r="K144" s="26" t="s">
        <v>1832</v>
      </c>
      <c r="L144" s="26" t="s">
        <v>64</v>
      </c>
      <c r="M144" s="44" t="s">
        <v>64</v>
      </c>
      <c r="N144" s="26" t="s">
        <v>65</v>
      </c>
      <c r="O144" s="26">
        <v>2019</v>
      </c>
      <c r="P144" s="26" t="s">
        <v>64</v>
      </c>
      <c r="Q144" s="26" t="s">
        <v>64</v>
      </c>
      <c r="R144" s="26" t="s">
        <v>64</v>
      </c>
    </row>
    <row r="145" spans="1:19" ht="32.1">
      <c r="A145" s="23">
        <v>3</v>
      </c>
      <c r="B145" s="23" t="s">
        <v>843</v>
      </c>
      <c r="C145" s="23" t="s">
        <v>1592</v>
      </c>
      <c r="D145" s="23" t="s">
        <v>1849</v>
      </c>
      <c r="E145" s="23" t="s">
        <v>1939</v>
      </c>
      <c r="F145" s="23" t="s">
        <v>1940</v>
      </c>
      <c r="G145" s="23" t="s">
        <v>325</v>
      </c>
      <c r="H145" s="23" t="s">
        <v>1841</v>
      </c>
      <c r="I145" s="23" t="s">
        <v>433</v>
      </c>
      <c r="J145" s="23" t="s">
        <v>68</v>
      </c>
      <c r="L145" s="23" t="s">
        <v>67</v>
      </c>
      <c r="M145" s="46" t="s">
        <v>1941</v>
      </c>
      <c r="N145" s="23" t="s">
        <v>65</v>
      </c>
      <c r="O145" s="23">
        <v>2021</v>
      </c>
      <c r="P145" s="23" t="s">
        <v>64</v>
      </c>
      <c r="Q145" s="23" t="s">
        <v>64</v>
      </c>
      <c r="R145" s="23" t="s">
        <v>64</v>
      </c>
    </row>
    <row r="146" spans="1:19" ht="32.1">
      <c r="B146" s="23" t="s">
        <v>843</v>
      </c>
      <c r="C146" s="23" t="s">
        <v>1819</v>
      </c>
      <c r="D146" s="23" t="s">
        <v>1849</v>
      </c>
      <c r="E146" s="23" t="s">
        <v>1942</v>
      </c>
      <c r="F146" s="23" t="s">
        <v>1940</v>
      </c>
      <c r="G146" s="23" t="s">
        <v>297</v>
      </c>
      <c r="H146" s="23" t="s">
        <v>1841</v>
      </c>
      <c r="I146" s="23" t="s">
        <v>433</v>
      </c>
      <c r="J146" s="23" t="s">
        <v>68</v>
      </c>
      <c r="L146" s="23" t="s">
        <v>67</v>
      </c>
      <c r="M146" s="46" t="s">
        <v>1943</v>
      </c>
      <c r="N146" s="23" t="s">
        <v>65</v>
      </c>
      <c r="O146" s="23">
        <v>2021</v>
      </c>
      <c r="P146" s="23" t="s">
        <v>64</v>
      </c>
      <c r="Q146" s="23" t="s">
        <v>64</v>
      </c>
      <c r="R146" s="23" t="s">
        <v>64</v>
      </c>
    </row>
    <row r="147" spans="1:19" s="26" customFormat="1" ht="32.1">
      <c r="B147" s="26" t="s">
        <v>843</v>
      </c>
      <c r="C147" s="26" t="s">
        <v>1592</v>
      </c>
      <c r="D147" s="26" t="s">
        <v>1849</v>
      </c>
      <c r="E147" s="26" t="s">
        <v>1944</v>
      </c>
      <c r="F147" s="26" t="s">
        <v>1940</v>
      </c>
      <c r="G147" s="26" t="s">
        <v>297</v>
      </c>
      <c r="H147" s="26" t="s">
        <v>1841</v>
      </c>
      <c r="I147" s="26" t="s">
        <v>433</v>
      </c>
      <c r="J147" s="26" t="s">
        <v>68</v>
      </c>
      <c r="L147" s="26" t="s">
        <v>67</v>
      </c>
      <c r="M147" s="45" t="s">
        <v>1945</v>
      </c>
      <c r="N147" s="26" t="s">
        <v>65</v>
      </c>
      <c r="O147" s="26">
        <v>2021</v>
      </c>
      <c r="P147" s="26" t="s">
        <v>64</v>
      </c>
      <c r="Q147" s="26" t="s">
        <v>64</v>
      </c>
      <c r="R147" s="26" t="s">
        <v>64</v>
      </c>
    </row>
    <row r="148" spans="1:19" ht="32.1">
      <c r="A148" s="23">
        <v>13</v>
      </c>
      <c r="B148" s="23" t="s">
        <v>1238</v>
      </c>
      <c r="C148" s="23" t="s">
        <v>1643</v>
      </c>
      <c r="D148" s="23" t="s">
        <v>1810</v>
      </c>
      <c r="E148" s="23" t="s">
        <v>1946</v>
      </c>
      <c r="F148" s="23" t="s">
        <v>1947</v>
      </c>
      <c r="G148" s="23" t="s">
        <v>62</v>
      </c>
      <c r="J148" s="23" t="s">
        <v>1948</v>
      </c>
      <c r="K148" s="23" t="s">
        <v>1929</v>
      </c>
      <c r="L148" s="23" t="s">
        <v>64</v>
      </c>
      <c r="M148" s="42" t="s">
        <v>64</v>
      </c>
      <c r="N148" s="23" t="s">
        <v>65</v>
      </c>
      <c r="O148" s="23">
        <v>2021</v>
      </c>
      <c r="P148" s="23" t="s">
        <v>64</v>
      </c>
      <c r="Q148" s="23" t="s">
        <v>64</v>
      </c>
      <c r="R148" s="23" t="s">
        <v>64</v>
      </c>
    </row>
    <row r="149" spans="1:19" ht="48">
      <c r="B149" s="23" t="s">
        <v>1238</v>
      </c>
      <c r="C149" s="23" t="s">
        <v>1606</v>
      </c>
      <c r="D149" s="23" t="s">
        <v>1810</v>
      </c>
      <c r="E149" s="23" t="s">
        <v>1949</v>
      </c>
      <c r="F149" s="23" t="s">
        <v>1950</v>
      </c>
      <c r="G149" s="23" t="s">
        <v>1950</v>
      </c>
      <c r="J149" s="23" t="s">
        <v>1951</v>
      </c>
      <c r="K149" s="23" t="s">
        <v>1627</v>
      </c>
      <c r="L149" s="23" t="s">
        <v>64</v>
      </c>
      <c r="M149" s="42" t="s">
        <v>64</v>
      </c>
      <c r="N149" s="23" t="s">
        <v>65</v>
      </c>
      <c r="O149" s="23">
        <v>2022</v>
      </c>
      <c r="P149" s="23" t="s">
        <v>64</v>
      </c>
      <c r="Q149" s="23" t="s">
        <v>64</v>
      </c>
      <c r="R149" s="23" t="s">
        <v>64</v>
      </c>
    </row>
    <row r="150" spans="1:19" ht="48">
      <c r="B150" s="23" t="s">
        <v>1238</v>
      </c>
      <c r="C150" s="23" t="s">
        <v>1643</v>
      </c>
      <c r="D150" s="23" t="s">
        <v>1593</v>
      </c>
      <c r="E150" s="23" t="s">
        <v>1952</v>
      </c>
      <c r="F150" s="23" t="s">
        <v>1953</v>
      </c>
      <c r="G150" s="23" t="s">
        <v>733</v>
      </c>
      <c r="J150" s="23" t="s">
        <v>1948</v>
      </c>
      <c r="K150" s="23" t="s">
        <v>1929</v>
      </c>
      <c r="L150" s="23" t="s">
        <v>64</v>
      </c>
      <c r="M150" s="42" t="s">
        <v>64</v>
      </c>
      <c r="N150" s="23" t="s">
        <v>65</v>
      </c>
      <c r="O150" s="23">
        <v>2022</v>
      </c>
      <c r="P150" s="23" t="s">
        <v>64</v>
      </c>
      <c r="Q150" s="23" t="s">
        <v>64</v>
      </c>
      <c r="R150" s="23" t="s">
        <v>64</v>
      </c>
    </row>
    <row r="151" spans="1:19" ht="32.1">
      <c r="B151" s="23" t="s">
        <v>1238</v>
      </c>
      <c r="C151" s="23" t="s">
        <v>1606</v>
      </c>
      <c r="D151" s="23" t="s">
        <v>1810</v>
      </c>
      <c r="E151" s="23" t="s">
        <v>1954</v>
      </c>
      <c r="F151" s="23" t="s">
        <v>1955</v>
      </c>
      <c r="G151" s="23" t="s">
        <v>62</v>
      </c>
      <c r="L151" s="23" t="s">
        <v>64</v>
      </c>
      <c r="M151" s="42" t="s">
        <v>64</v>
      </c>
      <c r="N151" s="23" t="s">
        <v>65</v>
      </c>
      <c r="O151" s="23">
        <v>2021</v>
      </c>
      <c r="P151" s="23" t="s">
        <v>64</v>
      </c>
      <c r="Q151" s="23" t="s">
        <v>64</v>
      </c>
      <c r="R151" s="23" t="s">
        <v>64</v>
      </c>
      <c r="S151" s="23" t="s">
        <v>1956</v>
      </c>
    </row>
    <row r="152" spans="1:19" ht="63.95">
      <c r="B152" s="23" t="s">
        <v>1238</v>
      </c>
      <c r="C152" s="23" t="s">
        <v>1606</v>
      </c>
      <c r="D152" s="23" t="s">
        <v>1810</v>
      </c>
      <c r="E152" s="23" t="s">
        <v>1957</v>
      </c>
      <c r="F152" s="23" t="s">
        <v>1958</v>
      </c>
      <c r="G152" s="23" t="s">
        <v>62</v>
      </c>
      <c r="L152" s="23" t="s">
        <v>64</v>
      </c>
      <c r="M152" s="42" t="s">
        <v>64</v>
      </c>
      <c r="N152" s="23" t="s">
        <v>65</v>
      </c>
      <c r="P152" s="23" t="s">
        <v>64</v>
      </c>
      <c r="Q152" s="23" t="s">
        <v>64</v>
      </c>
      <c r="R152" s="23" t="s">
        <v>64</v>
      </c>
      <c r="S152" s="23" t="s">
        <v>1959</v>
      </c>
    </row>
    <row r="153" spans="1:19" ht="32.1">
      <c r="B153" s="23" t="s">
        <v>1238</v>
      </c>
      <c r="C153" s="23" t="s">
        <v>1606</v>
      </c>
      <c r="D153" s="23" t="s">
        <v>1768</v>
      </c>
      <c r="E153" s="23" t="s">
        <v>1960</v>
      </c>
      <c r="J153" s="23" t="s">
        <v>1961</v>
      </c>
      <c r="K153" s="23" t="s">
        <v>1627</v>
      </c>
      <c r="L153" s="23" t="s">
        <v>64</v>
      </c>
      <c r="M153" s="42" t="s">
        <v>64</v>
      </c>
    </row>
    <row r="154" spans="1:19" ht="15.95">
      <c r="B154" s="23" t="s">
        <v>1238</v>
      </c>
      <c r="C154" s="23" t="s">
        <v>1623</v>
      </c>
      <c r="D154" s="23" t="s">
        <v>1810</v>
      </c>
      <c r="E154" s="23" t="s">
        <v>1962</v>
      </c>
      <c r="F154" s="23" t="s">
        <v>1963</v>
      </c>
      <c r="G154" s="23" t="s">
        <v>62</v>
      </c>
      <c r="L154" s="23" t="s">
        <v>64</v>
      </c>
      <c r="M154" s="42" t="s">
        <v>64</v>
      </c>
      <c r="N154" s="23" t="s">
        <v>65</v>
      </c>
      <c r="Q154" s="23" t="s">
        <v>64</v>
      </c>
      <c r="R154" s="23" t="s">
        <v>64</v>
      </c>
      <c r="S154" s="23" t="s">
        <v>1956</v>
      </c>
    </row>
    <row r="155" spans="1:19" ht="32.1">
      <c r="B155" s="23" t="s">
        <v>1238</v>
      </c>
      <c r="C155" s="23" t="s">
        <v>1623</v>
      </c>
      <c r="D155" s="23" t="s">
        <v>1810</v>
      </c>
      <c r="E155" s="23" t="s">
        <v>1964</v>
      </c>
      <c r="F155" s="23" t="s">
        <v>1965</v>
      </c>
      <c r="G155" s="23" t="s">
        <v>325</v>
      </c>
      <c r="L155" s="23" t="s">
        <v>64</v>
      </c>
      <c r="M155" s="42" t="s">
        <v>64</v>
      </c>
      <c r="N155" s="23" t="s">
        <v>65</v>
      </c>
      <c r="O155" s="23">
        <v>2023</v>
      </c>
      <c r="P155" s="23" t="s">
        <v>67</v>
      </c>
      <c r="Q155" s="23" t="s">
        <v>64</v>
      </c>
      <c r="R155" s="23" t="s">
        <v>64</v>
      </c>
      <c r="S155" s="23" t="s">
        <v>1956</v>
      </c>
    </row>
    <row r="156" spans="1:19" ht="15.95">
      <c r="B156" s="23" t="s">
        <v>1238</v>
      </c>
      <c r="C156" s="23" t="s">
        <v>1623</v>
      </c>
      <c r="D156" s="23" t="s">
        <v>1810</v>
      </c>
      <c r="E156" s="23" t="s">
        <v>1966</v>
      </c>
      <c r="F156" s="23" t="s">
        <v>1940</v>
      </c>
      <c r="G156" s="23" t="s">
        <v>163</v>
      </c>
      <c r="L156" s="23" t="s">
        <v>64</v>
      </c>
      <c r="M156" s="42" t="s">
        <v>64</v>
      </c>
      <c r="N156" s="23" t="s">
        <v>65</v>
      </c>
      <c r="O156" s="23">
        <v>2023</v>
      </c>
      <c r="P156" s="23" t="s">
        <v>64</v>
      </c>
      <c r="Q156" s="23" t="s">
        <v>64</v>
      </c>
      <c r="R156" s="23" t="s">
        <v>64</v>
      </c>
      <c r="S156" s="23" t="s">
        <v>1956</v>
      </c>
    </row>
    <row r="157" spans="1:19" ht="48">
      <c r="B157" s="23" t="s">
        <v>1238</v>
      </c>
      <c r="C157" s="23" t="s">
        <v>1623</v>
      </c>
      <c r="D157" s="23" t="s">
        <v>1810</v>
      </c>
      <c r="E157" s="23" t="s">
        <v>1967</v>
      </c>
      <c r="F157" s="23" t="s">
        <v>1968</v>
      </c>
      <c r="G157" s="23" t="s">
        <v>156</v>
      </c>
      <c r="L157" s="23" t="s">
        <v>64</v>
      </c>
      <c r="M157" s="42" t="s">
        <v>64</v>
      </c>
      <c r="N157" s="23" t="s">
        <v>65</v>
      </c>
      <c r="O157" s="23">
        <v>2023</v>
      </c>
      <c r="P157" s="23" t="s">
        <v>64</v>
      </c>
      <c r="Q157" s="23" t="s">
        <v>64</v>
      </c>
      <c r="R157" s="23" t="s">
        <v>64</v>
      </c>
      <c r="S157" s="23" t="s">
        <v>1956</v>
      </c>
    </row>
    <row r="158" spans="1:19" ht="48">
      <c r="B158" s="23" t="s">
        <v>1238</v>
      </c>
      <c r="C158" s="23" t="s">
        <v>1819</v>
      </c>
      <c r="D158" s="23" t="s">
        <v>1810</v>
      </c>
      <c r="E158" s="23" t="s">
        <v>1969</v>
      </c>
      <c r="F158" s="23" t="s">
        <v>1968</v>
      </c>
      <c r="G158" s="23" t="s">
        <v>156</v>
      </c>
      <c r="L158" s="23" t="s">
        <v>64</v>
      </c>
      <c r="M158" s="42" t="s">
        <v>64</v>
      </c>
      <c r="N158" s="23" t="s">
        <v>65</v>
      </c>
      <c r="O158" s="23">
        <v>2023</v>
      </c>
      <c r="P158" s="23" t="s">
        <v>64</v>
      </c>
      <c r="Q158" s="23" t="s">
        <v>64</v>
      </c>
      <c r="R158" s="23" t="s">
        <v>64</v>
      </c>
      <c r="S158" s="23" t="s">
        <v>1956</v>
      </c>
    </row>
    <row r="159" spans="1:19" ht="32.1">
      <c r="B159" s="23" t="s">
        <v>1238</v>
      </c>
      <c r="C159" s="23" t="s">
        <v>1683</v>
      </c>
      <c r="D159" s="23" t="s">
        <v>1810</v>
      </c>
      <c r="E159" s="23" t="s">
        <v>1970</v>
      </c>
      <c r="F159" s="23" t="s">
        <v>1971</v>
      </c>
      <c r="G159" s="23" t="s">
        <v>62</v>
      </c>
      <c r="L159" s="23" t="s">
        <v>64</v>
      </c>
      <c r="M159" s="42" t="s">
        <v>64</v>
      </c>
      <c r="N159" s="23" t="s">
        <v>65</v>
      </c>
      <c r="O159" s="23">
        <v>2023</v>
      </c>
      <c r="P159" s="23" t="s">
        <v>67</v>
      </c>
      <c r="Q159" s="23" t="s">
        <v>64</v>
      </c>
      <c r="R159" s="23" t="s">
        <v>64</v>
      </c>
      <c r="S159" s="23" t="s">
        <v>1956</v>
      </c>
    </row>
    <row r="160" spans="1:19" s="26" customFormat="1" ht="48">
      <c r="B160" s="26" t="s">
        <v>1238</v>
      </c>
      <c r="C160" s="26" t="s">
        <v>1623</v>
      </c>
      <c r="D160" s="26" t="s">
        <v>1810</v>
      </c>
      <c r="E160" s="26" t="s">
        <v>1972</v>
      </c>
      <c r="F160" s="26" t="s">
        <v>1973</v>
      </c>
      <c r="G160" s="26" t="s">
        <v>62</v>
      </c>
      <c r="L160" s="26" t="s">
        <v>64</v>
      </c>
      <c r="M160" s="44" t="s">
        <v>64</v>
      </c>
      <c r="N160" s="26" t="s">
        <v>65</v>
      </c>
      <c r="O160" s="26">
        <v>2021</v>
      </c>
      <c r="P160" s="26" t="s">
        <v>64</v>
      </c>
      <c r="Q160" s="26" t="s">
        <v>64</v>
      </c>
      <c r="R160" s="26" t="s">
        <v>64</v>
      </c>
      <c r="S160" s="26" t="s">
        <v>1956</v>
      </c>
    </row>
    <row r="161" spans="1:19" ht="32.1">
      <c r="A161" s="23">
        <v>6</v>
      </c>
      <c r="B161" s="23" t="s">
        <v>866</v>
      </c>
      <c r="C161" s="23" t="s">
        <v>1630</v>
      </c>
      <c r="D161" s="23" t="s">
        <v>1768</v>
      </c>
      <c r="E161" s="23" t="s">
        <v>1974</v>
      </c>
      <c r="F161" s="23" t="s">
        <v>1862</v>
      </c>
      <c r="G161" s="23" t="s">
        <v>325</v>
      </c>
      <c r="H161" s="23" t="s">
        <v>1975</v>
      </c>
      <c r="I161" s="23" t="s">
        <v>1976</v>
      </c>
      <c r="L161" s="23" t="s">
        <v>67</v>
      </c>
      <c r="M161" s="46" t="s">
        <v>1977</v>
      </c>
      <c r="N161" s="23" t="s">
        <v>65</v>
      </c>
      <c r="O161" s="23">
        <v>2018</v>
      </c>
      <c r="P161" s="23" t="s">
        <v>67</v>
      </c>
      <c r="Q161" s="23" t="s">
        <v>64</v>
      </c>
      <c r="R161" s="23" t="s">
        <v>64</v>
      </c>
    </row>
    <row r="162" spans="1:19" ht="32.1">
      <c r="B162" s="23" t="s">
        <v>866</v>
      </c>
      <c r="C162" s="23" t="s">
        <v>1630</v>
      </c>
      <c r="D162" s="23" t="s">
        <v>1768</v>
      </c>
      <c r="E162" s="23" t="s">
        <v>1978</v>
      </c>
      <c r="F162" s="23" t="s">
        <v>1979</v>
      </c>
      <c r="G162" s="23" t="s">
        <v>62</v>
      </c>
      <c r="H162" s="23" t="s">
        <v>1980</v>
      </c>
      <c r="I162" s="23" t="s">
        <v>1976</v>
      </c>
      <c r="L162" s="23" t="s">
        <v>67</v>
      </c>
      <c r="M162" s="46" t="s">
        <v>1981</v>
      </c>
      <c r="N162" s="23" t="s">
        <v>1982</v>
      </c>
      <c r="O162" s="23">
        <v>2017</v>
      </c>
      <c r="P162" s="23" t="s">
        <v>67</v>
      </c>
      <c r="Q162" s="23" t="s">
        <v>64</v>
      </c>
      <c r="R162" s="23" t="s">
        <v>64</v>
      </c>
    </row>
    <row r="163" spans="1:19" ht="32.1">
      <c r="B163" s="23" t="s">
        <v>866</v>
      </c>
      <c r="C163" s="23" t="s">
        <v>1643</v>
      </c>
      <c r="D163" s="23" t="s">
        <v>1983</v>
      </c>
      <c r="E163" s="23" t="s">
        <v>1984</v>
      </c>
      <c r="F163" s="23" t="s">
        <v>1985</v>
      </c>
      <c r="G163" s="23" t="s">
        <v>1986</v>
      </c>
      <c r="O163" s="23">
        <v>2022</v>
      </c>
      <c r="P163" s="23" t="s">
        <v>64</v>
      </c>
      <c r="Q163" s="23" t="s">
        <v>64</v>
      </c>
      <c r="R163" s="23" t="s">
        <v>64</v>
      </c>
      <c r="S163" s="23" t="s">
        <v>1956</v>
      </c>
    </row>
    <row r="164" spans="1:19" ht="32.1">
      <c r="B164" s="23" t="s">
        <v>866</v>
      </c>
      <c r="C164" s="23" t="s">
        <v>1623</v>
      </c>
      <c r="D164" s="23" t="s">
        <v>1983</v>
      </c>
      <c r="E164" s="23" t="s">
        <v>1987</v>
      </c>
      <c r="F164" s="23" t="s">
        <v>1988</v>
      </c>
      <c r="G164" s="23" t="s">
        <v>325</v>
      </c>
      <c r="J164" s="23" t="s">
        <v>1989</v>
      </c>
      <c r="K164" s="23" t="s">
        <v>1627</v>
      </c>
      <c r="L164" s="23" t="s">
        <v>64</v>
      </c>
      <c r="M164" s="42" t="s">
        <v>64</v>
      </c>
      <c r="N164" s="23" t="s">
        <v>65</v>
      </c>
      <c r="O164" s="23">
        <v>2021</v>
      </c>
      <c r="P164" s="23" t="s">
        <v>67</v>
      </c>
      <c r="Q164" s="23" t="s">
        <v>64</v>
      </c>
      <c r="R164" s="23" t="s">
        <v>64</v>
      </c>
    </row>
    <row r="165" spans="1:19" ht="48">
      <c r="B165" s="23" t="s">
        <v>866</v>
      </c>
      <c r="C165" s="23" t="s">
        <v>1819</v>
      </c>
      <c r="D165" s="23" t="s">
        <v>1670</v>
      </c>
      <c r="E165" s="23" t="s">
        <v>1990</v>
      </c>
      <c r="F165" s="23" t="s">
        <v>1991</v>
      </c>
      <c r="G165" s="23" t="s">
        <v>62</v>
      </c>
      <c r="H165" s="23" t="s">
        <v>1992</v>
      </c>
      <c r="I165" s="23" t="s">
        <v>73</v>
      </c>
      <c r="J165" s="23" t="s">
        <v>68</v>
      </c>
      <c r="L165" s="23" t="s">
        <v>64</v>
      </c>
      <c r="M165" s="42" t="s">
        <v>64</v>
      </c>
      <c r="N165" s="23" t="s">
        <v>65</v>
      </c>
      <c r="O165" s="23">
        <v>2017</v>
      </c>
      <c r="P165" s="23" t="s">
        <v>64</v>
      </c>
      <c r="Q165" s="23" t="s">
        <v>64</v>
      </c>
      <c r="R165" s="23" t="s">
        <v>64</v>
      </c>
    </row>
    <row r="166" spans="1:19" s="26" customFormat="1" ht="32.1">
      <c r="B166" s="26" t="s">
        <v>866</v>
      </c>
      <c r="C166" s="26" t="s">
        <v>1819</v>
      </c>
      <c r="D166" s="26" t="s">
        <v>1670</v>
      </c>
      <c r="E166" s="26" t="s">
        <v>1993</v>
      </c>
      <c r="F166" s="26" t="s">
        <v>1994</v>
      </c>
      <c r="G166" s="26" t="s">
        <v>163</v>
      </c>
      <c r="L166" s="26" t="s">
        <v>64</v>
      </c>
      <c r="M166" s="44" t="s">
        <v>64</v>
      </c>
      <c r="N166" s="26" t="s">
        <v>65</v>
      </c>
      <c r="O166" s="26">
        <v>2017</v>
      </c>
      <c r="P166" s="26" t="s">
        <v>64</v>
      </c>
      <c r="Q166" s="26" t="s">
        <v>64</v>
      </c>
      <c r="R166" s="26" t="s">
        <v>64</v>
      </c>
    </row>
    <row r="167" spans="1:19" ht="32.1">
      <c r="A167" s="23">
        <v>2</v>
      </c>
      <c r="B167" s="23" t="s">
        <v>879</v>
      </c>
      <c r="C167" s="23" t="s">
        <v>1592</v>
      </c>
      <c r="D167" s="23" t="s">
        <v>1751</v>
      </c>
      <c r="E167" s="23" t="s">
        <v>1995</v>
      </c>
      <c r="F167" s="23" t="s">
        <v>1862</v>
      </c>
      <c r="G167" s="23" t="s">
        <v>62</v>
      </c>
      <c r="H167" s="23" t="s">
        <v>1996</v>
      </c>
      <c r="I167" s="23" t="s">
        <v>73</v>
      </c>
      <c r="J167" s="23" t="s">
        <v>68</v>
      </c>
      <c r="L167" s="23" t="s">
        <v>67</v>
      </c>
      <c r="M167" s="46" t="s">
        <v>1997</v>
      </c>
      <c r="N167" s="23" t="s">
        <v>65</v>
      </c>
      <c r="O167" s="23">
        <v>2012</v>
      </c>
      <c r="P167" s="23" t="s">
        <v>67</v>
      </c>
      <c r="Q167" s="23" t="s">
        <v>64</v>
      </c>
      <c r="R167" s="23" t="s">
        <v>64</v>
      </c>
    </row>
    <row r="168" spans="1:19" s="26" customFormat="1" ht="27.75" customHeight="1">
      <c r="B168" s="26" t="s">
        <v>879</v>
      </c>
      <c r="C168" s="26" t="s">
        <v>1623</v>
      </c>
      <c r="D168" s="26" t="s">
        <v>1670</v>
      </c>
      <c r="E168" s="26" t="s">
        <v>1998</v>
      </c>
      <c r="F168" s="26" t="s">
        <v>1862</v>
      </c>
      <c r="G168" s="26" t="s">
        <v>62</v>
      </c>
      <c r="H168" s="26" t="s">
        <v>1998</v>
      </c>
      <c r="I168" s="23" t="s">
        <v>73</v>
      </c>
      <c r="J168" s="26" t="s">
        <v>68</v>
      </c>
      <c r="K168" s="23"/>
      <c r="L168" s="26" t="s">
        <v>67</v>
      </c>
      <c r="M168" s="45" t="s">
        <v>1999</v>
      </c>
      <c r="N168" s="26" t="s">
        <v>65</v>
      </c>
      <c r="O168" s="26">
        <v>2010</v>
      </c>
      <c r="P168" s="26" t="s">
        <v>67</v>
      </c>
      <c r="Q168" s="26" t="s">
        <v>64</v>
      </c>
      <c r="R168" s="26" t="s">
        <v>64</v>
      </c>
    </row>
    <row r="169" spans="1:19" ht="32.1">
      <c r="A169" s="23">
        <v>4</v>
      </c>
      <c r="B169" s="23" t="s">
        <v>885</v>
      </c>
      <c r="C169" s="23" t="s">
        <v>1623</v>
      </c>
      <c r="D169" s="23" t="s">
        <v>1593</v>
      </c>
      <c r="E169" s="23" t="s">
        <v>2000</v>
      </c>
      <c r="G169" s="23" t="s">
        <v>62</v>
      </c>
      <c r="H169" s="23" t="s">
        <v>1841</v>
      </c>
      <c r="I169" s="23" t="s">
        <v>433</v>
      </c>
      <c r="J169" s="23" t="s">
        <v>68</v>
      </c>
      <c r="L169" s="23" t="s">
        <v>64</v>
      </c>
      <c r="M169" s="42" t="s">
        <v>64</v>
      </c>
      <c r="N169" s="23" t="s">
        <v>65</v>
      </c>
      <c r="O169" s="23">
        <v>2010</v>
      </c>
      <c r="P169" s="23" t="s">
        <v>67</v>
      </c>
      <c r="Q169" s="23" t="s">
        <v>64</v>
      </c>
      <c r="R169" s="23" t="s">
        <v>64</v>
      </c>
    </row>
    <row r="170" spans="1:19" ht="32.1">
      <c r="B170" s="23" t="s">
        <v>885</v>
      </c>
      <c r="C170" s="23" t="s">
        <v>1623</v>
      </c>
      <c r="D170" s="23" t="s">
        <v>1593</v>
      </c>
      <c r="E170" s="23" t="s">
        <v>2001</v>
      </c>
      <c r="G170" s="23" t="s">
        <v>62</v>
      </c>
      <c r="J170" s="23" t="s">
        <v>1651</v>
      </c>
      <c r="K170" s="23" t="s">
        <v>1651</v>
      </c>
      <c r="L170" s="23" t="s">
        <v>64</v>
      </c>
      <c r="M170" s="42" t="s">
        <v>64</v>
      </c>
      <c r="N170" s="23" t="s">
        <v>65</v>
      </c>
      <c r="O170" s="23">
        <v>2022</v>
      </c>
      <c r="P170" s="23" t="s">
        <v>67</v>
      </c>
      <c r="Q170" s="23" t="s">
        <v>64</v>
      </c>
      <c r="R170" s="23" t="s">
        <v>64</v>
      </c>
    </row>
    <row r="171" spans="1:19" ht="32.1">
      <c r="B171" s="23" t="s">
        <v>885</v>
      </c>
      <c r="C171" s="23" t="s">
        <v>1592</v>
      </c>
      <c r="D171" s="23" t="s">
        <v>1593</v>
      </c>
      <c r="E171" s="23" t="s">
        <v>1150</v>
      </c>
      <c r="G171" s="23" t="s">
        <v>297</v>
      </c>
      <c r="H171" s="23" t="s">
        <v>392</v>
      </c>
      <c r="I171" s="23" t="s">
        <v>73</v>
      </c>
      <c r="L171" s="23" t="s">
        <v>64</v>
      </c>
      <c r="M171" s="42" t="s">
        <v>64</v>
      </c>
      <c r="N171" s="23" t="s">
        <v>65</v>
      </c>
      <c r="O171" s="23">
        <v>2021</v>
      </c>
      <c r="P171" s="23" t="s">
        <v>67</v>
      </c>
      <c r="Q171" s="23" t="s">
        <v>64</v>
      </c>
      <c r="R171" s="23" t="s">
        <v>64</v>
      </c>
    </row>
    <row r="172" spans="1:19" s="26" customFormat="1" ht="15.95">
      <c r="B172" s="26" t="s">
        <v>885</v>
      </c>
      <c r="C172" s="26" t="s">
        <v>1753</v>
      </c>
      <c r="D172" s="23" t="s">
        <v>1593</v>
      </c>
      <c r="E172" s="26" t="s">
        <v>2002</v>
      </c>
      <c r="G172" s="26" t="s">
        <v>163</v>
      </c>
      <c r="J172" s="26" t="s">
        <v>2003</v>
      </c>
      <c r="K172" s="26" t="s">
        <v>1832</v>
      </c>
      <c r="L172" s="26" t="s">
        <v>64</v>
      </c>
      <c r="M172" s="44" t="s">
        <v>64</v>
      </c>
      <c r="N172" s="26" t="s">
        <v>65</v>
      </c>
      <c r="O172" s="26">
        <v>2014</v>
      </c>
      <c r="P172" s="26" t="s">
        <v>67</v>
      </c>
      <c r="Q172" s="26" t="s">
        <v>64</v>
      </c>
      <c r="R172" s="26" t="s">
        <v>64</v>
      </c>
    </row>
    <row r="173" spans="1:19" ht="48">
      <c r="A173" s="23">
        <v>6</v>
      </c>
      <c r="B173" s="23" t="s">
        <v>912</v>
      </c>
      <c r="C173" s="23" t="s">
        <v>1623</v>
      </c>
      <c r="D173" s="23" t="s">
        <v>1810</v>
      </c>
      <c r="E173" s="23" t="s">
        <v>2004</v>
      </c>
      <c r="F173" s="23" t="s">
        <v>2005</v>
      </c>
      <c r="G173" s="23" t="s">
        <v>2006</v>
      </c>
      <c r="J173" s="23" t="s">
        <v>2007</v>
      </c>
      <c r="K173" s="23" t="s">
        <v>1627</v>
      </c>
      <c r="L173" s="23" t="s">
        <v>64</v>
      </c>
      <c r="M173" s="42" t="s">
        <v>64</v>
      </c>
      <c r="N173" s="23" t="s">
        <v>65</v>
      </c>
      <c r="O173" s="23">
        <v>2022</v>
      </c>
      <c r="P173" s="23" t="s">
        <v>67</v>
      </c>
      <c r="Q173" s="23" t="s">
        <v>64</v>
      </c>
      <c r="R173" s="23" t="s">
        <v>64</v>
      </c>
    </row>
    <row r="174" spans="1:19" ht="63.95">
      <c r="B174" s="23" t="s">
        <v>912</v>
      </c>
      <c r="C174" s="23" t="s">
        <v>1623</v>
      </c>
      <c r="D174" s="23" t="s">
        <v>1810</v>
      </c>
      <c r="E174" s="23" t="s">
        <v>2008</v>
      </c>
      <c r="F174" s="23" t="s">
        <v>2009</v>
      </c>
      <c r="G174" s="23" t="s">
        <v>2006</v>
      </c>
      <c r="J174" s="23" t="s">
        <v>2007</v>
      </c>
      <c r="K174" s="23" t="s">
        <v>1627</v>
      </c>
      <c r="L174" s="23" t="s">
        <v>64</v>
      </c>
      <c r="M174" s="42" t="s">
        <v>64</v>
      </c>
      <c r="N174" s="23" t="s">
        <v>65</v>
      </c>
      <c r="O174" s="23">
        <v>2015</v>
      </c>
      <c r="P174" s="23" t="s">
        <v>67</v>
      </c>
      <c r="Q174" s="23" t="s">
        <v>64</v>
      </c>
      <c r="R174" s="23" t="s">
        <v>64</v>
      </c>
    </row>
    <row r="175" spans="1:19" ht="63.95">
      <c r="B175" s="23" t="s">
        <v>912</v>
      </c>
      <c r="C175" s="23" t="s">
        <v>1623</v>
      </c>
      <c r="D175" s="23" t="s">
        <v>1810</v>
      </c>
      <c r="E175" s="23" t="s">
        <v>2010</v>
      </c>
      <c r="F175" s="23" t="s">
        <v>2009</v>
      </c>
      <c r="G175" s="23" t="s">
        <v>2006</v>
      </c>
      <c r="J175" s="23" t="s">
        <v>2007</v>
      </c>
      <c r="K175" s="23" t="s">
        <v>1627</v>
      </c>
      <c r="L175" s="23" t="s">
        <v>64</v>
      </c>
      <c r="M175" s="42" t="s">
        <v>64</v>
      </c>
      <c r="N175" s="23" t="s">
        <v>1661</v>
      </c>
      <c r="O175" s="23">
        <v>2023</v>
      </c>
      <c r="P175" s="23" t="s">
        <v>67</v>
      </c>
      <c r="Q175" s="23" t="s">
        <v>64</v>
      </c>
      <c r="R175" s="23" t="s">
        <v>64</v>
      </c>
    </row>
    <row r="176" spans="1:19" ht="32.1">
      <c r="B176" s="23" t="s">
        <v>912</v>
      </c>
      <c r="C176" s="23" t="s">
        <v>1623</v>
      </c>
      <c r="D176" s="23" t="s">
        <v>1810</v>
      </c>
      <c r="E176" s="23" t="s">
        <v>2011</v>
      </c>
      <c r="F176" s="23" t="s">
        <v>2012</v>
      </c>
      <c r="G176" s="23" t="s">
        <v>2006</v>
      </c>
      <c r="J176" s="23" t="s">
        <v>2007</v>
      </c>
      <c r="K176" s="23" t="s">
        <v>1627</v>
      </c>
      <c r="L176" s="23" t="s">
        <v>64</v>
      </c>
      <c r="M176" s="42" t="s">
        <v>64</v>
      </c>
      <c r="N176" s="23" t="s">
        <v>1661</v>
      </c>
      <c r="O176" s="23">
        <v>2023</v>
      </c>
      <c r="P176" s="23" t="s">
        <v>67</v>
      </c>
      <c r="Q176" s="23" t="s">
        <v>64</v>
      </c>
      <c r="R176" s="23" t="s">
        <v>64</v>
      </c>
    </row>
    <row r="177" spans="1:18" ht="63.95">
      <c r="B177" s="23" t="s">
        <v>912</v>
      </c>
      <c r="C177" s="23" t="s">
        <v>1819</v>
      </c>
      <c r="D177" s="23" t="s">
        <v>1810</v>
      </c>
      <c r="E177" s="23" t="s">
        <v>2013</v>
      </c>
      <c r="F177" s="23" t="s">
        <v>2009</v>
      </c>
      <c r="G177" s="23" t="s">
        <v>2006</v>
      </c>
      <c r="J177" s="23" t="s">
        <v>2007</v>
      </c>
      <c r="K177" s="23" t="s">
        <v>1627</v>
      </c>
      <c r="L177" s="23" t="s">
        <v>64</v>
      </c>
      <c r="M177" s="42" t="s">
        <v>64</v>
      </c>
      <c r="N177" s="23" t="s">
        <v>1272</v>
      </c>
      <c r="O177" s="23">
        <v>2022</v>
      </c>
      <c r="P177" s="23" t="s">
        <v>67</v>
      </c>
      <c r="Q177" s="23" t="s">
        <v>64</v>
      </c>
      <c r="R177" s="23" t="s">
        <v>64</v>
      </c>
    </row>
    <row r="178" spans="1:18" s="26" customFormat="1" ht="144">
      <c r="B178" s="26" t="s">
        <v>912</v>
      </c>
      <c r="C178" s="26" t="s">
        <v>1630</v>
      </c>
      <c r="D178" s="26" t="s">
        <v>1810</v>
      </c>
      <c r="E178" s="26" t="s">
        <v>2014</v>
      </c>
      <c r="F178" s="26" t="s">
        <v>2015</v>
      </c>
      <c r="G178" s="26" t="s">
        <v>2006</v>
      </c>
      <c r="H178" s="26" t="s">
        <v>392</v>
      </c>
      <c r="I178" s="26" t="s">
        <v>73</v>
      </c>
      <c r="L178" s="26" t="s">
        <v>64</v>
      </c>
      <c r="M178" s="44" t="s">
        <v>64</v>
      </c>
      <c r="N178" s="26" t="s">
        <v>2016</v>
      </c>
      <c r="O178" s="26">
        <v>2012</v>
      </c>
      <c r="P178" s="26" t="s">
        <v>64</v>
      </c>
      <c r="Q178" s="26" t="s">
        <v>64</v>
      </c>
      <c r="R178" s="26" t="s">
        <v>64</v>
      </c>
    </row>
    <row r="179" spans="1:18" ht="32.1">
      <c r="A179" s="23">
        <v>4</v>
      </c>
      <c r="B179" s="23" t="s">
        <v>1247</v>
      </c>
      <c r="C179" s="23" t="s">
        <v>1630</v>
      </c>
      <c r="D179" s="23" t="s">
        <v>1849</v>
      </c>
      <c r="E179" s="23" t="s">
        <v>2017</v>
      </c>
      <c r="F179" s="23" t="s">
        <v>2018</v>
      </c>
      <c r="G179" s="23" t="s">
        <v>62</v>
      </c>
      <c r="H179" s="23" t="s">
        <v>392</v>
      </c>
      <c r="I179" s="23" t="s">
        <v>73</v>
      </c>
      <c r="L179" s="23" t="s">
        <v>64</v>
      </c>
      <c r="M179" s="42" t="s">
        <v>64</v>
      </c>
      <c r="N179" s="23" t="s">
        <v>65</v>
      </c>
      <c r="O179" s="23">
        <v>2019</v>
      </c>
      <c r="P179" s="23" t="s">
        <v>64</v>
      </c>
      <c r="Q179" s="23" t="s">
        <v>64</v>
      </c>
      <c r="R179" s="23" t="s">
        <v>64</v>
      </c>
    </row>
    <row r="180" spans="1:18" ht="63.95">
      <c r="B180" s="23" t="s">
        <v>1247</v>
      </c>
      <c r="C180" s="23" t="s">
        <v>1630</v>
      </c>
      <c r="D180" s="23" t="s">
        <v>1810</v>
      </c>
      <c r="E180" s="23" t="s">
        <v>2019</v>
      </c>
      <c r="F180" s="23" t="s">
        <v>2020</v>
      </c>
      <c r="G180" s="23" t="s">
        <v>62</v>
      </c>
      <c r="J180" s="23" t="s">
        <v>2021</v>
      </c>
      <c r="K180" s="23" t="s">
        <v>1627</v>
      </c>
      <c r="L180" s="23" t="s">
        <v>64</v>
      </c>
      <c r="M180" s="42" t="s">
        <v>64</v>
      </c>
      <c r="N180" s="23" t="s">
        <v>1272</v>
      </c>
      <c r="O180" s="23">
        <v>2023</v>
      </c>
      <c r="P180" s="23" t="s">
        <v>67</v>
      </c>
      <c r="Q180" s="23" t="s">
        <v>64</v>
      </c>
      <c r="R180" s="23" t="s">
        <v>64</v>
      </c>
    </row>
    <row r="181" spans="1:18" ht="32.1">
      <c r="B181" s="23" t="s">
        <v>1247</v>
      </c>
      <c r="C181" s="23" t="s">
        <v>1630</v>
      </c>
      <c r="D181" s="23" t="s">
        <v>1810</v>
      </c>
      <c r="E181" s="23" t="s">
        <v>2022</v>
      </c>
      <c r="F181" s="23" t="s">
        <v>2023</v>
      </c>
      <c r="G181" s="23" t="s">
        <v>62</v>
      </c>
      <c r="J181" s="23" t="s">
        <v>2024</v>
      </c>
      <c r="K181" s="23" t="s">
        <v>1627</v>
      </c>
      <c r="L181" s="23" t="s">
        <v>64</v>
      </c>
      <c r="M181" s="42" t="s">
        <v>64</v>
      </c>
      <c r="N181" s="23" t="s">
        <v>1272</v>
      </c>
      <c r="O181" s="23">
        <v>2022</v>
      </c>
      <c r="P181" s="23" t="s">
        <v>67</v>
      </c>
      <c r="Q181" s="23" t="s">
        <v>64</v>
      </c>
      <c r="R181" s="23" t="s">
        <v>64</v>
      </c>
    </row>
    <row r="182" spans="1:18" ht="32.1">
      <c r="B182" s="23" t="s">
        <v>1247</v>
      </c>
      <c r="C182" s="23" t="s">
        <v>1630</v>
      </c>
      <c r="D182" s="23" t="s">
        <v>1810</v>
      </c>
      <c r="E182" s="23" t="s">
        <v>2025</v>
      </c>
      <c r="F182" s="23" t="s">
        <v>2026</v>
      </c>
      <c r="G182" s="23" t="s">
        <v>62</v>
      </c>
      <c r="J182" s="23" t="s">
        <v>2024</v>
      </c>
      <c r="K182" s="23" t="s">
        <v>1627</v>
      </c>
      <c r="L182" s="23" t="s">
        <v>64</v>
      </c>
      <c r="M182" s="42" t="s">
        <v>64</v>
      </c>
      <c r="N182" s="23" t="s">
        <v>1272</v>
      </c>
      <c r="O182" s="23">
        <v>2022</v>
      </c>
      <c r="P182" s="23" t="s">
        <v>67</v>
      </c>
      <c r="Q182" s="23" t="s">
        <v>64</v>
      </c>
      <c r="R182" s="23" t="s">
        <v>64</v>
      </c>
    </row>
  </sheetData>
  <mergeCells count="3">
    <mergeCell ref="S27:S29"/>
    <mergeCell ref="S125:S127"/>
    <mergeCell ref="S129:S131"/>
  </mergeCells>
  <hyperlinks>
    <hyperlink ref="M13" r:id="rId1" xr:uid="{C6591AD3-EAA3-4B36-BA62-406F75A90743}"/>
    <hyperlink ref="M30" r:id="rId2" xr:uid="{D26BF356-B75E-494D-823C-A00DA9AD6527}"/>
    <hyperlink ref="M42" r:id="rId3" xr:uid="{EF0DA557-0A47-41EF-AF99-B956FF75225D}"/>
    <hyperlink ref="M43" r:id="rId4" xr:uid="{0DFCC90C-860E-48FC-8070-49153F91E6F5}"/>
    <hyperlink ref="M52" r:id="rId5" location="view=map&amp;industries=00&amp;clusterName=Custom+Industries&amp;geoType=state&amp;dataVariable=179&amp;dashboardVars=15-17-33-64&amp;centerX=-10802692&amp;centerY=4568679&amp;level=4&amp;theme=default&amp;dynHeader=Custom+Region" xr:uid="{235FAE2B-CC0A-44CD-BD08-2F7AC83801AA}"/>
    <hyperlink ref="M53" r:id="rId6" xr:uid="{77EB75AF-67D0-4616-A171-A11780E11BE0}"/>
    <hyperlink ref="M69" r:id="rId7" xr:uid="{D4D4B3F5-7BD0-4317-A3A0-2515E844B9EF}"/>
    <hyperlink ref="M70" r:id="rId8" xr:uid="{838CEAE4-2065-409F-BD7B-5FB3EC31D62A}"/>
    <hyperlink ref="M71" r:id="rId9" xr:uid="{AC1BF20F-1383-4264-8709-1F51FBC09991}"/>
    <hyperlink ref="M95" r:id="rId10" xr:uid="{956DE12F-68E2-47A2-88C4-69533AAFBDA0}"/>
    <hyperlink ref="M100" r:id="rId11" xr:uid="{B2128CEB-12CD-41EE-8E23-A28E7A38CC2C}"/>
    <hyperlink ref="M124" r:id="rId12" location="view=map&amp;industries=00&amp;clusterName=Custom+Industries&amp;geoType=state&amp;dataVariable=179&amp;dashboardVars=15-17-33-64&amp;centerX=-10802692&amp;centerY=4568679&amp;level=4&amp;theme=default&amp;dynHeader=Custom+Region" xr:uid="{2BE4D377-4FAF-4629-9173-9126B538499D}"/>
    <hyperlink ref="M125" r:id="rId13" xr:uid="{BE334845-222F-45C2-9690-F7201ADD9A29}"/>
    <hyperlink ref="M126" r:id="rId14" xr:uid="{C0F70D62-A0C3-4D33-949E-31CCE232EB5D}"/>
    <hyperlink ref="M127" r:id="rId15" xr:uid="{8F348489-C404-4BED-8E1B-61CA3520FEC7}"/>
    <hyperlink ref="M128" r:id="rId16" xr:uid="{E7945BB8-EBA2-417A-829C-5133872B42FC}"/>
    <hyperlink ref="M129" r:id="rId17" xr:uid="{05C58F47-00E3-44CB-965F-2578140A9677}"/>
    <hyperlink ref="M130" r:id="rId18" xr:uid="{12B4F360-C0EB-4C97-87A2-B1C55C7FED50}"/>
    <hyperlink ref="M131" r:id="rId19" xr:uid="{1CC0D55C-2814-4CAF-8FF1-E0359C4D91B8}"/>
    <hyperlink ref="M132" r:id="rId20" xr:uid="{20F1579A-B1BD-4F11-A069-7C70AF3EC287}"/>
    <hyperlink ref="M145" r:id="rId21" xr:uid="{86713F4C-D7FA-46F7-B793-A3302FF3A0F5}"/>
    <hyperlink ref="M146" r:id="rId22" xr:uid="{275E9022-FCF5-456B-B2FF-F1BBEB1D6A60}"/>
    <hyperlink ref="M147" r:id="rId23" xr:uid="{7A3B45F8-4133-42B8-8F1B-9639302D2850}"/>
    <hyperlink ref="M161" r:id="rId24" xr:uid="{A56AF904-61A5-46BF-88B8-44993D30A4FC}"/>
    <hyperlink ref="M162" r:id="rId25" xr:uid="{52D8E674-AC40-4FB6-A14A-19AA71C6BDD4}"/>
    <hyperlink ref="M167" r:id="rId26" xr:uid="{D870C964-95AA-4373-8E39-237EF1118386}"/>
    <hyperlink ref="M168" r:id="rId27" xr:uid="{A39D0655-D31B-46B1-8415-E40409FB50E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B401-D1E9-1049-8A18-500117689954}">
  <dimension ref="A1:S79"/>
  <sheetViews>
    <sheetView topLeftCell="B1" workbookViewId="0">
      <pane ySplit="1" topLeftCell="A2" activePane="bottomLeft" state="frozen"/>
      <selection pane="bottomLeft" activeCell="H72" sqref="H72"/>
    </sheetView>
  </sheetViews>
  <sheetFormatPr defaultColWidth="11.42578125" defaultRowHeight="15"/>
  <cols>
    <col min="1" max="5" width="15.85546875" customWidth="1"/>
    <col min="6" max="6" width="81.85546875" customWidth="1"/>
    <col min="7" max="8" width="15.85546875" customWidth="1"/>
    <col min="9" max="9" width="30.140625" customWidth="1"/>
    <col min="10" max="10" width="31.7109375" customWidth="1"/>
    <col min="11" max="18" width="20.85546875" customWidth="1"/>
    <col min="19" max="19" width="60.85546875" customWidth="1"/>
  </cols>
  <sheetData>
    <row r="1" spans="1:19" s="69" customFormat="1" ht="62.25" customHeight="1">
      <c r="A1" s="68" t="s">
        <v>1</v>
      </c>
      <c r="B1" s="68" t="s">
        <v>48</v>
      </c>
      <c r="C1" s="69" t="s">
        <v>49</v>
      </c>
      <c r="D1" s="68" t="s">
        <v>19</v>
      </c>
      <c r="E1" s="68" t="s">
        <v>21</v>
      </c>
      <c r="F1" s="68" t="s">
        <v>23</v>
      </c>
      <c r="G1" s="68" t="s">
        <v>2027</v>
      </c>
      <c r="H1" s="69" t="s">
        <v>25</v>
      </c>
      <c r="I1" s="69" t="s">
        <v>27</v>
      </c>
      <c r="J1" s="69" t="s">
        <v>29</v>
      </c>
      <c r="K1" s="69" t="s">
        <v>31</v>
      </c>
      <c r="L1" s="69" t="s">
        <v>33</v>
      </c>
      <c r="M1" s="69" t="s">
        <v>35</v>
      </c>
      <c r="N1" s="69" t="s">
        <v>2028</v>
      </c>
      <c r="O1" s="69" t="s">
        <v>50</v>
      </c>
      <c r="P1" s="69" t="s">
        <v>41</v>
      </c>
      <c r="Q1" s="69" t="s">
        <v>44</v>
      </c>
      <c r="R1" s="69" t="s">
        <v>2029</v>
      </c>
      <c r="S1" s="69" t="s">
        <v>46</v>
      </c>
    </row>
    <row r="2" spans="1:19">
      <c r="B2" t="s">
        <v>143</v>
      </c>
      <c r="G2">
        <v>0</v>
      </c>
      <c r="R2" t="s">
        <v>2030</v>
      </c>
      <c r="S2" t="s">
        <v>2031</v>
      </c>
    </row>
    <row r="3" spans="1:19">
      <c r="B3" t="s">
        <v>57</v>
      </c>
      <c r="C3" t="s">
        <v>2032</v>
      </c>
      <c r="D3" t="s">
        <v>275</v>
      </c>
      <c r="E3" t="s">
        <v>2033</v>
      </c>
      <c r="F3" t="s">
        <v>2034</v>
      </c>
      <c r="G3">
        <v>1</v>
      </c>
      <c r="H3" t="s">
        <v>2035</v>
      </c>
      <c r="I3" t="s">
        <v>2036</v>
      </c>
      <c r="J3" t="s">
        <v>2037</v>
      </c>
      <c r="K3" t="s">
        <v>2036</v>
      </c>
      <c r="L3" t="s">
        <v>2036</v>
      </c>
      <c r="M3" t="s">
        <v>2038</v>
      </c>
      <c r="N3">
        <v>2019</v>
      </c>
      <c r="O3" t="s">
        <v>2036</v>
      </c>
      <c r="P3" t="s">
        <v>2036</v>
      </c>
      <c r="Q3" t="s">
        <v>2039</v>
      </c>
      <c r="R3" t="s">
        <v>2040</v>
      </c>
    </row>
    <row r="4" spans="1:19">
      <c r="B4" t="s">
        <v>57</v>
      </c>
      <c r="C4" t="s">
        <v>2041</v>
      </c>
      <c r="D4" t="s">
        <v>2042</v>
      </c>
      <c r="E4" t="s">
        <v>2043</v>
      </c>
      <c r="F4" t="s">
        <v>2044</v>
      </c>
      <c r="G4">
        <v>6</v>
      </c>
      <c r="H4" t="s">
        <v>1702</v>
      </c>
      <c r="I4" t="s">
        <v>2036</v>
      </c>
      <c r="J4" t="s">
        <v>2037</v>
      </c>
      <c r="K4" t="s">
        <v>2036</v>
      </c>
      <c r="L4" t="s">
        <v>2036</v>
      </c>
      <c r="M4" t="s">
        <v>2038</v>
      </c>
      <c r="N4">
        <v>2019</v>
      </c>
      <c r="O4" t="s">
        <v>2036</v>
      </c>
      <c r="P4" t="s">
        <v>2036</v>
      </c>
      <c r="Q4" t="s">
        <v>2039</v>
      </c>
    </row>
    <row r="5" spans="1:19">
      <c r="B5" t="s">
        <v>57</v>
      </c>
      <c r="C5" t="s">
        <v>2045</v>
      </c>
      <c r="D5" t="s">
        <v>927</v>
      </c>
      <c r="E5" t="s">
        <v>2046</v>
      </c>
      <c r="G5">
        <v>2</v>
      </c>
      <c r="H5" t="s">
        <v>1702</v>
      </c>
      <c r="I5" t="s">
        <v>73</v>
      </c>
      <c r="J5" t="s">
        <v>2037</v>
      </c>
      <c r="K5" t="s">
        <v>2036</v>
      </c>
      <c r="L5" t="s">
        <v>2036</v>
      </c>
      <c r="M5" t="s">
        <v>2038</v>
      </c>
      <c r="N5">
        <v>2019</v>
      </c>
      <c r="O5" t="s">
        <v>2036</v>
      </c>
      <c r="P5" t="s">
        <v>2036</v>
      </c>
      <c r="Q5" t="s">
        <v>2039</v>
      </c>
    </row>
    <row r="6" spans="1:19">
      <c r="B6" t="s">
        <v>57</v>
      </c>
      <c r="C6" t="s">
        <v>2047</v>
      </c>
      <c r="D6" t="s">
        <v>927</v>
      </c>
      <c r="E6" t="s">
        <v>2048</v>
      </c>
      <c r="F6" t="s">
        <v>2049</v>
      </c>
      <c r="G6">
        <v>12</v>
      </c>
      <c r="H6" t="s">
        <v>1702</v>
      </c>
      <c r="I6" t="s">
        <v>73</v>
      </c>
      <c r="J6" t="s">
        <v>2037</v>
      </c>
      <c r="K6" t="s">
        <v>2036</v>
      </c>
      <c r="L6" t="s">
        <v>2036</v>
      </c>
      <c r="M6" t="s">
        <v>2038</v>
      </c>
      <c r="N6" t="s">
        <v>676</v>
      </c>
      <c r="O6" t="s">
        <v>2039</v>
      </c>
      <c r="P6" t="s">
        <v>2036</v>
      </c>
      <c r="Q6" t="s">
        <v>2039</v>
      </c>
    </row>
    <row r="7" spans="1:19">
      <c r="B7" t="s">
        <v>57</v>
      </c>
      <c r="C7" t="s">
        <v>2050</v>
      </c>
      <c r="D7" t="s">
        <v>2051</v>
      </c>
      <c r="E7" t="s">
        <v>2052</v>
      </c>
      <c r="F7" t="s">
        <v>2053</v>
      </c>
      <c r="G7">
        <v>6</v>
      </c>
      <c r="H7" t="s">
        <v>1702</v>
      </c>
      <c r="I7" t="s">
        <v>73</v>
      </c>
      <c r="J7" t="s">
        <v>2037</v>
      </c>
      <c r="K7" t="s">
        <v>2036</v>
      </c>
      <c r="L7" t="s">
        <v>2036</v>
      </c>
      <c r="M7" t="s">
        <v>2054</v>
      </c>
      <c r="N7">
        <v>2019</v>
      </c>
      <c r="O7" t="s">
        <v>2039</v>
      </c>
      <c r="P7" t="s">
        <v>2036</v>
      </c>
      <c r="Q7" t="s">
        <v>2039</v>
      </c>
      <c r="S7" t="s">
        <v>2055</v>
      </c>
    </row>
    <row r="8" spans="1:19">
      <c r="B8" t="s">
        <v>57</v>
      </c>
      <c r="C8" t="s">
        <v>2056</v>
      </c>
      <c r="D8" t="s">
        <v>927</v>
      </c>
      <c r="E8" t="s">
        <v>2052</v>
      </c>
      <c r="F8" t="s">
        <v>2057</v>
      </c>
      <c r="G8">
        <v>3</v>
      </c>
      <c r="H8" t="s">
        <v>1702</v>
      </c>
      <c r="I8" t="s">
        <v>73</v>
      </c>
      <c r="J8" t="s">
        <v>2037</v>
      </c>
      <c r="K8" t="s">
        <v>2036</v>
      </c>
      <c r="L8" t="s">
        <v>2036</v>
      </c>
      <c r="M8" t="s">
        <v>2054</v>
      </c>
      <c r="N8">
        <v>2019</v>
      </c>
      <c r="O8" t="s">
        <v>2039</v>
      </c>
      <c r="P8" t="s">
        <v>2036</v>
      </c>
      <c r="Q8" t="s">
        <v>2039</v>
      </c>
      <c r="S8" t="s">
        <v>2055</v>
      </c>
    </row>
    <row r="9" spans="1:19">
      <c r="B9" t="s">
        <v>57</v>
      </c>
      <c r="C9" t="s">
        <v>2047</v>
      </c>
      <c r="D9" t="s">
        <v>927</v>
      </c>
      <c r="E9" t="s">
        <v>2058</v>
      </c>
      <c r="F9" t="s">
        <v>2059</v>
      </c>
      <c r="G9">
        <v>7</v>
      </c>
      <c r="H9" t="s">
        <v>2060</v>
      </c>
      <c r="I9" t="s">
        <v>73</v>
      </c>
      <c r="J9" t="s">
        <v>2037</v>
      </c>
      <c r="K9" t="s">
        <v>2036</v>
      </c>
      <c r="L9" t="s">
        <v>2036</v>
      </c>
      <c r="M9" t="s">
        <v>2054</v>
      </c>
      <c r="N9">
        <v>2019</v>
      </c>
      <c r="O9" t="s">
        <v>2039</v>
      </c>
      <c r="P9" t="s">
        <v>2036</v>
      </c>
      <c r="Q9" t="s">
        <v>2039</v>
      </c>
      <c r="S9" t="s">
        <v>2055</v>
      </c>
    </row>
    <row r="10" spans="1:19">
      <c r="B10" t="s">
        <v>170</v>
      </c>
      <c r="C10" t="s">
        <v>2047</v>
      </c>
      <c r="D10" t="s">
        <v>59</v>
      </c>
      <c r="E10" t="s">
        <v>2061</v>
      </c>
      <c r="F10" t="s">
        <v>2062</v>
      </c>
      <c r="G10">
        <v>8</v>
      </c>
      <c r="H10" t="s">
        <v>2063</v>
      </c>
      <c r="I10" t="s">
        <v>516</v>
      </c>
      <c r="J10" t="s">
        <v>2036</v>
      </c>
      <c r="K10" t="s">
        <v>2036</v>
      </c>
      <c r="L10" t="s">
        <v>2036</v>
      </c>
      <c r="M10" t="s">
        <v>2064</v>
      </c>
      <c r="N10">
        <v>2020</v>
      </c>
      <c r="O10" t="s">
        <v>2036</v>
      </c>
      <c r="P10" t="s">
        <v>2036</v>
      </c>
      <c r="Q10" t="s">
        <v>2039</v>
      </c>
      <c r="R10" t="s">
        <v>2065</v>
      </c>
      <c r="S10" t="s">
        <v>2066</v>
      </c>
    </row>
    <row r="11" spans="1:19">
      <c r="B11" t="s">
        <v>170</v>
      </c>
      <c r="C11" t="s">
        <v>2067</v>
      </c>
      <c r="D11" t="s">
        <v>59</v>
      </c>
      <c r="E11" t="s">
        <v>2068</v>
      </c>
      <c r="F11" t="s">
        <v>2069</v>
      </c>
      <c r="G11">
        <v>8</v>
      </c>
      <c r="H11" t="s">
        <v>2063</v>
      </c>
      <c r="I11" t="s">
        <v>516</v>
      </c>
      <c r="J11" t="s">
        <v>2036</v>
      </c>
      <c r="K11" t="s">
        <v>2036</v>
      </c>
      <c r="L11" t="s">
        <v>2036</v>
      </c>
      <c r="M11" t="s">
        <v>2064</v>
      </c>
      <c r="N11">
        <v>2020</v>
      </c>
      <c r="O11" t="s">
        <v>2039</v>
      </c>
      <c r="P11" t="s">
        <v>2036</v>
      </c>
      <c r="Q11" t="s">
        <v>2039</v>
      </c>
    </row>
    <row r="12" spans="1:19">
      <c r="B12" t="s">
        <v>170</v>
      </c>
      <c r="C12" t="s">
        <v>2070</v>
      </c>
      <c r="D12" t="s">
        <v>59</v>
      </c>
      <c r="E12" t="s">
        <v>2071</v>
      </c>
      <c r="F12" t="s">
        <v>2072</v>
      </c>
      <c r="G12">
        <v>2</v>
      </c>
      <c r="H12" t="s">
        <v>2073</v>
      </c>
      <c r="I12" t="s">
        <v>516</v>
      </c>
      <c r="J12" t="s">
        <v>2036</v>
      </c>
      <c r="K12" t="s">
        <v>2036</v>
      </c>
      <c r="L12" t="s">
        <v>2036</v>
      </c>
      <c r="M12" t="s">
        <v>2064</v>
      </c>
      <c r="N12">
        <v>2010</v>
      </c>
      <c r="O12" t="s">
        <v>2036</v>
      </c>
      <c r="P12" t="s">
        <v>2036</v>
      </c>
      <c r="Q12" t="s">
        <v>2039</v>
      </c>
    </row>
    <row r="13" spans="1:19">
      <c r="B13" t="s">
        <v>185</v>
      </c>
      <c r="C13" t="s">
        <v>2074</v>
      </c>
      <c r="D13" t="s">
        <v>275</v>
      </c>
      <c r="E13" t="s">
        <v>2075</v>
      </c>
      <c r="F13" t="s">
        <v>2076</v>
      </c>
      <c r="G13">
        <v>3</v>
      </c>
      <c r="H13" t="s">
        <v>1763</v>
      </c>
      <c r="I13" t="s">
        <v>516</v>
      </c>
      <c r="J13" t="s">
        <v>2036</v>
      </c>
      <c r="K13" t="s">
        <v>2036</v>
      </c>
      <c r="L13" t="s">
        <v>2036</v>
      </c>
      <c r="M13" t="s">
        <v>2064</v>
      </c>
      <c r="N13">
        <v>2020</v>
      </c>
      <c r="O13" t="s">
        <v>2036</v>
      </c>
      <c r="P13" t="s">
        <v>2036</v>
      </c>
      <c r="Q13" t="s">
        <v>2039</v>
      </c>
      <c r="R13" t="s">
        <v>2077</v>
      </c>
    </row>
    <row r="14" spans="1:19">
      <c r="B14" t="s">
        <v>185</v>
      </c>
      <c r="C14" t="s">
        <v>2074</v>
      </c>
      <c r="D14" t="s">
        <v>275</v>
      </c>
      <c r="E14" t="s">
        <v>2078</v>
      </c>
      <c r="F14" t="s">
        <v>2079</v>
      </c>
      <c r="G14">
        <v>3</v>
      </c>
      <c r="H14" t="s">
        <v>1763</v>
      </c>
      <c r="I14" t="s">
        <v>516</v>
      </c>
      <c r="J14" t="s">
        <v>2036</v>
      </c>
      <c r="K14" t="s">
        <v>2036</v>
      </c>
      <c r="L14" t="s">
        <v>2036</v>
      </c>
      <c r="M14" t="s">
        <v>2064</v>
      </c>
      <c r="N14">
        <v>2020</v>
      </c>
      <c r="O14" t="s">
        <v>2039</v>
      </c>
      <c r="P14" t="s">
        <v>2036</v>
      </c>
      <c r="Q14" t="s">
        <v>2039</v>
      </c>
    </row>
    <row r="15" spans="1:19">
      <c r="B15" t="s">
        <v>185</v>
      </c>
      <c r="C15" t="s">
        <v>2080</v>
      </c>
      <c r="D15" t="s">
        <v>927</v>
      </c>
      <c r="E15" t="s">
        <v>2081</v>
      </c>
      <c r="F15" t="s">
        <v>2082</v>
      </c>
      <c r="G15">
        <v>7</v>
      </c>
      <c r="H15" t="s">
        <v>1702</v>
      </c>
      <c r="I15" t="s">
        <v>270</v>
      </c>
      <c r="J15" t="s">
        <v>2036</v>
      </c>
      <c r="K15" t="s">
        <v>2036</v>
      </c>
      <c r="L15" t="s">
        <v>2036</v>
      </c>
      <c r="M15" t="s">
        <v>2064</v>
      </c>
      <c r="N15">
        <v>2020</v>
      </c>
      <c r="O15" t="s">
        <v>2036</v>
      </c>
      <c r="P15" t="s">
        <v>2036</v>
      </c>
      <c r="Q15" t="s">
        <v>2039</v>
      </c>
    </row>
    <row r="16" spans="1:19">
      <c r="B16" t="s">
        <v>185</v>
      </c>
      <c r="C16" t="s">
        <v>2083</v>
      </c>
      <c r="D16" t="s">
        <v>927</v>
      </c>
      <c r="E16" t="s">
        <v>2084</v>
      </c>
      <c r="F16" t="s">
        <v>2085</v>
      </c>
      <c r="G16">
        <v>2</v>
      </c>
      <c r="H16" t="s">
        <v>1702</v>
      </c>
      <c r="I16" t="s">
        <v>270</v>
      </c>
      <c r="J16" t="s">
        <v>2036</v>
      </c>
      <c r="K16" t="s">
        <v>2036</v>
      </c>
      <c r="L16" t="s">
        <v>2036</v>
      </c>
      <c r="M16" t="s">
        <v>2064</v>
      </c>
      <c r="N16">
        <v>2020</v>
      </c>
      <c r="O16" t="s">
        <v>2036</v>
      </c>
      <c r="P16" t="s">
        <v>2036</v>
      </c>
      <c r="Q16" t="s">
        <v>2039</v>
      </c>
    </row>
    <row r="17" spans="2:19">
      <c r="B17" t="s">
        <v>244</v>
      </c>
      <c r="C17" t="s">
        <v>2047</v>
      </c>
      <c r="D17" t="s">
        <v>59</v>
      </c>
      <c r="E17" t="s">
        <v>2086</v>
      </c>
      <c r="F17" t="s">
        <v>2087</v>
      </c>
      <c r="G17">
        <v>30</v>
      </c>
      <c r="H17" t="s">
        <v>1708</v>
      </c>
      <c r="I17" t="s">
        <v>516</v>
      </c>
      <c r="J17" t="s">
        <v>2036</v>
      </c>
      <c r="K17" t="s">
        <v>2039</v>
      </c>
      <c r="L17" t="s">
        <v>2088</v>
      </c>
      <c r="M17" t="s">
        <v>2064</v>
      </c>
      <c r="N17">
        <v>2020</v>
      </c>
      <c r="O17" t="s">
        <v>2036</v>
      </c>
      <c r="P17" t="s">
        <v>2036</v>
      </c>
      <c r="Q17" t="s">
        <v>2039</v>
      </c>
      <c r="R17" t="s">
        <v>2089</v>
      </c>
      <c r="S17" t="s">
        <v>2090</v>
      </c>
    </row>
    <row r="18" spans="2:19">
      <c r="B18" t="s">
        <v>244</v>
      </c>
      <c r="C18" t="s">
        <v>2091</v>
      </c>
      <c r="D18" t="s">
        <v>275</v>
      </c>
      <c r="E18" t="s">
        <v>2092</v>
      </c>
      <c r="F18" t="s">
        <v>2093</v>
      </c>
      <c r="G18">
        <v>8</v>
      </c>
      <c r="H18" t="s">
        <v>1763</v>
      </c>
      <c r="I18" t="s">
        <v>516</v>
      </c>
      <c r="J18" t="s">
        <v>2036</v>
      </c>
      <c r="K18" t="s">
        <v>2036</v>
      </c>
      <c r="L18" t="s">
        <v>2036</v>
      </c>
      <c r="M18" t="s">
        <v>2064</v>
      </c>
      <c r="N18">
        <v>2020</v>
      </c>
      <c r="O18" t="s">
        <v>2039</v>
      </c>
      <c r="P18" t="s">
        <v>2036</v>
      </c>
      <c r="Q18" t="s">
        <v>2039</v>
      </c>
    </row>
    <row r="19" spans="2:19">
      <c r="B19" t="s">
        <v>244</v>
      </c>
      <c r="C19" t="s">
        <v>2047</v>
      </c>
      <c r="D19" t="s">
        <v>275</v>
      </c>
      <c r="E19" t="s">
        <v>2094</v>
      </c>
      <c r="F19" t="s">
        <v>2095</v>
      </c>
      <c r="G19">
        <v>4</v>
      </c>
      <c r="H19" t="s">
        <v>2096</v>
      </c>
      <c r="I19" t="s">
        <v>516</v>
      </c>
      <c r="J19" t="s">
        <v>2036</v>
      </c>
      <c r="K19" t="s">
        <v>2036</v>
      </c>
      <c r="L19" t="s">
        <v>2036</v>
      </c>
      <c r="M19" t="s">
        <v>2064</v>
      </c>
      <c r="N19">
        <v>2020</v>
      </c>
      <c r="O19" t="s">
        <v>2036</v>
      </c>
      <c r="P19" t="s">
        <v>2036</v>
      </c>
      <c r="Q19" t="s">
        <v>2039</v>
      </c>
    </row>
    <row r="20" spans="2:19">
      <c r="B20" t="s">
        <v>244</v>
      </c>
      <c r="C20" t="s">
        <v>2047</v>
      </c>
      <c r="D20" t="s">
        <v>275</v>
      </c>
      <c r="E20" t="s">
        <v>2097</v>
      </c>
      <c r="F20" t="s">
        <v>2095</v>
      </c>
      <c r="G20">
        <v>4</v>
      </c>
      <c r="H20" t="s">
        <v>2096</v>
      </c>
      <c r="I20" t="s">
        <v>516</v>
      </c>
      <c r="J20" t="s">
        <v>2036</v>
      </c>
      <c r="K20" t="s">
        <v>2036</v>
      </c>
      <c r="L20" t="s">
        <v>2036</v>
      </c>
      <c r="M20" t="s">
        <v>2064</v>
      </c>
      <c r="N20">
        <v>2010</v>
      </c>
      <c r="O20" t="s">
        <v>2036</v>
      </c>
      <c r="P20" t="s">
        <v>2036</v>
      </c>
      <c r="Q20" t="s">
        <v>2039</v>
      </c>
    </row>
    <row r="21" spans="2:19">
      <c r="B21" t="s">
        <v>244</v>
      </c>
      <c r="C21" t="s">
        <v>2098</v>
      </c>
      <c r="D21" t="s">
        <v>927</v>
      </c>
      <c r="E21" t="s">
        <v>2099</v>
      </c>
      <c r="F21" t="s">
        <v>2100</v>
      </c>
      <c r="G21">
        <v>6</v>
      </c>
      <c r="H21" t="s">
        <v>2101</v>
      </c>
      <c r="I21" t="s">
        <v>516</v>
      </c>
      <c r="J21" t="s">
        <v>2036</v>
      </c>
      <c r="K21" t="s">
        <v>2036</v>
      </c>
      <c r="L21" t="s">
        <v>2036</v>
      </c>
      <c r="M21" t="s">
        <v>2064</v>
      </c>
      <c r="N21">
        <v>2020</v>
      </c>
      <c r="O21" t="s">
        <v>2036</v>
      </c>
      <c r="P21" t="s">
        <v>2036</v>
      </c>
      <c r="Q21" t="s">
        <v>2039</v>
      </c>
    </row>
    <row r="22" spans="2:19">
      <c r="B22" t="s">
        <v>244</v>
      </c>
      <c r="C22" t="s">
        <v>2098</v>
      </c>
      <c r="D22" t="s">
        <v>927</v>
      </c>
      <c r="E22" t="s">
        <v>2102</v>
      </c>
      <c r="F22" t="s">
        <v>2100</v>
      </c>
      <c r="G22">
        <v>6</v>
      </c>
      <c r="H22" t="s">
        <v>2103</v>
      </c>
      <c r="I22" t="s">
        <v>516</v>
      </c>
      <c r="J22" t="s">
        <v>2036</v>
      </c>
      <c r="K22" t="s">
        <v>2036</v>
      </c>
      <c r="L22" t="s">
        <v>2036</v>
      </c>
      <c r="M22" t="s">
        <v>2064</v>
      </c>
      <c r="N22">
        <v>2020</v>
      </c>
      <c r="O22" t="s">
        <v>2036</v>
      </c>
      <c r="P22" t="s">
        <v>2036</v>
      </c>
      <c r="Q22" t="s">
        <v>2039</v>
      </c>
    </row>
    <row r="23" spans="2:19">
      <c r="B23" t="s">
        <v>331</v>
      </c>
      <c r="C23" t="s">
        <v>2047</v>
      </c>
      <c r="D23" t="s">
        <v>128</v>
      </c>
      <c r="E23" t="s">
        <v>2104</v>
      </c>
      <c r="F23" t="s">
        <v>2100</v>
      </c>
      <c r="G23">
        <v>6</v>
      </c>
      <c r="H23" t="s">
        <v>1763</v>
      </c>
      <c r="I23" t="s">
        <v>516</v>
      </c>
      <c r="J23" t="s">
        <v>2036</v>
      </c>
      <c r="K23" t="s">
        <v>2036</v>
      </c>
      <c r="L23" t="s">
        <v>2036</v>
      </c>
      <c r="M23" t="s">
        <v>2064</v>
      </c>
      <c r="N23">
        <v>2020</v>
      </c>
      <c r="O23" t="s">
        <v>2036</v>
      </c>
      <c r="P23" t="s">
        <v>2036</v>
      </c>
      <c r="Q23" t="s">
        <v>2039</v>
      </c>
      <c r="R23" t="s">
        <v>2105</v>
      </c>
    </row>
    <row r="24" spans="2:19">
      <c r="B24" t="s">
        <v>331</v>
      </c>
      <c r="C24" t="s">
        <v>2106</v>
      </c>
      <c r="D24" t="s">
        <v>128</v>
      </c>
      <c r="E24" t="s">
        <v>2107</v>
      </c>
      <c r="F24" t="s">
        <v>2100</v>
      </c>
      <c r="G24">
        <v>6</v>
      </c>
      <c r="H24" t="s">
        <v>2108</v>
      </c>
      <c r="I24" t="s">
        <v>2038</v>
      </c>
      <c r="J24" t="s">
        <v>2038</v>
      </c>
      <c r="K24" t="s">
        <v>2038</v>
      </c>
      <c r="L24" t="s">
        <v>2038</v>
      </c>
      <c r="M24" t="s">
        <v>2054</v>
      </c>
      <c r="N24">
        <v>2021</v>
      </c>
      <c r="O24" t="s">
        <v>2039</v>
      </c>
      <c r="P24" t="s">
        <v>2038</v>
      </c>
      <c r="Q24" t="s">
        <v>2036</v>
      </c>
    </row>
    <row r="25" spans="2:19">
      <c r="B25" t="s">
        <v>331</v>
      </c>
      <c r="C25" t="s">
        <v>2047</v>
      </c>
      <c r="D25" t="s">
        <v>275</v>
      </c>
      <c r="E25" t="s">
        <v>2109</v>
      </c>
      <c r="F25" t="s">
        <v>2110</v>
      </c>
      <c r="G25">
        <v>9</v>
      </c>
      <c r="H25" t="s">
        <v>2111</v>
      </c>
      <c r="I25" t="s">
        <v>516</v>
      </c>
      <c r="J25" t="s">
        <v>2036</v>
      </c>
      <c r="K25" t="s">
        <v>2036</v>
      </c>
      <c r="L25" t="s">
        <v>2036</v>
      </c>
      <c r="M25" t="s">
        <v>2064</v>
      </c>
      <c r="N25">
        <v>2020</v>
      </c>
      <c r="O25" t="s">
        <v>2039</v>
      </c>
      <c r="P25" t="s">
        <v>2036</v>
      </c>
      <c r="Q25" t="s">
        <v>2039</v>
      </c>
    </row>
    <row r="26" spans="2:19">
      <c r="B26" t="s">
        <v>331</v>
      </c>
      <c r="C26" t="s">
        <v>2112</v>
      </c>
      <c r="D26" t="s">
        <v>275</v>
      </c>
      <c r="E26" t="s">
        <v>2113</v>
      </c>
      <c r="F26" t="s">
        <v>2114</v>
      </c>
      <c r="G26">
        <v>7</v>
      </c>
      <c r="H26" t="s">
        <v>1708</v>
      </c>
      <c r="I26" t="s">
        <v>433</v>
      </c>
      <c r="J26" t="s">
        <v>2036</v>
      </c>
      <c r="K26" t="s">
        <v>2036</v>
      </c>
      <c r="L26" t="s">
        <v>2036</v>
      </c>
      <c r="M26" t="s">
        <v>2038</v>
      </c>
      <c r="N26" t="s">
        <v>2038</v>
      </c>
      <c r="O26" t="s">
        <v>2039</v>
      </c>
      <c r="P26" t="s">
        <v>2036</v>
      </c>
      <c r="Q26" t="s">
        <v>2039</v>
      </c>
    </row>
    <row r="27" spans="2:19">
      <c r="B27" t="s">
        <v>331</v>
      </c>
      <c r="C27" t="s">
        <v>2047</v>
      </c>
      <c r="D27" t="s">
        <v>2115</v>
      </c>
      <c r="E27" t="s">
        <v>2113</v>
      </c>
      <c r="F27" t="s">
        <v>2116</v>
      </c>
      <c r="G27" t="s">
        <v>2038</v>
      </c>
      <c r="H27" t="s">
        <v>2073</v>
      </c>
      <c r="I27" t="s">
        <v>433</v>
      </c>
      <c r="J27" t="s">
        <v>2036</v>
      </c>
      <c r="K27" t="s">
        <v>2039</v>
      </c>
      <c r="L27" t="s">
        <v>2038</v>
      </c>
      <c r="M27" t="s">
        <v>2054</v>
      </c>
      <c r="N27" t="s">
        <v>2117</v>
      </c>
      <c r="O27" t="s">
        <v>2039</v>
      </c>
      <c r="P27" t="s">
        <v>2036</v>
      </c>
      <c r="Q27" t="s">
        <v>2039</v>
      </c>
    </row>
    <row r="28" spans="2:19">
      <c r="B28" t="s">
        <v>389</v>
      </c>
      <c r="C28" t="s">
        <v>2047</v>
      </c>
      <c r="D28" t="s">
        <v>128</v>
      </c>
      <c r="E28" t="s">
        <v>451</v>
      </c>
      <c r="F28" t="s">
        <v>2100</v>
      </c>
      <c r="G28">
        <v>6</v>
      </c>
      <c r="H28" t="s">
        <v>2103</v>
      </c>
      <c r="I28" t="s">
        <v>516</v>
      </c>
      <c r="J28" t="s">
        <v>2036</v>
      </c>
      <c r="K28" t="s">
        <v>2036</v>
      </c>
      <c r="L28" t="s">
        <v>2036</v>
      </c>
      <c r="M28" t="s">
        <v>2064</v>
      </c>
      <c r="N28">
        <v>2020</v>
      </c>
      <c r="O28" t="s">
        <v>2039</v>
      </c>
      <c r="P28" t="s">
        <v>2036</v>
      </c>
      <c r="Q28" t="s">
        <v>2039</v>
      </c>
      <c r="R28" t="s">
        <v>2118</v>
      </c>
    </row>
    <row r="29" spans="2:19">
      <c r="B29" t="s">
        <v>389</v>
      </c>
      <c r="C29" t="s">
        <v>2119</v>
      </c>
      <c r="D29" t="s">
        <v>128</v>
      </c>
      <c r="E29" t="s">
        <v>2120</v>
      </c>
      <c r="F29" t="s">
        <v>2119</v>
      </c>
      <c r="G29">
        <v>1</v>
      </c>
      <c r="H29" t="s">
        <v>1763</v>
      </c>
      <c r="I29" t="s">
        <v>516</v>
      </c>
      <c r="J29" t="s">
        <v>2036</v>
      </c>
      <c r="K29" t="s">
        <v>2036</v>
      </c>
      <c r="L29" t="s">
        <v>2036</v>
      </c>
      <c r="M29" t="s">
        <v>2064</v>
      </c>
      <c r="N29">
        <v>2020</v>
      </c>
      <c r="O29" t="s">
        <v>2039</v>
      </c>
      <c r="P29" t="s">
        <v>2036</v>
      </c>
      <c r="Q29" t="s">
        <v>2039</v>
      </c>
    </row>
    <row r="30" spans="2:19">
      <c r="B30" t="s">
        <v>389</v>
      </c>
      <c r="C30" t="s">
        <v>2047</v>
      </c>
      <c r="D30" t="s">
        <v>128</v>
      </c>
      <c r="E30" t="s">
        <v>2121</v>
      </c>
      <c r="F30" t="s">
        <v>2100</v>
      </c>
      <c r="G30">
        <v>6</v>
      </c>
      <c r="H30" t="s">
        <v>2103</v>
      </c>
      <c r="I30" t="s">
        <v>516</v>
      </c>
      <c r="J30" t="s">
        <v>2036</v>
      </c>
      <c r="K30" t="s">
        <v>2036</v>
      </c>
      <c r="L30" t="s">
        <v>2036</v>
      </c>
      <c r="M30" t="s">
        <v>2064</v>
      </c>
      <c r="N30">
        <v>2020</v>
      </c>
      <c r="O30" t="s">
        <v>2036</v>
      </c>
      <c r="P30" t="s">
        <v>2036</v>
      </c>
      <c r="Q30" t="s">
        <v>2039</v>
      </c>
    </row>
    <row r="31" spans="2:19">
      <c r="B31" t="s">
        <v>389</v>
      </c>
      <c r="C31" t="s">
        <v>2122</v>
      </c>
      <c r="D31" t="s">
        <v>275</v>
      </c>
      <c r="E31" t="s">
        <v>2123</v>
      </c>
      <c r="F31" t="s">
        <v>2124</v>
      </c>
      <c r="G31">
        <v>1</v>
      </c>
      <c r="H31" t="s">
        <v>2125</v>
      </c>
      <c r="I31" t="s">
        <v>516</v>
      </c>
      <c r="J31" t="s">
        <v>2036</v>
      </c>
      <c r="K31" t="s">
        <v>2036</v>
      </c>
      <c r="L31" t="s">
        <v>2036</v>
      </c>
      <c r="M31" t="s">
        <v>2064</v>
      </c>
      <c r="N31">
        <v>2020</v>
      </c>
      <c r="O31" t="s">
        <v>2036</v>
      </c>
      <c r="P31" t="s">
        <v>2036</v>
      </c>
      <c r="Q31" t="s">
        <v>2039</v>
      </c>
    </row>
    <row r="32" spans="2:19">
      <c r="B32" t="s">
        <v>564</v>
      </c>
      <c r="C32" t="s">
        <v>2126</v>
      </c>
      <c r="D32" t="s">
        <v>59</v>
      </c>
      <c r="E32" t="s">
        <v>2127</v>
      </c>
      <c r="F32" t="s">
        <v>2128</v>
      </c>
      <c r="G32" t="s">
        <v>2038</v>
      </c>
      <c r="H32" t="s">
        <v>1702</v>
      </c>
      <c r="I32" t="s">
        <v>433</v>
      </c>
      <c r="J32" t="s">
        <v>2036</v>
      </c>
      <c r="K32" t="s">
        <v>2039</v>
      </c>
      <c r="L32" t="s">
        <v>2129</v>
      </c>
      <c r="M32" t="s">
        <v>2054</v>
      </c>
      <c r="N32">
        <v>2021</v>
      </c>
      <c r="O32" t="s">
        <v>2036</v>
      </c>
      <c r="P32" t="s">
        <v>2036</v>
      </c>
      <c r="Q32" t="s">
        <v>2039</v>
      </c>
      <c r="R32" t="s">
        <v>2130</v>
      </c>
      <c r="S32" t="s">
        <v>2131</v>
      </c>
    </row>
    <row r="33" spans="2:19">
      <c r="B33" t="s">
        <v>466</v>
      </c>
      <c r="C33" t="s">
        <v>2128</v>
      </c>
      <c r="D33" t="s">
        <v>440</v>
      </c>
      <c r="E33" t="s">
        <v>467</v>
      </c>
      <c r="F33" t="s">
        <v>2132</v>
      </c>
      <c r="G33">
        <v>2</v>
      </c>
      <c r="H33" t="s">
        <v>2133</v>
      </c>
      <c r="I33" t="s">
        <v>433</v>
      </c>
      <c r="J33" t="s">
        <v>2036</v>
      </c>
      <c r="K33" t="s">
        <v>2036</v>
      </c>
      <c r="L33" t="s">
        <v>2036</v>
      </c>
      <c r="M33" t="s">
        <v>2054</v>
      </c>
      <c r="N33" t="s">
        <v>2117</v>
      </c>
      <c r="O33" t="s">
        <v>2036</v>
      </c>
      <c r="P33" t="s">
        <v>2036</v>
      </c>
      <c r="Q33" t="s">
        <v>2039</v>
      </c>
      <c r="R33" t="s">
        <v>2134</v>
      </c>
    </row>
    <row r="34" spans="2:19">
      <c r="B34" t="s">
        <v>466</v>
      </c>
      <c r="C34" t="s">
        <v>2128</v>
      </c>
      <c r="D34" t="s">
        <v>275</v>
      </c>
      <c r="E34" t="s">
        <v>467</v>
      </c>
      <c r="F34" t="s">
        <v>2135</v>
      </c>
      <c r="G34">
        <v>3</v>
      </c>
      <c r="H34" t="s">
        <v>2136</v>
      </c>
      <c r="I34" t="s">
        <v>433</v>
      </c>
      <c r="J34" t="s">
        <v>2036</v>
      </c>
      <c r="K34" t="s">
        <v>2036</v>
      </c>
      <c r="L34" t="s">
        <v>2036</v>
      </c>
      <c r="M34" t="s">
        <v>2054</v>
      </c>
      <c r="N34" t="s">
        <v>2117</v>
      </c>
      <c r="O34" t="s">
        <v>2036</v>
      </c>
      <c r="P34" t="s">
        <v>2036</v>
      </c>
      <c r="Q34" t="s">
        <v>2039</v>
      </c>
    </row>
    <row r="35" spans="2:19">
      <c r="B35" t="s">
        <v>466</v>
      </c>
      <c r="C35" t="s">
        <v>2128</v>
      </c>
      <c r="D35" t="s">
        <v>927</v>
      </c>
      <c r="E35" t="s">
        <v>2137</v>
      </c>
      <c r="F35" t="s">
        <v>2100</v>
      </c>
      <c r="G35">
        <v>6</v>
      </c>
      <c r="H35" t="s">
        <v>2138</v>
      </c>
      <c r="I35" t="s">
        <v>433</v>
      </c>
      <c r="J35" t="s">
        <v>2036</v>
      </c>
      <c r="K35" t="s">
        <v>2036</v>
      </c>
      <c r="L35" t="s">
        <v>2036</v>
      </c>
      <c r="M35" t="s">
        <v>2054</v>
      </c>
      <c r="N35" t="s">
        <v>2117</v>
      </c>
      <c r="O35" t="s">
        <v>2036</v>
      </c>
      <c r="P35" t="s">
        <v>2036</v>
      </c>
      <c r="Q35" t="s">
        <v>2039</v>
      </c>
    </row>
    <row r="36" spans="2:19">
      <c r="B36" t="s">
        <v>466</v>
      </c>
      <c r="C36" t="s">
        <v>2128</v>
      </c>
      <c r="D36" t="s">
        <v>927</v>
      </c>
      <c r="E36" t="s">
        <v>2139</v>
      </c>
      <c r="F36" t="s">
        <v>2100</v>
      </c>
      <c r="G36">
        <v>6</v>
      </c>
      <c r="H36" t="s">
        <v>2140</v>
      </c>
      <c r="I36" t="s">
        <v>516</v>
      </c>
      <c r="J36" t="s">
        <v>2036</v>
      </c>
      <c r="K36" t="s">
        <v>2036</v>
      </c>
      <c r="L36" t="s">
        <v>2036</v>
      </c>
      <c r="M36" t="s">
        <v>2064</v>
      </c>
      <c r="N36">
        <v>2020</v>
      </c>
      <c r="O36" t="s">
        <v>2039</v>
      </c>
      <c r="P36" t="s">
        <v>2036</v>
      </c>
      <c r="Q36" t="s">
        <v>2039</v>
      </c>
    </row>
    <row r="37" spans="2:19">
      <c r="B37" t="s">
        <v>579</v>
      </c>
      <c r="C37" t="s">
        <v>2128</v>
      </c>
      <c r="D37" t="s">
        <v>128</v>
      </c>
      <c r="E37" t="s">
        <v>2141</v>
      </c>
      <c r="F37" t="s">
        <v>2100</v>
      </c>
      <c r="G37">
        <v>6</v>
      </c>
      <c r="H37" t="s">
        <v>2142</v>
      </c>
      <c r="I37" t="s">
        <v>516</v>
      </c>
      <c r="J37" t="s">
        <v>2036</v>
      </c>
      <c r="K37" t="s">
        <v>2036</v>
      </c>
      <c r="L37" t="s">
        <v>2036</v>
      </c>
      <c r="M37" t="s">
        <v>2064</v>
      </c>
      <c r="N37">
        <v>2020</v>
      </c>
      <c r="O37" t="s">
        <v>2039</v>
      </c>
      <c r="P37" t="s">
        <v>2036</v>
      </c>
      <c r="Q37" t="s">
        <v>2039</v>
      </c>
      <c r="R37" t="s">
        <v>2143</v>
      </c>
      <c r="S37" t="s">
        <v>2144</v>
      </c>
    </row>
    <row r="38" spans="2:19">
      <c r="B38" t="s">
        <v>598</v>
      </c>
      <c r="C38" t="s">
        <v>2128</v>
      </c>
      <c r="D38" t="s">
        <v>59</v>
      </c>
      <c r="E38" t="s">
        <v>2145</v>
      </c>
      <c r="F38" t="s">
        <v>2146</v>
      </c>
      <c r="G38">
        <v>7</v>
      </c>
      <c r="H38" t="s">
        <v>1708</v>
      </c>
      <c r="I38" t="s">
        <v>433</v>
      </c>
      <c r="J38" t="s">
        <v>2036</v>
      </c>
      <c r="K38" t="s">
        <v>2039</v>
      </c>
      <c r="L38" t="s">
        <v>2147</v>
      </c>
      <c r="M38" t="s">
        <v>2054</v>
      </c>
      <c r="N38" t="s">
        <v>417</v>
      </c>
      <c r="O38" t="s">
        <v>2036</v>
      </c>
      <c r="P38" t="s">
        <v>2036</v>
      </c>
      <c r="Q38" t="s">
        <v>2039</v>
      </c>
      <c r="R38" t="s">
        <v>2148</v>
      </c>
    </row>
    <row r="39" spans="2:19">
      <c r="B39" t="s">
        <v>625</v>
      </c>
      <c r="C39" t="s">
        <v>2128</v>
      </c>
      <c r="D39" t="s">
        <v>927</v>
      </c>
      <c r="F39" t="s">
        <v>2100</v>
      </c>
      <c r="G39">
        <v>6</v>
      </c>
      <c r="H39" t="s">
        <v>2149</v>
      </c>
      <c r="I39" t="s">
        <v>516</v>
      </c>
      <c r="J39" t="s">
        <v>2036</v>
      </c>
      <c r="K39" t="s">
        <v>2039</v>
      </c>
      <c r="L39" t="s">
        <v>648</v>
      </c>
      <c r="M39" t="s">
        <v>2064</v>
      </c>
      <c r="N39">
        <v>2020</v>
      </c>
      <c r="O39" t="s">
        <v>2036</v>
      </c>
      <c r="P39" t="s">
        <v>2036</v>
      </c>
      <c r="Q39" t="s">
        <v>2039</v>
      </c>
      <c r="R39" t="s">
        <v>2150</v>
      </c>
      <c r="S39" t="s">
        <v>2151</v>
      </c>
    </row>
    <row r="40" spans="2:19">
      <c r="B40" t="s">
        <v>660</v>
      </c>
      <c r="G40">
        <v>0</v>
      </c>
      <c r="S40" t="s">
        <v>2152</v>
      </c>
    </row>
    <row r="41" spans="2:19">
      <c r="B41" t="s">
        <v>685</v>
      </c>
      <c r="G41">
        <v>0</v>
      </c>
      <c r="R41" t="s">
        <v>2153</v>
      </c>
      <c r="S41" t="s">
        <v>2154</v>
      </c>
    </row>
    <row r="42" spans="2:19">
      <c r="B42" t="s">
        <v>693</v>
      </c>
      <c r="C42" t="s">
        <v>2128</v>
      </c>
      <c r="D42" t="s">
        <v>2155</v>
      </c>
      <c r="E42" t="s">
        <v>2156</v>
      </c>
      <c r="F42" t="s">
        <v>2157</v>
      </c>
      <c r="G42">
        <v>7</v>
      </c>
      <c r="H42" t="s">
        <v>2158</v>
      </c>
      <c r="I42" t="s">
        <v>516</v>
      </c>
      <c r="J42" t="s">
        <v>2036</v>
      </c>
      <c r="K42" t="s">
        <v>2036</v>
      </c>
      <c r="L42" t="s">
        <v>2036</v>
      </c>
      <c r="M42" t="s">
        <v>2038</v>
      </c>
      <c r="N42" t="s">
        <v>2038</v>
      </c>
      <c r="O42" t="s">
        <v>2036</v>
      </c>
      <c r="P42" t="s">
        <v>2036</v>
      </c>
      <c r="Q42" t="s">
        <v>2036</v>
      </c>
      <c r="R42" t="s">
        <v>2159</v>
      </c>
    </row>
    <row r="43" spans="2:19">
      <c r="B43" t="s">
        <v>729</v>
      </c>
      <c r="C43" t="s">
        <v>2160</v>
      </c>
      <c r="D43" t="s">
        <v>2161</v>
      </c>
      <c r="E43" t="s">
        <v>2162</v>
      </c>
      <c r="F43" t="s">
        <v>2163</v>
      </c>
      <c r="G43">
        <v>24</v>
      </c>
      <c r="H43" t="s">
        <v>2164</v>
      </c>
      <c r="I43" t="s">
        <v>433</v>
      </c>
      <c r="J43" t="s">
        <v>2036</v>
      </c>
      <c r="K43" t="s">
        <v>2036</v>
      </c>
      <c r="L43" t="s">
        <v>2036</v>
      </c>
      <c r="M43" t="s">
        <v>2054</v>
      </c>
      <c r="N43" t="s">
        <v>417</v>
      </c>
      <c r="O43" t="s">
        <v>2039</v>
      </c>
      <c r="P43" t="s">
        <v>2036</v>
      </c>
      <c r="Q43" t="s">
        <v>2039</v>
      </c>
      <c r="R43" t="s">
        <v>2165</v>
      </c>
    </row>
    <row r="44" spans="2:19">
      <c r="B44" t="s">
        <v>729</v>
      </c>
      <c r="C44" t="s">
        <v>2166</v>
      </c>
      <c r="D44" t="s">
        <v>927</v>
      </c>
      <c r="E44" t="s">
        <v>2167</v>
      </c>
      <c r="F44" t="s">
        <v>2168</v>
      </c>
      <c r="G44">
        <v>12</v>
      </c>
      <c r="H44" t="s">
        <v>2169</v>
      </c>
      <c r="I44" t="s">
        <v>433</v>
      </c>
      <c r="J44" t="s">
        <v>2036</v>
      </c>
      <c r="K44" t="s">
        <v>2036</v>
      </c>
      <c r="L44" t="s">
        <v>2036</v>
      </c>
      <c r="M44" t="s">
        <v>2054</v>
      </c>
      <c r="N44" t="s">
        <v>417</v>
      </c>
      <c r="O44" t="s">
        <v>2039</v>
      </c>
      <c r="P44" t="s">
        <v>2036</v>
      </c>
      <c r="Q44" t="s">
        <v>2039</v>
      </c>
    </row>
    <row r="45" spans="2:19">
      <c r="B45" t="s">
        <v>729</v>
      </c>
      <c r="C45" t="s">
        <v>2170</v>
      </c>
      <c r="D45" t="s">
        <v>927</v>
      </c>
      <c r="E45" t="s">
        <v>2171</v>
      </c>
      <c r="F45" t="s">
        <v>2172</v>
      </c>
      <c r="G45">
        <v>28</v>
      </c>
      <c r="H45" t="s">
        <v>2169</v>
      </c>
      <c r="I45" t="s">
        <v>433</v>
      </c>
      <c r="J45" t="s">
        <v>2036</v>
      </c>
      <c r="K45" t="s">
        <v>2036</v>
      </c>
      <c r="L45" t="s">
        <v>2036</v>
      </c>
      <c r="M45" t="s">
        <v>2054</v>
      </c>
      <c r="N45" t="s">
        <v>417</v>
      </c>
      <c r="O45" t="s">
        <v>2039</v>
      </c>
      <c r="P45" t="s">
        <v>2036</v>
      </c>
      <c r="Q45" t="s">
        <v>2039</v>
      </c>
    </row>
    <row r="46" spans="2:19">
      <c r="B46" t="s">
        <v>729</v>
      </c>
      <c r="C46" t="s">
        <v>2173</v>
      </c>
      <c r="D46" t="s">
        <v>927</v>
      </c>
      <c r="E46" t="s">
        <v>2174</v>
      </c>
      <c r="F46" t="s">
        <v>2100</v>
      </c>
      <c r="G46">
        <v>6</v>
      </c>
      <c r="H46" t="s">
        <v>2169</v>
      </c>
      <c r="I46" t="s">
        <v>516</v>
      </c>
      <c r="J46" t="s">
        <v>2036</v>
      </c>
      <c r="K46" t="s">
        <v>2036</v>
      </c>
      <c r="L46" t="s">
        <v>2036</v>
      </c>
      <c r="M46" t="s">
        <v>2064</v>
      </c>
      <c r="N46">
        <v>2010</v>
      </c>
      <c r="O46" t="s">
        <v>2039</v>
      </c>
      <c r="P46" t="s">
        <v>2036</v>
      </c>
      <c r="Q46" t="s">
        <v>2039</v>
      </c>
    </row>
    <row r="47" spans="2:19">
      <c r="B47" t="s">
        <v>729</v>
      </c>
      <c r="C47" t="s">
        <v>2047</v>
      </c>
      <c r="D47" t="s">
        <v>927</v>
      </c>
      <c r="E47" t="s">
        <v>2175</v>
      </c>
      <c r="F47" t="s">
        <v>2100</v>
      </c>
      <c r="G47">
        <v>6</v>
      </c>
      <c r="H47" t="s">
        <v>2176</v>
      </c>
      <c r="I47" t="s">
        <v>516</v>
      </c>
      <c r="J47" t="s">
        <v>2036</v>
      </c>
      <c r="K47" t="s">
        <v>2036</v>
      </c>
      <c r="L47" t="s">
        <v>2036</v>
      </c>
      <c r="M47" t="s">
        <v>2064</v>
      </c>
      <c r="N47">
        <v>2020</v>
      </c>
      <c r="O47" t="s">
        <v>2039</v>
      </c>
      <c r="P47" t="s">
        <v>2036</v>
      </c>
      <c r="Q47" t="s">
        <v>2039</v>
      </c>
    </row>
    <row r="48" spans="2:19">
      <c r="B48" t="s">
        <v>756</v>
      </c>
      <c r="C48" t="s">
        <v>2177</v>
      </c>
      <c r="D48" t="s">
        <v>927</v>
      </c>
      <c r="E48" t="s">
        <v>2178</v>
      </c>
      <c r="F48" t="s">
        <v>2179</v>
      </c>
      <c r="G48">
        <v>35</v>
      </c>
      <c r="H48" t="s">
        <v>2180</v>
      </c>
      <c r="I48" t="s">
        <v>433</v>
      </c>
      <c r="J48" t="s">
        <v>2036</v>
      </c>
      <c r="K48" t="s">
        <v>2036</v>
      </c>
      <c r="L48" t="s">
        <v>2036</v>
      </c>
      <c r="M48" t="s">
        <v>2064</v>
      </c>
      <c r="N48">
        <v>2021</v>
      </c>
      <c r="O48" t="s">
        <v>2036</v>
      </c>
      <c r="P48" t="s">
        <v>2036</v>
      </c>
      <c r="Q48" t="s">
        <v>2039</v>
      </c>
      <c r="R48" t="s">
        <v>2181</v>
      </c>
    </row>
    <row r="49" spans="2:19">
      <c r="B49" t="s">
        <v>756</v>
      </c>
      <c r="C49" t="s">
        <v>2177</v>
      </c>
      <c r="D49" t="s">
        <v>927</v>
      </c>
      <c r="E49" t="s">
        <v>2182</v>
      </c>
      <c r="F49" t="s">
        <v>2179</v>
      </c>
      <c r="G49">
        <v>35</v>
      </c>
      <c r="H49" t="s">
        <v>2180</v>
      </c>
      <c r="I49" t="s">
        <v>516</v>
      </c>
      <c r="J49" t="s">
        <v>2036</v>
      </c>
      <c r="K49" t="s">
        <v>2036</v>
      </c>
      <c r="L49" t="s">
        <v>2036</v>
      </c>
      <c r="M49" t="s">
        <v>2064</v>
      </c>
      <c r="N49" t="s">
        <v>2183</v>
      </c>
      <c r="O49" t="s">
        <v>2039</v>
      </c>
      <c r="P49" t="s">
        <v>2036</v>
      </c>
      <c r="Q49" t="s">
        <v>2039</v>
      </c>
    </row>
    <row r="50" spans="2:19">
      <c r="B50" t="s">
        <v>756</v>
      </c>
      <c r="C50" t="s">
        <v>2184</v>
      </c>
      <c r="D50" t="s">
        <v>927</v>
      </c>
      <c r="E50" t="s">
        <v>2185</v>
      </c>
      <c r="F50" t="s">
        <v>2186</v>
      </c>
      <c r="G50">
        <v>9</v>
      </c>
      <c r="H50" t="s">
        <v>2187</v>
      </c>
      <c r="I50" t="s">
        <v>516</v>
      </c>
      <c r="J50" t="s">
        <v>2036</v>
      </c>
      <c r="K50" t="s">
        <v>2036</v>
      </c>
      <c r="L50" t="s">
        <v>2036</v>
      </c>
      <c r="M50" t="s">
        <v>2064</v>
      </c>
      <c r="N50">
        <v>2010</v>
      </c>
      <c r="O50" t="s">
        <v>2039</v>
      </c>
      <c r="P50" t="s">
        <v>2036</v>
      </c>
      <c r="Q50" t="s">
        <v>2039</v>
      </c>
    </row>
    <row r="51" spans="2:19">
      <c r="B51" t="s">
        <v>756</v>
      </c>
      <c r="C51" t="s">
        <v>2041</v>
      </c>
      <c r="D51" t="s">
        <v>927</v>
      </c>
      <c r="E51" t="s">
        <v>2188</v>
      </c>
      <c r="F51" t="s">
        <v>2189</v>
      </c>
      <c r="G51">
        <v>7</v>
      </c>
      <c r="H51" t="s">
        <v>1763</v>
      </c>
      <c r="I51" t="s">
        <v>516</v>
      </c>
      <c r="J51" t="s">
        <v>2036</v>
      </c>
      <c r="K51" t="s">
        <v>2036</v>
      </c>
      <c r="L51" t="s">
        <v>2036</v>
      </c>
      <c r="M51" t="s">
        <v>2064</v>
      </c>
      <c r="N51">
        <v>2020</v>
      </c>
      <c r="O51" t="s">
        <v>2039</v>
      </c>
      <c r="P51" t="s">
        <v>2036</v>
      </c>
      <c r="Q51" t="s">
        <v>2039</v>
      </c>
    </row>
    <row r="52" spans="2:19">
      <c r="B52" t="s">
        <v>756</v>
      </c>
      <c r="C52" t="s">
        <v>2047</v>
      </c>
      <c r="D52" t="s">
        <v>927</v>
      </c>
      <c r="E52" t="s">
        <v>2190</v>
      </c>
      <c r="F52" t="s">
        <v>2191</v>
      </c>
      <c r="G52">
        <v>8</v>
      </c>
      <c r="H52" t="s">
        <v>1763</v>
      </c>
      <c r="I52" t="s">
        <v>516</v>
      </c>
      <c r="J52" t="s">
        <v>2036</v>
      </c>
      <c r="K52" t="s">
        <v>2036</v>
      </c>
      <c r="L52" t="s">
        <v>2036</v>
      </c>
      <c r="M52" t="s">
        <v>2064</v>
      </c>
      <c r="N52">
        <v>2020</v>
      </c>
      <c r="O52" t="s">
        <v>2039</v>
      </c>
      <c r="P52" t="s">
        <v>2036</v>
      </c>
      <c r="Q52" t="s">
        <v>2039</v>
      </c>
    </row>
    <row r="53" spans="2:19">
      <c r="B53" t="s">
        <v>780</v>
      </c>
      <c r="C53" t="s">
        <v>2047</v>
      </c>
      <c r="D53" t="s">
        <v>59</v>
      </c>
      <c r="E53" t="s">
        <v>2192</v>
      </c>
      <c r="F53" t="s">
        <v>2193</v>
      </c>
      <c r="G53">
        <v>8</v>
      </c>
      <c r="H53" t="s">
        <v>2194</v>
      </c>
      <c r="I53" t="s">
        <v>516</v>
      </c>
      <c r="J53" t="s">
        <v>2036</v>
      </c>
      <c r="K53" t="s">
        <v>2036</v>
      </c>
      <c r="L53" t="s">
        <v>2036</v>
      </c>
      <c r="M53" t="s">
        <v>2064</v>
      </c>
      <c r="N53" t="s">
        <v>2183</v>
      </c>
      <c r="O53" t="s">
        <v>2039</v>
      </c>
      <c r="P53" t="s">
        <v>2036</v>
      </c>
      <c r="Q53" t="s">
        <v>2039</v>
      </c>
      <c r="R53" t="s">
        <v>2195</v>
      </c>
      <c r="S53" t="s">
        <v>2196</v>
      </c>
    </row>
    <row r="54" spans="2:19">
      <c r="B54" t="s">
        <v>800</v>
      </c>
      <c r="C54" t="s">
        <v>2041</v>
      </c>
      <c r="D54" s="38" t="s">
        <v>59</v>
      </c>
      <c r="E54" t="s">
        <v>2197</v>
      </c>
      <c r="F54" t="s">
        <v>2198</v>
      </c>
      <c r="G54" t="s">
        <v>2038</v>
      </c>
      <c r="H54" t="s">
        <v>2199</v>
      </c>
      <c r="I54" t="s">
        <v>516</v>
      </c>
      <c r="J54" t="s">
        <v>2036</v>
      </c>
      <c r="K54" t="s">
        <v>2039</v>
      </c>
      <c r="L54" t="s">
        <v>2200</v>
      </c>
      <c r="M54" t="s">
        <v>2064</v>
      </c>
      <c r="N54">
        <v>2020</v>
      </c>
      <c r="O54" t="s">
        <v>2036</v>
      </c>
      <c r="P54" t="s">
        <v>2036</v>
      </c>
      <c r="Q54" t="s">
        <v>2039</v>
      </c>
      <c r="R54" t="s">
        <v>2201</v>
      </c>
    </row>
    <row r="55" spans="2:19">
      <c r="B55" t="s">
        <v>800</v>
      </c>
      <c r="C55" t="s">
        <v>2202</v>
      </c>
      <c r="D55" t="s">
        <v>59</v>
      </c>
      <c r="E55" s="47" t="s">
        <v>2203</v>
      </c>
      <c r="F55" t="s">
        <v>2198</v>
      </c>
      <c r="G55" t="s">
        <v>2038</v>
      </c>
      <c r="H55" t="s">
        <v>2199</v>
      </c>
      <c r="I55" t="s">
        <v>516</v>
      </c>
      <c r="J55" t="s">
        <v>2036</v>
      </c>
      <c r="K55" t="s">
        <v>2039</v>
      </c>
      <c r="L55" t="s">
        <v>2204</v>
      </c>
      <c r="M55" t="s">
        <v>2064</v>
      </c>
      <c r="N55">
        <v>2020</v>
      </c>
      <c r="O55" t="s">
        <v>2036</v>
      </c>
      <c r="P55" t="s">
        <v>2036</v>
      </c>
      <c r="Q55" t="s">
        <v>2039</v>
      </c>
    </row>
    <row r="56" spans="2:19">
      <c r="B56" t="s">
        <v>809</v>
      </c>
      <c r="C56" t="s">
        <v>2128</v>
      </c>
      <c r="D56" t="s">
        <v>59</v>
      </c>
      <c r="E56" t="s">
        <v>2145</v>
      </c>
      <c r="F56" t="s">
        <v>2146</v>
      </c>
      <c r="G56">
        <v>7</v>
      </c>
      <c r="H56" t="s">
        <v>1702</v>
      </c>
      <c r="I56" t="s">
        <v>433</v>
      </c>
      <c r="J56" t="s">
        <v>2036</v>
      </c>
      <c r="K56" t="s">
        <v>2039</v>
      </c>
      <c r="L56" t="s">
        <v>2205</v>
      </c>
      <c r="M56" t="s">
        <v>2054</v>
      </c>
      <c r="N56" t="s">
        <v>2117</v>
      </c>
      <c r="O56" t="s">
        <v>2036</v>
      </c>
      <c r="P56" t="s">
        <v>2036</v>
      </c>
      <c r="Q56" t="s">
        <v>2039</v>
      </c>
      <c r="R56" t="s">
        <v>2206</v>
      </c>
      <c r="S56" t="s">
        <v>2207</v>
      </c>
    </row>
    <row r="57" spans="2:19">
      <c r="B57" t="s">
        <v>809</v>
      </c>
      <c r="C57" t="s">
        <v>2047</v>
      </c>
      <c r="D57" t="s">
        <v>59</v>
      </c>
      <c r="E57" t="s">
        <v>814</v>
      </c>
      <c r="F57" t="s">
        <v>2208</v>
      </c>
      <c r="G57">
        <v>17</v>
      </c>
      <c r="H57" t="s">
        <v>1763</v>
      </c>
      <c r="I57" t="s">
        <v>516</v>
      </c>
      <c r="J57" t="s">
        <v>2036</v>
      </c>
      <c r="K57" t="s">
        <v>2036</v>
      </c>
      <c r="L57" t="s">
        <v>2036</v>
      </c>
      <c r="M57" t="s">
        <v>2064</v>
      </c>
      <c r="N57" t="s">
        <v>112</v>
      </c>
      <c r="O57" t="s">
        <v>2039</v>
      </c>
      <c r="P57" t="s">
        <v>2036</v>
      </c>
      <c r="Q57" t="s">
        <v>2039</v>
      </c>
    </row>
    <row r="58" spans="2:19">
      <c r="B58" t="s">
        <v>809</v>
      </c>
      <c r="C58" t="s">
        <v>2047</v>
      </c>
      <c r="D58" t="s">
        <v>59</v>
      </c>
      <c r="E58" t="s">
        <v>816</v>
      </c>
      <c r="F58" t="s">
        <v>2208</v>
      </c>
      <c r="G58">
        <v>17</v>
      </c>
      <c r="H58" t="s">
        <v>2209</v>
      </c>
      <c r="I58" t="s">
        <v>516</v>
      </c>
      <c r="J58" t="s">
        <v>2036</v>
      </c>
      <c r="K58" t="s">
        <v>2036</v>
      </c>
      <c r="L58" t="s">
        <v>2036</v>
      </c>
      <c r="M58" t="s">
        <v>2064</v>
      </c>
      <c r="N58" t="s">
        <v>112</v>
      </c>
      <c r="O58" t="s">
        <v>2039</v>
      </c>
      <c r="P58" t="s">
        <v>2036</v>
      </c>
      <c r="Q58" t="s">
        <v>2039</v>
      </c>
    </row>
    <row r="59" spans="2:19">
      <c r="B59" t="s">
        <v>830</v>
      </c>
      <c r="C59" t="s">
        <v>7</v>
      </c>
      <c r="D59" t="s">
        <v>927</v>
      </c>
      <c r="E59" t="s">
        <v>2210</v>
      </c>
      <c r="F59" t="s">
        <v>2211</v>
      </c>
      <c r="G59">
        <v>27</v>
      </c>
      <c r="H59" t="s">
        <v>1702</v>
      </c>
      <c r="I59" t="s">
        <v>516</v>
      </c>
      <c r="J59" t="s">
        <v>2036</v>
      </c>
      <c r="K59" t="s">
        <v>2036</v>
      </c>
      <c r="L59" t="s">
        <v>2036</v>
      </c>
      <c r="M59" t="s">
        <v>2064</v>
      </c>
      <c r="N59">
        <v>2020</v>
      </c>
      <c r="O59" t="s">
        <v>2036</v>
      </c>
      <c r="P59" t="s">
        <v>2036</v>
      </c>
      <c r="Q59" t="s">
        <v>2039</v>
      </c>
      <c r="R59" t="s">
        <v>2212</v>
      </c>
    </row>
    <row r="60" spans="2:19" ht="15.95">
      <c r="B60" t="s">
        <v>830</v>
      </c>
      <c r="C60" s="50" t="s">
        <v>2213</v>
      </c>
      <c r="D60" t="s">
        <v>927</v>
      </c>
      <c r="E60" t="s">
        <v>2214</v>
      </c>
      <c r="F60" t="s">
        <v>2215</v>
      </c>
      <c r="G60">
        <v>8</v>
      </c>
      <c r="H60" t="s">
        <v>2216</v>
      </c>
      <c r="I60" t="s">
        <v>516</v>
      </c>
      <c r="J60" t="s">
        <v>2036</v>
      </c>
      <c r="K60" t="s">
        <v>2036</v>
      </c>
      <c r="L60" t="s">
        <v>2036</v>
      </c>
      <c r="M60" t="s">
        <v>2064</v>
      </c>
      <c r="N60">
        <v>2020</v>
      </c>
      <c r="O60" t="s">
        <v>2036</v>
      </c>
      <c r="P60" t="s">
        <v>2036</v>
      </c>
      <c r="Q60" t="s">
        <v>2039</v>
      </c>
    </row>
    <row r="61" spans="2:19">
      <c r="B61" t="s">
        <v>830</v>
      </c>
      <c r="C61" t="s">
        <v>2128</v>
      </c>
      <c r="D61" t="s">
        <v>927</v>
      </c>
      <c r="E61" t="s">
        <v>2217</v>
      </c>
      <c r="F61" t="s">
        <v>2218</v>
      </c>
      <c r="G61">
        <v>35</v>
      </c>
      <c r="H61" t="s">
        <v>2219</v>
      </c>
      <c r="I61" t="s">
        <v>433</v>
      </c>
      <c r="J61" t="s">
        <v>2036</v>
      </c>
      <c r="K61" t="s">
        <v>2036</v>
      </c>
      <c r="L61" t="s">
        <v>2036</v>
      </c>
      <c r="M61" t="s">
        <v>2054</v>
      </c>
      <c r="N61">
        <v>2021</v>
      </c>
      <c r="O61" t="s">
        <v>2039</v>
      </c>
      <c r="P61" t="s">
        <v>2036</v>
      </c>
      <c r="Q61" t="s">
        <v>2039</v>
      </c>
    </row>
    <row r="62" spans="2:19">
      <c r="B62" t="s">
        <v>843</v>
      </c>
      <c r="C62" t="s">
        <v>2128</v>
      </c>
      <c r="D62" t="s">
        <v>2051</v>
      </c>
      <c r="E62" s="60" t="s">
        <v>2220</v>
      </c>
      <c r="F62" s="61" t="s">
        <v>2221</v>
      </c>
      <c r="G62">
        <v>7</v>
      </c>
      <c r="H62" t="s">
        <v>1702</v>
      </c>
      <c r="I62" t="s">
        <v>516</v>
      </c>
      <c r="J62" t="s">
        <v>2036</v>
      </c>
      <c r="K62" t="s">
        <v>2039</v>
      </c>
      <c r="L62" t="s">
        <v>2222</v>
      </c>
      <c r="M62" t="s">
        <v>2064</v>
      </c>
      <c r="N62" t="s">
        <v>2223</v>
      </c>
      <c r="O62" t="s">
        <v>2039</v>
      </c>
      <c r="P62" t="s">
        <v>2036</v>
      </c>
      <c r="Q62" t="s">
        <v>2039</v>
      </c>
      <c r="R62" t="s">
        <v>2224</v>
      </c>
    </row>
    <row r="63" spans="2:19">
      <c r="B63" t="s">
        <v>843</v>
      </c>
      <c r="C63" t="s">
        <v>2047</v>
      </c>
      <c r="D63" t="s">
        <v>59</v>
      </c>
      <c r="E63" s="60" t="s">
        <v>2225</v>
      </c>
      <c r="F63" s="61" t="s">
        <v>2226</v>
      </c>
      <c r="G63">
        <v>8</v>
      </c>
      <c r="H63" t="s">
        <v>2227</v>
      </c>
      <c r="I63" t="s">
        <v>516</v>
      </c>
      <c r="J63" t="s">
        <v>2036</v>
      </c>
      <c r="K63" t="s">
        <v>2036</v>
      </c>
      <c r="L63" t="s">
        <v>2036</v>
      </c>
      <c r="M63" t="s">
        <v>2064</v>
      </c>
      <c r="N63" t="s">
        <v>2223</v>
      </c>
      <c r="O63" t="s">
        <v>2039</v>
      </c>
      <c r="P63" t="s">
        <v>2036</v>
      </c>
      <c r="Q63" t="s">
        <v>2039</v>
      </c>
    </row>
    <row r="64" spans="2:19">
      <c r="B64" t="s">
        <v>1238</v>
      </c>
      <c r="C64" t="s">
        <v>2047</v>
      </c>
      <c r="D64" t="s">
        <v>2042</v>
      </c>
      <c r="E64" s="60" t="s">
        <v>2228</v>
      </c>
      <c r="F64" s="60" t="s">
        <v>2229</v>
      </c>
      <c r="G64">
        <v>10</v>
      </c>
      <c r="H64" t="s">
        <v>2230</v>
      </c>
      <c r="I64" t="s">
        <v>516</v>
      </c>
      <c r="J64" t="s">
        <v>2036</v>
      </c>
      <c r="K64" t="s">
        <v>2036</v>
      </c>
      <c r="L64" t="s">
        <v>2036</v>
      </c>
      <c r="M64" t="s">
        <v>2064</v>
      </c>
      <c r="N64" t="s">
        <v>112</v>
      </c>
      <c r="O64" t="s">
        <v>2039</v>
      </c>
      <c r="P64" t="s">
        <v>2036</v>
      </c>
      <c r="Q64" t="s">
        <v>2039</v>
      </c>
      <c r="R64" t="s">
        <v>2231</v>
      </c>
    </row>
    <row r="65" spans="2:19">
      <c r="B65" t="s">
        <v>1238</v>
      </c>
      <c r="C65" t="s">
        <v>2047</v>
      </c>
      <c r="D65" t="s">
        <v>275</v>
      </c>
      <c r="E65" s="60" t="s">
        <v>2232</v>
      </c>
      <c r="F65" s="60" t="s">
        <v>2226</v>
      </c>
      <c r="G65">
        <v>8</v>
      </c>
      <c r="H65" t="s">
        <v>2230</v>
      </c>
      <c r="I65" t="s">
        <v>516</v>
      </c>
      <c r="J65" t="s">
        <v>2036</v>
      </c>
      <c r="K65" t="s">
        <v>2036</v>
      </c>
      <c r="L65" t="s">
        <v>2036</v>
      </c>
      <c r="M65" t="s">
        <v>2064</v>
      </c>
      <c r="N65" t="s">
        <v>112</v>
      </c>
      <c r="O65" t="s">
        <v>2039</v>
      </c>
      <c r="P65" t="s">
        <v>2036</v>
      </c>
      <c r="Q65" t="s">
        <v>2039</v>
      </c>
    </row>
    <row r="66" spans="2:19">
      <c r="B66" t="s">
        <v>1238</v>
      </c>
      <c r="C66" t="s">
        <v>2047</v>
      </c>
      <c r="D66" t="s">
        <v>927</v>
      </c>
      <c r="E66" s="60" t="s">
        <v>2233</v>
      </c>
      <c r="F66" s="60" t="s">
        <v>2229</v>
      </c>
      <c r="G66">
        <v>10</v>
      </c>
      <c r="H66" t="s">
        <v>2230</v>
      </c>
      <c r="I66" t="s">
        <v>516</v>
      </c>
      <c r="J66" t="s">
        <v>2036</v>
      </c>
      <c r="K66" t="s">
        <v>2036</v>
      </c>
      <c r="L66" t="s">
        <v>2036</v>
      </c>
      <c r="M66" t="s">
        <v>2064</v>
      </c>
      <c r="N66" t="s">
        <v>112</v>
      </c>
      <c r="O66" t="s">
        <v>2039</v>
      </c>
      <c r="P66" t="s">
        <v>2036</v>
      </c>
      <c r="Q66" t="s">
        <v>2039</v>
      </c>
    </row>
    <row r="67" spans="2:19">
      <c r="B67" t="s">
        <v>1238</v>
      </c>
      <c r="C67" t="s">
        <v>2234</v>
      </c>
      <c r="D67" t="s">
        <v>59</v>
      </c>
      <c r="E67" s="60" t="s">
        <v>2235</v>
      </c>
      <c r="F67" s="59" t="s">
        <v>2236</v>
      </c>
      <c r="G67">
        <v>66</v>
      </c>
      <c r="H67" t="s">
        <v>1702</v>
      </c>
      <c r="I67" t="s">
        <v>2237</v>
      </c>
      <c r="J67" t="s">
        <v>2036</v>
      </c>
      <c r="K67" t="s">
        <v>2039</v>
      </c>
      <c r="L67" s="74" t="s">
        <v>2238</v>
      </c>
      <c r="M67" t="s">
        <v>2054</v>
      </c>
      <c r="N67" t="s">
        <v>2239</v>
      </c>
      <c r="O67" t="s">
        <v>2039</v>
      </c>
      <c r="P67" t="s">
        <v>2036</v>
      </c>
      <c r="Q67" t="s">
        <v>2039</v>
      </c>
    </row>
    <row r="68" spans="2:19">
      <c r="B68" t="s">
        <v>1238</v>
      </c>
      <c r="C68" t="s">
        <v>2234</v>
      </c>
      <c r="D68" t="s">
        <v>59</v>
      </c>
      <c r="E68" s="60" t="s">
        <v>2240</v>
      </c>
      <c r="F68" s="60" t="s">
        <v>2241</v>
      </c>
      <c r="G68">
        <v>66</v>
      </c>
      <c r="H68" t="s">
        <v>1763</v>
      </c>
      <c r="I68" t="s">
        <v>2237</v>
      </c>
      <c r="J68" t="s">
        <v>2036</v>
      </c>
      <c r="K68" t="s">
        <v>2039</v>
      </c>
      <c r="L68" t="s">
        <v>2242</v>
      </c>
      <c r="M68" t="s">
        <v>2054</v>
      </c>
      <c r="N68" t="s">
        <v>2239</v>
      </c>
      <c r="O68" t="s">
        <v>2039</v>
      </c>
      <c r="P68" t="s">
        <v>2036</v>
      </c>
      <c r="Q68" t="s">
        <v>2039</v>
      </c>
    </row>
    <row r="69" spans="2:19">
      <c r="B69" t="s">
        <v>866</v>
      </c>
      <c r="C69" t="s">
        <v>2234</v>
      </c>
      <c r="D69" t="s">
        <v>59</v>
      </c>
      <c r="E69" t="s">
        <v>2243</v>
      </c>
      <c r="F69" s="59" t="s">
        <v>2236</v>
      </c>
      <c r="G69">
        <v>66</v>
      </c>
      <c r="H69" t="s">
        <v>1702</v>
      </c>
      <c r="I69" t="s">
        <v>2237</v>
      </c>
      <c r="J69" t="s">
        <v>2036</v>
      </c>
      <c r="K69" t="s">
        <v>2039</v>
      </c>
      <c r="L69" t="s">
        <v>2244</v>
      </c>
      <c r="N69" t="s">
        <v>2245</v>
      </c>
      <c r="O69" t="s">
        <v>2039</v>
      </c>
      <c r="P69" t="s">
        <v>2036</v>
      </c>
      <c r="Q69" t="s">
        <v>2039</v>
      </c>
      <c r="R69" t="s">
        <v>2246</v>
      </c>
    </row>
    <row r="70" spans="2:19">
      <c r="B70" t="s">
        <v>866</v>
      </c>
      <c r="C70" t="s">
        <v>2234</v>
      </c>
      <c r="D70" t="s">
        <v>59</v>
      </c>
      <c r="E70" s="62" t="s">
        <v>2247</v>
      </c>
      <c r="F70" s="59" t="s">
        <v>2236</v>
      </c>
      <c r="G70">
        <v>66</v>
      </c>
      <c r="H70" t="s">
        <v>1763</v>
      </c>
      <c r="I70" t="s">
        <v>2237</v>
      </c>
      <c r="J70" t="s">
        <v>2036</v>
      </c>
      <c r="K70" t="s">
        <v>2039</v>
      </c>
      <c r="L70" t="s">
        <v>2248</v>
      </c>
      <c r="N70" t="s">
        <v>2245</v>
      </c>
      <c r="O70" t="s">
        <v>2039</v>
      </c>
      <c r="P70" t="s">
        <v>2036</v>
      </c>
      <c r="Q70" t="s">
        <v>2039</v>
      </c>
    </row>
    <row r="71" spans="2:19">
      <c r="B71" t="s">
        <v>879</v>
      </c>
      <c r="C71" t="s">
        <v>777</v>
      </c>
      <c r="D71" t="s">
        <v>927</v>
      </c>
      <c r="E71" t="s">
        <v>2249</v>
      </c>
      <c r="F71" t="s">
        <v>2250</v>
      </c>
      <c r="G71">
        <v>2</v>
      </c>
      <c r="H71" t="s">
        <v>1702</v>
      </c>
      <c r="I71" t="s">
        <v>2038</v>
      </c>
      <c r="J71" t="s">
        <v>2036</v>
      </c>
      <c r="K71" t="s">
        <v>2036</v>
      </c>
      <c r="L71" t="s">
        <v>2036</v>
      </c>
      <c r="M71" t="s">
        <v>2251</v>
      </c>
      <c r="N71" t="s">
        <v>2252</v>
      </c>
      <c r="O71" t="s">
        <v>2039</v>
      </c>
      <c r="P71" t="s">
        <v>2036</v>
      </c>
      <c r="Q71" t="s">
        <v>2039</v>
      </c>
      <c r="R71" t="s">
        <v>1577</v>
      </c>
      <c r="S71" t="s">
        <v>2253</v>
      </c>
    </row>
    <row r="72" spans="2:19">
      <c r="B72" t="s">
        <v>885</v>
      </c>
      <c r="C72" t="s">
        <v>2128</v>
      </c>
      <c r="D72" t="s">
        <v>927</v>
      </c>
      <c r="E72" t="s">
        <v>2254</v>
      </c>
      <c r="F72" t="s">
        <v>2255</v>
      </c>
      <c r="G72">
        <v>21</v>
      </c>
      <c r="H72" t="s">
        <v>2256</v>
      </c>
      <c r="J72" t="s">
        <v>2036</v>
      </c>
      <c r="K72" t="s">
        <v>2036</v>
      </c>
      <c r="L72" t="s">
        <v>2036</v>
      </c>
      <c r="M72" t="s">
        <v>2054</v>
      </c>
      <c r="N72">
        <v>2022</v>
      </c>
      <c r="O72" t="s">
        <v>2039</v>
      </c>
      <c r="P72" t="s">
        <v>2036</v>
      </c>
      <c r="Q72" t="s">
        <v>2039</v>
      </c>
    </row>
    <row r="73" spans="2:19">
      <c r="B73" t="s">
        <v>885</v>
      </c>
      <c r="C73" t="s">
        <v>2128</v>
      </c>
      <c r="D73" t="s">
        <v>927</v>
      </c>
      <c r="E73" t="s">
        <v>2257</v>
      </c>
      <c r="F73" t="s">
        <v>2258</v>
      </c>
      <c r="G73">
        <v>8</v>
      </c>
      <c r="H73" t="s">
        <v>1708</v>
      </c>
      <c r="I73" t="s">
        <v>2038</v>
      </c>
      <c r="J73" t="s">
        <v>2036</v>
      </c>
      <c r="K73" t="s">
        <v>2036</v>
      </c>
      <c r="L73" t="s">
        <v>2036</v>
      </c>
      <c r="M73" t="s">
        <v>2038</v>
      </c>
      <c r="N73">
        <v>2022</v>
      </c>
      <c r="O73" t="s">
        <v>2036</v>
      </c>
      <c r="P73" t="s">
        <v>2036</v>
      </c>
      <c r="Q73" t="s">
        <v>2039</v>
      </c>
    </row>
    <row r="74" spans="2:19">
      <c r="B74" t="s">
        <v>885</v>
      </c>
      <c r="C74" t="s">
        <v>2128</v>
      </c>
      <c r="D74" t="s">
        <v>927</v>
      </c>
      <c r="E74" t="s">
        <v>2259</v>
      </c>
      <c r="F74" t="s">
        <v>2260</v>
      </c>
      <c r="G74">
        <v>7</v>
      </c>
      <c r="H74" t="s">
        <v>1708</v>
      </c>
      <c r="I74" t="s">
        <v>516</v>
      </c>
      <c r="J74" t="s">
        <v>2036</v>
      </c>
      <c r="K74" t="s">
        <v>2036</v>
      </c>
      <c r="L74" t="s">
        <v>2036</v>
      </c>
      <c r="M74" t="s">
        <v>2064</v>
      </c>
      <c r="N74" t="s">
        <v>2261</v>
      </c>
      <c r="O74" t="s">
        <v>2039</v>
      </c>
      <c r="P74" t="s">
        <v>2036</v>
      </c>
      <c r="Q74" t="s">
        <v>2039</v>
      </c>
    </row>
    <row r="75" spans="2:19" ht="15" customHeight="1">
      <c r="B75" t="s">
        <v>1247</v>
      </c>
      <c r="C75" t="s">
        <v>2128</v>
      </c>
      <c r="D75" t="s">
        <v>128</v>
      </c>
      <c r="E75" t="s">
        <v>2262</v>
      </c>
      <c r="F75" s="1" t="s">
        <v>2263</v>
      </c>
      <c r="G75">
        <v>27</v>
      </c>
      <c r="H75" t="s">
        <v>2264</v>
      </c>
      <c r="I75" t="s">
        <v>516</v>
      </c>
      <c r="J75" t="s">
        <v>2036</v>
      </c>
      <c r="K75" t="s">
        <v>2036</v>
      </c>
      <c r="L75" t="s">
        <v>2036</v>
      </c>
      <c r="M75" t="s">
        <v>2064</v>
      </c>
      <c r="N75">
        <v>2010</v>
      </c>
      <c r="O75" t="s">
        <v>2036</v>
      </c>
      <c r="P75" t="s">
        <v>2036</v>
      </c>
      <c r="Q75" t="s">
        <v>2039</v>
      </c>
      <c r="R75" t="s">
        <v>2265</v>
      </c>
      <c r="S75" t="s">
        <v>2266</v>
      </c>
    </row>
    <row r="76" spans="2:19" ht="15" customHeight="1">
      <c r="B76" t="s">
        <v>1247</v>
      </c>
      <c r="C76" t="s">
        <v>2202</v>
      </c>
      <c r="D76" t="s">
        <v>927</v>
      </c>
      <c r="E76" t="s">
        <v>2267</v>
      </c>
      <c r="F76" t="s">
        <v>2268</v>
      </c>
      <c r="G76">
        <v>2</v>
      </c>
      <c r="H76" t="s">
        <v>1702</v>
      </c>
      <c r="I76" t="s">
        <v>516</v>
      </c>
      <c r="J76" t="s">
        <v>2036</v>
      </c>
      <c r="K76" t="s">
        <v>2036</v>
      </c>
      <c r="L76" t="s">
        <v>2036</v>
      </c>
      <c r="M76" t="s">
        <v>2064</v>
      </c>
      <c r="N76" t="s">
        <v>2269</v>
      </c>
      <c r="O76" t="s">
        <v>2039</v>
      </c>
      <c r="P76" t="s">
        <v>2036</v>
      </c>
      <c r="Q76" t="s">
        <v>2039</v>
      </c>
    </row>
    <row r="77" spans="2:19" ht="15" customHeight="1">
      <c r="B77" t="s">
        <v>1247</v>
      </c>
      <c r="C77" t="s">
        <v>2128</v>
      </c>
      <c r="D77" t="s">
        <v>128</v>
      </c>
      <c r="E77" t="s">
        <v>2270</v>
      </c>
      <c r="F77" s="1" t="s">
        <v>2263</v>
      </c>
      <c r="G77">
        <v>27</v>
      </c>
      <c r="H77" t="s">
        <v>2264</v>
      </c>
      <c r="I77" t="s">
        <v>516</v>
      </c>
      <c r="J77" t="s">
        <v>2036</v>
      </c>
      <c r="K77" t="s">
        <v>2036</v>
      </c>
      <c r="L77" t="s">
        <v>2036</v>
      </c>
      <c r="M77" t="s">
        <v>2064</v>
      </c>
      <c r="N77" t="s">
        <v>2269</v>
      </c>
      <c r="O77" t="s">
        <v>2039</v>
      </c>
      <c r="P77" t="s">
        <v>2036</v>
      </c>
      <c r="Q77" t="s">
        <v>2039</v>
      </c>
    </row>
    <row r="78" spans="2:19">
      <c r="B78" t="s">
        <v>912</v>
      </c>
      <c r="C78" t="s">
        <v>2128</v>
      </c>
      <c r="D78" t="s">
        <v>927</v>
      </c>
      <c r="E78" t="s">
        <v>2271</v>
      </c>
      <c r="F78" t="s">
        <v>2272</v>
      </c>
      <c r="G78">
        <v>51</v>
      </c>
      <c r="H78" t="s">
        <v>2273</v>
      </c>
      <c r="I78" t="s">
        <v>433</v>
      </c>
      <c r="J78" t="s">
        <v>2036</v>
      </c>
      <c r="K78" t="s">
        <v>2039</v>
      </c>
      <c r="L78" t="s">
        <v>2274</v>
      </c>
      <c r="M78" t="s">
        <v>2251</v>
      </c>
      <c r="N78" t="s">
        <v>417</v>
      </c>
      <c r="O78" t="s">
        <v>2039</v>
      </c>
      <c r="P78" t="s">
        <v>2036</v>
      </c>
      <c r="Q78" t="s">
        <v>2039</v>
      </c>
    </row>
    <row r="79" spans="2:19">
      <c r="B79" t="s">
        <v>912</v>
      </c>
      <c r="C79" t="s">
        <v>2128</v>
      </c>
      <c r="D79" t="s">
        <v>927</v>
      </c>
      <c r="E79" t="s">
        <v>2086</v>
      </c>
      <c r="F79" t="s">
        <v>2087</v>
      </c>
      <c r="G79">
        <v>30</v>
      </c>
      <c r="H79" t="s">
        <v>2264</v>
      </c>
      <c r="I79" t="s">
        <v>516</v>
      </c>
      <c r="J79" t="s">
        <v>2036</v>
      </c>
      <c r="K79" t="s">
        <v>2039</v>
      </c>
      <c r="L79" t="s">
        <v>2275</v>
      </c>
      <c r="M79" t="s">
        <v>2064</v>
      </c>
      <c r="N79">
        <v>2010</v>
      </c>
      <c r="O79" t="s">
        <v>2036</v>
      </c>
      <c r="P79" t="s">
        <v>2036</v>
      </c>
      <c r="Q79" t="s">
        <v>2039</v>
      </c>
    </row>
  </sheetData>
  <hyperlinks>
    <hyperlink ref="L67" r:id="rId1" xr:uid="{05FABA90-F2CD-46BB-AF3F-6A48701524A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E7A85-7B57-4A80-B464-7ED64F0CF564}">
  <dimension ref="A1:T79"/>
  <sheetViews>
    <sheetView topLeftCell="A47" workbookViewId="0">
      <selection activeCell="F49" sqref="F49:F50"/>
    </sheetView>
  </sheetViews>
  <sheetFormatPr defaultColWidth="8.85546875" defaultRowHeight="15"/>
  <cols>
    <col min="3" max="3" width="50.42578125" customWidth="1"/>
    <col min="4" max="4" width="20.28515625" customWidth="1"/>
    <col min="5" max="5" width="36.28515625" customWidth="1"/>
    <col min="6" max="6" width="40.28515625" customWidth="1"/>
    <col min="7" max="7" width="19.7109375" customWidth="1"/>
    <col min="8" max="8" width="21.140625" style="1" customWidth="1"/>
    <col min="9" max="9" width="21.140625" customWidth="1"/>
    <col min="10" max="10" width="20.42578125" customWidth="1"/>
  </cols>
  <sheetData>
    <row r="1" spans="1:20" s="1" customFormat="1" ht="80.099999999999994">
      <c r="A1" s="68" t="s">
        <v>1</v>
      </c>
      <c r="B1" s="68" t="s">
        <v>48</v>
      </c>
      <c r="C1" s="68" t="s">
        <v>49</v>
      </c>
      <c r="D1" s="68" t="s">
        <v>19</v>
      </c>
      <c r="E1" s="68" t="s">
        <v>21</v>
      </c>
      <c r="F1" s="68" t="s">
        <v>23</v>
      </c>
      <c r="G1" s="68" t="s">
        <v>2027</v>
      </c>
      <c r="H1" s="68" t="s">
        <v>25</v>
      </c>
      <c r="I1" s="68" t="s">
        <v>27</v>
      </c>
      <c r="J1" s="68" t="s">
        <v>29</v>
      </c>
      <c r="K1" s="68" t="s">
        <v>31</v>
      </c>
      <c r="L1" s="68" t="s">
        <v>33</v>
      </c>
      <c r="M1" s="68" t="s">
        <v>35</v>
      </c>
      <c r="N1" s="68" t="s">
        <v>2028</v>
      </c>
      <c r="O1" s="68" t="s">
        <v>37</v>
      </c>
      <c r="P1" s="68" t="s">
        <v>50</v>
      </c>
      <c r="Q1" s="68" t="s">
        <v>41</v>
      </c>
      <c r="R1" s="68" t="s">
        <v>44</v>
      </c>
      <c r="S1" s="68" t="s">
        <v>2029</v>
      </c>
      <c r="T1" s="68" t="s">
        <v>46</v>
      </c>
    </row>
    <row r="2" spans="1:20">
      <c r="B2" t="s">
        <v>143</v>
      </c>
      <c r="G2">
        <v>0</v>
      </c>
      <c r="S2" t="s">
        <v>2030</v>
      </c>
      <c r="T2" t="s">
        <v>2031</v>
      </c>
    </row>
    <row r="3" spans="1:20" ht="15.95">
      <c r="B3" t="s">
        <v>57</v>
      </c>
      <c r="C3" t="s">
        <v>2032</v>
      </c>
      <c r="D3" t="s">
        <v>275</v>
      </c>
      <c r="E3" t="s">
        <v>2033</v>
      </c>
      <c r="F3" t="s">
        <v>2034</v>
      </c>
      <c r="G3">
        <v>1</v>
      </c>
      <c r="H3" s="1" t="s">
        <v>2035</v>
      </c>
      <c r="J3" t="s">
        <v>2037</v>
      </c>
      <c r="K3" t="s">
        <v>2036</v>
      </c>
      <c r="L3" t="s">
        <v>2036</v>
      </c>
      <c r="M3" t="s">
        <v>2038</v>
      </c>
      <c r="N3">
        <v>2019</v>
      </c>
      <c r="O3">
        <v>2019</v>
      </c>
      <c r="P3" t="s">
        <v>2036</v>
      </c>
      <c r="Q3" t="s">
        <v>2036</v>
      </c>
      <c r="R3" t="s">
        <v>2039</v>
      </c>
      <c r="S3" t="s">
        <v>2040</v>
      </c>
    </row>
    <row r="4" spans="1:20" ht="15.95">
      <c r="B4" t="s">
        <v>57</v>
      </c>
      <c r="C4" t="s">
        <v>2041</v>
      </c>
      <c r="D4" t="s">
        <v>2042</v>
      </c>
      <c r="E4" t="s">
        <v>2043</v>
      </c>
      <c r="F4" t="s">
        <v>2044</v>
      </c>
      <c r="G4">
        <v>6</v>
      </c>
      <c r="H4" s="1" t="s">
        <v>1702</v>
      </c>
      <c r="J4" t="s">
        <v>2037</v>
      </c>
      <c r="K4" t="s">
        <v>2036</v>
      </c>
      <c r="L4" t="s">
        <v>2036</v>
      </c>
      <c r="M4" t="s">
        <v>2038</v>
      </c>
      <c r="N4">
        <v>2019</v>
      </c>
      <c r="O4">
        <v>2019</v>
      </c>
      <c r="P4" t="s">
        <v>2036</v>
      </c>
      <c r="Q4" t="s">
        <v>2036</v>
      </c>
      <c r="R4" t="s">
        <v>2039</v>
      </c>
    </row>
    <row r="5" spans="1:20" ht="15.95">
      <c r="B5" t="s">
        <v>57</v>
      </c>
      <c r="C5" t="s">
        <v>2045</v>
      </c>
      <c r="D5" t="s">
        <v>927</v>
      </c>
      <c r="E5" t="s">
        <v>2046</v>
      </c>
      <c r="G5">
        <v>2</v>
      </c>
      <c r="H5" s="1" t="s">
        <v>1702</v>
      </c>
      <c r="I5" t="s">
        <v>73</v>
      </c>
      <c r="J5" t="s">
        <v>2037</v>
      </c>
      <c r="K5" t="s">
        <v>2036</v>
      </c>
      <c r="L5" t="s">
        <v>2036</v>
      </c>
      <c r="M5" t="s">
        <v>2038</v>
      </c>
      <c r="N5">
        <v>2019</v>
      </c>
      <c r="O5">
        <v>2019</v>
      </c>
      <c r="P5" t="s">
        <v>2036</v>
      </c>
      <c r="Q5" t="s">
        <v>2036</v>
      </c>
      <c r="R5" t="s">
        <v>2039</v>
      </c>
    </row>
    <row r="6" spans="1:20" ht="15.95">
      <c r="B6" t="s">
        <v>57</v>
      </c>
      <c r="C6" t="s">
        <v>2047</v>
      </c>
      <c r="D6" t="s">
        <v>927</v>
      </c>
      <c r="E6" t="s">
        <v>2048</v>
      </c>
      <c r="F6" t="s">
        <v>2049</v>
      </c>
      <c r="G6">
        <v>12</v>
      </c>
      <c r="H6" s="1" t="s">
        <v>1702</v>
      </c>
      <c r="I6" t="s">
        <v>73</v>
      </c>
      <c r="J6" t="s">
        <v>2037</v>
      </c>
      <c r="K6" t="s">
        <v>2036</v>
      </c>
      <c r="L6" t="s">
        <v>2036</v>
      </c>
      <c r="M6" t="s">
        <v>2038</v>
      </c>
      <c r="N6" t="s">
        <v>676</v>
      </c>
      <c r="O6">
        <v>2019</v>
      </c>
      <c r="P6" t="s">
        <v>2039</v>
      </c>
      <c r="Q6" t="s">
        <v>2036</v>
      </c>
      <c r="R6" t="s">
        <v>2039</v>
      </c>
    </row>
    <row r="7" spans="1:20" ht="15.95">
      <c r="B7" t="s">
        <v>57</v>
      </c>
      <c r="C7" t="s">
        <v>2050</v>
      </c>
      <c r="D7" t="s">
        <v>2051</v>
      </c>
      <c r="E7" t="s">
        <v>2052</v>
      </c>
      <c r="F7" t="s">
        <v>2053</v>
      </c>
      <c r="G7">
        <v>6</v>
      </c>
      <c r="H7" s="1" t="s">
        <v>1702</v>
      </c>
      <c r="I7" t="s">
        <v>73</v>
      </c>
      <c r="J7" t="s">
        <v>2037</v>
      </c>
      <c r="K7" t="s">
        <v>2036</v>
      </c>
      <c r="L7" t="s">
        <v>2036</v>
      </c>
      <c r="M7" t="s">
        <v>2054</v>
      </c>
      <c r="N7">
        <v>2019</v>
      </c>
      <c r="O7">
        <v>2019</v>
      </c>
      <c r="P7" t="s">
        <v>2039</v>
      </c>
      <c r="Q7" t="s">
        <v>2036</v>
      </c>
      <c r="R7" t="s">
        <v>2039</v>
      </c>
      <c r="T7" t="s">
        <v>2055</v>
      </c>
    </row>
    <row r="8" spans="1:20" ht="15.95">
      <c r="B8" t="s">
        <v>57</v>
      </c>
      <c r="C8" t="s">
        <v>2056</v>
      </c>
      <c r="D8" t="s">
        <v>927</v>
      </c>
      <c r="E8" t="s">
        <v>2052</v>
      </c>
      <c r="F8" t="s">
        <v>2057</v>
      </c>
      <c r="G8">
        <v>3</v>
      </c>
      <c r="H8" s="1" t="s">
        <v>1702</v>
      </c>
      <c r="I8" t="s">
        <v>73</v>
      </c>
      <c r="J8" t="s">
        <v>2037</v>
      </c>
      <c r="K8" t="s">
        <v>2036</v>
      </c>
      <c r="L8" t="s">
        <v>2036</v>
      </c>
      <c r="M8" t="s">
        <v>2054</v>
      </c>
      <c r="N8">
        <v>2019</v>
      </c>
      <c r="O8">
        <v>2019</v>
      </c>
      <c r="P8" t="s">
        <v>2039</v>
      </c>
      <c r="Q8" t="s">
        <v>2036</v>
      </c>
      <c r="R8" t="s">
        <v>2039</v>
      </c>
      <c r="T8" t="s">
        <v>2055</v>
      </c>
    </row>
    <row r="9" spans="1:20" ht="32.1">
      <c r="B9" t="s">
        <v>57</v>
      </c>
      <c r="C9" t="s">
        <v>2047</v>
      </c>
      <c r="D9" t="s">
        <v>927</v>
      </c>
      <c r="E9" t="s">
        <v>2058</v>
      </c>
      <c r="F9" t="s">
        <v>2059</v>
      </c>
      <c r="G9">
        <v>7</v>
      </c>
      <c r="H9" s="1" t="s">
        <v>2060</v>
      </c>
      <c r="I9" t="s">
        <v>73</v>
      </c>
      <c r="J9" t="s">
        <v>2037</v>
      </c>
      <c r="K9" t="s">
        <v>2036</v>
      </c>
      <c r="L9" t="s">
        <v>2036</v>
      </c>
      <c r="M9" t="s">
        <v>2054</v>
      </c>
      <c r="N9">
        <v>2019</v>
      </c>
      <c r="O9">
        <v>2019</v>
      </c>
      <c r="P9" t="s">
        <v>2039</v>
      </c>
      <c r="Q9" t="s">
        <v>2036</v>
      </c>
      <c r="R9" t="s">
        <v>2039</v>
      </c>
      <c r="T9" t="s">
        <v>2055</v>
      </c>
    </row>
    <row r="10" spans="1:20" ht="32.1">
      <c r="B10" t="s">
        <v>170</v>
      </c>
      <c r="C10" t="s">
        <v>2047</v>
      </c>
      <c r="D10" t="s">
        <v>59</v>
      </c>
      <c r="E10" t="s">
        <v>2061</v>
      </c>
      <c r="F10" t="s">
        <v>2062</v>
      </c>
      <c r="G10">
        <v>8</v>
      </c>
      <c r="H10" s="1" t="s">
        <v>2276</v>
      </c>
      <c r="I10" t="s">
        <v>516</v>
      </c>
      <c r="K10" t="s">
        <v>2036</v>
      </c>
      <c r="L10" t="s">
        <v>2036</v>
      </c>
      <c r="M10" t="s">
        <v>2064</v>
      </c>
      <c r="N10">
        <v>2020</v>
      </c>
      <c r="O10">
        <v>2020</v>
      </c>
      <c r="P10" t="s">
        <v>2036</v>
      </c>
      <c r="Q10" t="s">
        <v>2036</v>
      </c>
      <c r="R10" t="s">
        <v>2039</v>
      </c>
      <c r="S10" t="s">
        <v>2065</v>
      </c>
      <c r="T10" t="s">
        <v>2066</v>
      </c>
    </row>
    <row r="11" spans="1:20" ht="32.1">
      <c r="B11" t="s">
        <v>170</v>
      </c>
      <c r="C11" t="s">
        <v>2067</v>
      </c>
      <c r="D11" t="s">
        <v>59</v>
      </c>
      <c r="E11" t="s">
        <v>2068</v>
      </c>
      <c r="F11" t="s">
        <v>2069</v>
      </c>
      <c r="G11">
        <v>8</v>
      </c>
      <c r="H11" s="1" t="s">
        <v>2276</v>
      </c>
      <c r="I11" t="s">
        <v>516</v>
      </c>
      <c r="K11" t="s">
        <v>2036</v>
      </c>
      <c r="L11" t="s">
        <v>2036</v>
      </c>
      <c r="M11" t="s">
        <v>2064</v>
      </c>
      <c r="N11">
        <v>2020</v>
      </c>
      <c r="O11">
        <v>2020</v>
      </c>
      <c r="P11" t="s">
        <v>2039</v>
      </c>
      <c r="Q11" t="s">
        <v>2036</v>
      </c>
      <c r="R11" t="s">
        <v>2039</v>
      </c>
    </row>
    <row r="12" spans="1:20" ht="15.95">
      <c r="B12" t="s">
        <v>170</v>
      </c>
      <c r="C12" t="s">
        <v>2070</v>
      </c>
      <c r="D12" t="s">
        <v>59</v>
      </c>
      <c r="E12" t="s">
        <v>2071</v>
      </c>
      <c r="F12" t="s">
        <v>2072</v>
      </c>
      <c r="G12">
        <v>2</v>
      </c>
      <c r="H12" s="1" t="s">
        <v>2073</v>
      </c>
      <c r="I12" t="s">
        <v>516</v>
      </c>
      <c r="K12" t="s">
        <v>2036</v>
      </c>
      <c r="L12" t="s">
        <v>2036</v>
      </c>
      <c r="M12" t="s">
        <v>2064</v>
      </c>
      <c r="N12">
        <v>2010</v>
      </c>
      <c r="O12">
        <v>2010</v>
      </c>
      <c r="P12" t="s">
        <v>2036</v>
      </c>
      <c r="Q12" t="s">
        <v>2036</v>
      </c>
      <c r="R12" t="s">
        <v>2039</v>
      </c>
    </row>
    <row r="13" spans="1:20" ht="15.95">
      <c r="B13" t="s">
        <v>185</v>
      </c>
      <c r="C13" t="s">
        <v>2074</v>
      </c>
      <c r="D13" t="s">
        <v>275</v>
      </c>
      <c r="E13" t="s">
        <v>2075</v>
      </c>
      <c r="F13" t="s">
        <v>2076</v>
      </c>
      <c r="G13">
        <v>3</v>
      </c>
      <c r="H13" s="1" t="s">
        <v>1763</v>
      </c>
      <c r="I13" t="s">
        <v>516</v>
      </c>
      <c r="K13" t="s">
        <v>2036</v>
      </c>
      <c r="L13" t="s">
        <v>2036</v>
      </c>
      <c r="M13" t="s">
        <v>2064</v>
      </c>
      <c r="N13">
        <v>2020</v>
      </c>
      <c r="O13">
        <v>2020</v>
      </c>
      <c r="P13" t="s">
        <v>2036</v>
      </c>
      <c r="Q13" t="s">
        <v>2036</v>
      </c>
      <c r="R13" t="s">
        <v>2039</v>
      </c>
      <c r="S13" t="s">
        <v>2077</v>
      </c>
    </row>
    <row r="14" spans="1:20" ht="15.95">
      <c r="B14" t="s">
        <v>185</v>
      </c>
      <c r="C14" t="s">
        <v>2074</v>
      </c>
      <c r="D14" t="s">
        <v>275</v>
      </c>
      <c r="E14" t="s">
        <v>2078</v>
      </c>
      <c r="F14" t="s">
        <v>2079</v>
      </c>
      <c r="G14">
        <v>3</v>
      </c>
      <c r="H14" s="1" t="s">
        <v>1763</v>
      </c>
      <c r="I14" t="s">
        <v>516</v>
      </c>
      <c r="K14" t="s">
        <v>2036</v>
      </c>
      <c r="L14" t="s">
        <v>2036</v>
      </c>
      <c r="M14" t="s">
        <v>2064</v>
      </c>
      <c r="N14">
        <v>2020</v>
      </c>
      <c r="O14">
        <v>2020</v>
      </c>
      <c r="P14" t="s">
        <v>2039</v>
      </c>
      <c r="Q14" t="s">
        <v>2036</v>
      </c>
      <c r="R14" t="s">
        <v>2039</v>
      </c>
    </row>
    <row r="15" spans="1:20" ht="15.95">
      <c r="B15" t="s">
        <v>185</v>
      </c>
      <c r="C15" t="s">
        <v>2080</v>
      </c>
      <c r="D15" t="s">
        <v>927</v>
      </c>
      <c r="E15" t="s">
        <v>2081</v>
      </c>
      <c r="F15" t="s">
        <v>2082</v>
      </c>
      <c r="G15">
        <v>7</v>
      </c>
      <c r="H15" s="1" t="s">
        <v>1702</v>
      </c>
      <c r="I15" t="s">
        <v>270</v>
      </c>
      <c r="K15" t="s">
        <v>2036</v>
      </c>
      <c r="L15" t="s">
        <v>2036</v>
      </c>
      <c r="M15" t="s">
        <v>2064</v>
      </c>
      <c r="N15">
        <v>2020</v>
      </c>
      <c r="O15">
        <v>2020</v>
      </c>
      <c r="P15" t="s">
        <v>2036</v>
      </c>
      <c r="Q15" t="s">
        <v>2036</v>
      </c>
      <c r="R15" t="s">
        <v>2039</v>
      </c>
    </row>
    <row r="16" spans="1:20" ht="15.95">
      <c r="B16" t="s">
        <v>185</v>
      </c>
      <c r="C16" t="s">
        <v>2083</v>
      </c>
      <c r="D16" t="s">
        <v>927</v>
      </c>
      <c r="E16" t="s">
        <v>2084</v>
      </c>
      <c r="F16" t="s">
        <v>2085</v>
      </c>
      <c r="G16">
        <v>2</v>
      </c>
      <c r="H16" s="1" t="s">
        <v>1702</v>
      </c>
      <c r="I16" t="s">
        <v>270</v>
      </c>
      <c r="K16" t="s">
        <v>2036</v>
      </c>
      <c r="L16" t="s">
        <v>2036</v>
      </c>
      <c r="M16" t="s">
        <v>2064</v>
      </c>
      <c r="N16">
        <v>2020</v>
      </c>
      <c r="O16">
        <v>2020</v>
      </c>
      <c r="P16" t="s">
        <v>2036</v>
      </c>
      <c r="Q16" t="s">
        <v>2036</v>
      </c>
      <c r="R16" t="s">
        <v>2039</v>
      </c>
    </row>
    <row r="17" spans="2:20" ht="15.95">
      <c r="B17" t="s">
        <v>244</v>
      </c>
      <c r="C17" t="s">
        <v>2047</v>
      </c>
      <c r="D17" t="s">
        <v>59</v>
      </c>
      <c r="E17" t="s">
        <v>2086</v>
      </c>
      <c r="F17" t="s">
        <v>2087</v>
      </c>
      <c r="G17">
        <v>30</v>
      </c>
      <c r="H17" s="1" t="s">
        <v>1708</v>
      </c>
      <c r="I17" t="s">
        <v>516</v>
      </c>
      <c r="K17" t="s">
        <v>2039</v>
      </c>
      <c r="L17" t="s">
        <v>2088</v>
      </c>
      <c r="M17" t="s">
        <v>2064</v>
      </c>
      <c r="N17">
        <v>2020</v>
      </c>
      <c r="O17">
        <v>2020</v>
      </c>
      <c r="P17" t="s">
        <v>2036</v>
      </c>
      <c r="Q17" t="s">
        <v>2036</v>
      </c>
      <c r="R17" t="s">
        <v>2039</v>
      </c>
      <c r="S17" t="s">
        <v>2089</v>
      </c>
      <c r="T17" t="s">
        <v>2090</v>
      </c>
    </row>
    <row r="18" spans="2:20" ht="15.95">
      <c r="B18" t="s">
        <v>244</v>
      </c>
      <c r="C18" t="s">
        <v>2091</v>
      </c>
      <c r="D18" t="s">
        <v>275</v>
      </c>
      <c r="E18" t="s">
        <v>2092</v>
      </c>
      <c r="F18" t="s">
        <v>2093</v>
      </c>
      <c r="G18">
        <v>8</v>
      </c>
      <c r="H18" s="1" t="s">
        <v>1763</v>
      </c>
      <c r="I18" t="s">
        <v>516</v>
      </c>
      <c r="K18" t="s">
        <v>2036</v>
      </c>
      <c r="L18" t="s">
        <v>2036</v>
      </c>
      <c r="M18" t="s">
        <v>2064</v>
      </c>
      <c r="N18">
        <v>2020</v>
      </c>
      <c r="O18">
        <v>2020</v>
      </c>
      <c r="P18" t="s">
        <v>2039</v>
      </c>
      <c r="Q18" t="s">
        <v>2036</v>
      </c>
      <c r="R18" t="s">
        <v>2039</v>
      </c>
    </row>
    <row r="19" spans="2:20" ht="15.95">
      <c r="B19" t="s">
        <v>244</v>
      </c>
      <c r="C19" t="s">
        <v>2047</v>
      </c>
      <c r="D19" t="s">
        <v>275</v>
      </c>
      <c r="E19" t="s">
        <v>2094</v>
      </c>
      <c r="F19" t="s">
        <v>2095</v>
      </c>
      <c r="G19">
        <v>4</v>
      </c>
      <c r="H19" s="1" t="s">
        <v>2096</v>
      </c>
      <c r="I19" t="s">
        <v>516</v>
      </c>
      <c r="K19" t="s">
        <v>2036</v>
      </c>
      <c r="L19" t="s">
        <v>2036</v>
      </c>
      <c r="M19" t="s">
        <v>2064</v>
      </c>
      <c r="N19">
        <v>2020</v>
      </c>
      <c r="O19">
        <v>2020</v>
      </c>
      <c r="P19" t="s">
        <v>2036</v>
      </c>
      <c r="Q19" t="s">
        <v>2036</v>
      </c>
      <c r="R19" t="s">
        <v>2039</v>
      </c>
    </row>
    <row r="20" spans="2:20" ht="15.95">
      <c r="B20" t="s">
        <v>244</v>
      </c>
      <c r="C20" t="s">
        <v>2047</v>
      </c>
      <c r="D20" t="s">
        <v>275</v>
      </c>
      <c r="E20" t="s">
        <v>2097</v>
      </c>
      <c r="F20" t="s">
        <v>2095</v>
      </c>
      <c r="G20">
        <v>4</v>
      </c>
      <c r="H20" s="1" t="s">
        <v>2096</v>
      </c>
      <c r="I20" t="s">
        <v>516</v>
      </c>
      <c r="K20" t="s">
        <v>2036</v>
      </c>
      <c r="L20" t="s">
        <v>2036</v>
      </c>
      <c r="M20" t="s">
        <v>2064</v>
      </c>
      <c r="N20">
        <v>2010</v>
      </c>
      <c r="O20">
        <v>2010</v>
      </c>
      <c r="P20" t="s">
        <v>2036</v>
      </c>
      <c r="Q20" t="s">
        <v>2036</v>
      </c>
      <c r="R20" t="s">
        <v>2039</v>
      </c>
    </row>
    <row r="21" spans="2:20" ht="96">
      <c r="B21" t="s">
        <v>244</v>
      </c>
      <c r="C21" t="s">
        <v>2098</v>
      </c>
      <c r="D21" t="s">
        <v>927</v>
      </c>
      <c r="E21" t="s">
        <v>2099</v>
      </c>
      <c r="F21" t="s">
        <v>2100</v>
      </c>
      <c r="G21">
        <v>6</v>
      </c>
      <c r="H21" s="1" t="s">
        <v>2277</v>
      </c>
      <c r="I21" t="s">
        <v>516</v>
      </c>
      <c r="K21" t="s">
        <v>2036</v>
      </c>
      <c r="L21" t="s">
        <v>2036</v>
      </c>
      <c r="M21" t="s">
        <v>2064</v>
      </c>
      <c r="N21">
        <v>2020</v>
      </c>
      <c r="O21">
        <v>2020</v>
      </c>
      <c r="P21" t="s">
        <v>2036</v>
      </c>
      <c r="Q21" t="s">
        <v>2036</v>
      </c>
      <c r="R21" t="s">
        <v>2039</v>
      </c>
    </row>
    <row r="22" spans="2:20" ht="15.95">
      <c r="B22" t="s">
        <v>244</v>
      </c>
      <c r="C22" t="s">
        <v>2098</v>
      </c>
      <c r="D22" t="s">
        <v>927</v>
      </c>
      <c r="E22" t="s">
        <v>2102</v>
      </c>
      <c r="F22" t="s">
        <v>2100</v>
      </c>
      <c r="G22">
        <v>6</v>
      </c>
      <c r="H22" s="1" t="s">
        <v>2103</v>
      </c>
      <c r="I22" t="s">
        <v>516</v>
      </c>
      <c r="K22" t="s">
        <v>2036</v>
      </c>
      <c r="L22" t="s">
        <v>2036</v>
      </c>
      <c r="M22" t="s">
        <v>2064</v>
      </c>
      <c r="N22">
        <v>2020</v>
      </c>
      <c r="O22">
        <v>2020</v>
      </c>
      <c r="P22" t="s">
        <v>2036</v>
      </c>
      <c r="Q22" t="s">
        <v>2036</v>
      </c>
      <c r="R22" t="s">
        <v>2039</v>
      </c>
    </row>
    <row r="23" spans="2:20" ht="15.95">
      <c r="B23" t="s">
        <v>331</v>
      </c>
      <c r="C23" t="s">
        <v>2047</v>
      </c>
      <c r="D23" t="s">
        <v>128</v>
      </c>
      <c r="E23" t="s">
        <v>2104</v>
      </c>
      <c r="F23" t="s">
        <v>2100</v>
      </c>
      <c r="G23">
        <v>6</v>
      </c>
      <c r="H23" s="1" t="s">
        <v>1763</v>
      </c>
      <c r="I23" t="s">
        <v>516</v>
      </c>
      <c r="K23" t="s">
        <v>2036</v>
      </c>
      <c r="L23" t="s">
        <v>2036</v>
      </c>
      <c r="M23" t="s">
        <v>2064</v>
      </c>
      <c r="N23">
        <v>2020</v>
      </c>
      <c r="O23">
        <v>2020</v>
      </c>
      <c r="P23" t="s">
        <v>2036</v>
      </c>
      <c r="Q23" t="s">
        <v>2036</v>
      </c>
      <c r="R23" t="s">
        <v>2039</v>
      </c>
      <c r="S23" t="s">
        <v>2105</v>
      </c>
    </row>
    <row r="24" spans="2:20" ht="15.95">
      <c r="B24" t="s">
        <v>331</v>
      </c>
      <c r="C24" t="s">
        <v>2106</v>
      </c>
      <c r="D24" t="s">
        <v>128</v>
      </c>
      <c r="E24" t="s">
        <v>2107</v>
      </c>
      <c r="F24" t="s">
        <v>2100</v>
      </c>
      <c r="G24">
        <v>6</v>
      </c>
      <c r="H24" s="1" t="s">
        <v>2108</v>
      </c>
      <c r="K24" t="s">
        <v>2038</v>
      </c>
      <c r="L24" t="s">
        <v>2038</v>
      </c>
      <c r="M24" t="s">
        <v>2054</v>
      </c>
      <c r="N24">
        <v>2021</v>
      </c>
      <c r="O24">
        <v>2021</v>
      </c>
      <c r="P24" t="s">
        <v>2039</v>
      </c>
      <c r="Q24" t="s">
        <v>2038</v>
      </c>
      <c r="R24" t="s">
        <v>2036</v>
      </c>
    </row>
    <row r="25" spans="2:20" ht="32.1">
      <c r="B25" t="s">
        <v>331</v>
      </c>
      <c r="C25" t="s">
        <v>2047</v>
      </c>
      <c r="D25" t="s">
        <v>275</v>
      </c>
      <c r="E25" t="s">
        <v>2109</v>
      </c>
      <c r="F25" t="s">
        <v>2110</v>
      </c>
      <c r="G25">
        <v>9</v>
      </c>
      <c r="H25" s="1" t="s">
        <v>2111</v>
      </c>
      <c r="I25" t="s">
        <v>516</v>
      </c>
      <c r="K25" t="s">
        <v>2036</v>
      </c>
      <c r="L25" t="s">
        <v>2036</v>
      </c>
      <c r="M25" t="s">
        <v>2064</v>
      </c>
      <c r="N25">
        <v>2020</v>
      </c>
      <c r="O25">
        <v>2020</v>
      </c>
      <c r="P25" t="s">
        <v>2039</v>
      </c>
      <c r="Q25" t="s">
        <v>2036</v>
      </c>
      <c r="R25" t="s">
        <v>2039</v>
      </c>
    </row>
    <row r="26" spans="2:20" ht="15.95">
      <c r="B26" t="s">
        <v>331</v>
      </c>
      <c r="C26" t="s">
        <v>2112</v>
      </c>
      <c r="D26" t="s">
        <v>275</v>
      </c>
      <c r="E26" t="s">
        <v>2113</v>
      </c>
      <c r="F26" t="s">
        <v>2114</v>
      </c>
      <c r="G26">
        <v>7</v>
      </c>
      <c r="H26" s="1" t="s">
        <v>1708</v>
      </c>
      <c r="I26" t="s">
        <v>433</v>
      </c>
      <c r="K26" t="s">
        <v>2036</v>
      </c>
      <c r="L26" t="s">
        <v>2036</v>
      </c>
      <c r="M26" t="s">
        <v>2038</v>
      </c>
      <c r="N26" t="s">
        <v>2038</v>
      </c>
      <c r="P26" t="s">
        <v>2039</v>
      </c>
      <c r="Q26" t="s">
        <v>2036</v>
      </c>
      <c r="R26" t="s">
        <v>2039</v>
      </c>
    </row>
    <row r="27" spans="2:20" ht="15.95">
      <c r="B27" t="s">
        <v>331</v>
      </c>
      <c r="C27" t="s">
        <v>2047</v>
      </c>
      <c r="D27" t="s">
        <v>2115</v>
      </c>
      <c r="E27" t="s">
        <v>2113</v>
      </c>
      <c r="F27" t="s">
        <v>2116</v>
      </c>
      <c r="G27" t="s">
        <v>2038</v>
      </c>
      <c r="H27" s="1" t="s">
        <v>2073</v>
      </c>
      <c r="I27" t="s">
        <v>433</v>
      </c>
      <c r="K27" t="s">
        <v>2039</v>
      </c>
      <c r="L27" t="s">
        <v>2038</v>
      </c>
      <c r="M27" t="s">
        <v>2054</v>
      </c>
      <c r="N27" t="s">
        <v>2117</v>
      </c>
      <c r="O27">
        <v>2020</v>
      </c>
      <c r="P27" t="s">
        <v>2039</v>
      </c>
      <c r="Q27" t="s">
        <v>2036</v>
      </c>
      <c r="R27" t="s">
        <v>2039</v>
      </c>
    </row>
    <row r="28" spans="2:20" ht="15.95">
      <c r="B28" t="s">
        <v>389</v>
      </c>
      <c r="C28" t="s">
        <v>2047</v>
      </c>
      <c r="D28" t="s">
        <v>128</v>
      </c>
      <c r="E28" t="s">
        <v>451</v>
      </c>
      <c r="F28" t="s">
        <v>2100</v>
      </c>
      <c r="G28">
        <v>6</v>
      </c>
      <c r="H28" s="1" t="s">
        <v>2103</v>
      </c>
      <c r="I28" t="s">
        <v>516</v>
      </c>
      <c r="K28" t="s">
        <v>2036</v>
      </c>
      <c r="L28" t="s">
        <v>2036</v>
      </c>
      <c r="M28" t="s">
        <v>2064</v>
      </c>
      <c r="N28">
        <v>2020</v>
      </c>
      <c r="O28">
        <v>2020</v>
      </c>
      <c r="P28" t="s">
        <v>2039</v>
      </c>
      <c r="Q28" t="s">
        <v>2036</v>
      </c>
      <c r="R28" t="s">
        <v>2039</v>
      </c>
      <c r="S28" t="s">
        <v>2118</v>
      </c>
    </row>
    <row r="29" spans="2:20" ht="15.95">
      <c r="B29" t="s">
        <v>389</v>
      </c>
      <c r="C29" t="s">
        <v>2119</v>
      </c>
      <c r="D29" t="s">
        <v>128</v>
      </c>
      <c r="E29" t="s">
        <v>2120</v>
      </c>
      <c r="F29" t="s">
        <v>2119</v>
      </c>
      <c r="G29">
        <v>1</v>
      </c>
      <c r="H29" s="1" t="s">
        <v>1763</v>
      </c>
      <c r="I29" t="s">
        <v>516</v>
      </c>
      <c r="K29" t="s">
        <v>2036</v>
      </c>
      <c r="L29" t="s">
        <v>2036</v>
      </c>
      <c r="M29" t="s">
        <v>2064</v>
      </c>
      <c r="N29">
        <v>2020</v>
      </c>
      <c r="O29">
        <v>2020</v>
      </c>
      <c r="P29" t="s">
        <v>2039</v>
      </c>
      <c r="Q29" t="s">
        <v>2036</v>
      </c>
      <c r="R29" t="s">
        <v>2039</v>
      </c>
    </row>
    <row r="30" spans="2:20" ht="15.95">
      <c r="B30" t="s">
        <v>389</v>
      </c>
      <c r="C30" t="s">
        <v>2047</v>
      </c>
      <c r="D30" t="s">
        <v>128</v>
      </c>
      <c r="E30" t="s">
        <v>2121</v>
      </c>
      <c r="F30" t="s">
        <v>2100</v>
      </c>
      <c r="G30">
        <v>6</v>
      </c>
      <c r="H30" s="1" t="s">
        <v>2103</v>
      </c>
      <c r="I30" t="s">
        <v>516</v>
      </c>
      <c r="K30" t="s">
        <v>2036</v>
      </c>
      <c r="L30" t="s">
        <v>2036</v>
      </c>
      <c r="M30" t="s">
        <v>2064</v>
      </c>
      <c r="N30">
        <v>2020</v>
      </c>
      <c r="O30">
        <v>2020</v>
      </c>
      <c r="P30" t="s">
        <v>2036</v>
      </c>
      <c r="Q30" t="s">
        <v>2036</v>
      </c>
      <c r="R30" t="s">
        <v>2039</v>
      </c>
    </row>
    <row r="31" spans="2:20" ht="15.95">
      <c r="B31" t="s">
        <v>389</v>
      </c>
      <c r="C31" t="s">
        <v>2122</v>
      </c>
      <c r="D31" t="s">
        <v>275</v>
      </c>
      <c r="E31" t="s">
        <v>2123</v>
      </c>
      <c r="F31" t="s">
        <v>2124</v>
      </c>
      <c r="G31">
        <v>1</v>
      </c>
      <c r="H31" s="1" t="s">
        <v>2278</v>
      </c>
      <c r="I31" t="s">
        <v>516</v>
      </c>
      <c r="K31" t="s">
        <v>2036</v>
      </c>
      <c r="L31" t="s">
        <v>2036</v>
      </c>
      <c r="M31" t="s">
        <v>2064</v>
      </c>
      <c r="N31">
        <v>2020</v>
      </c>
      <c r="O31">
        <v>2020</v>
      </c>
      <c r="P31" t="s">
        <v>2036</v>
      </c>
      <c r="Q31" t="s">
        <v>2036</v>
      </c>
      <c r="R31" t="s">
        <v>2039</v>
      </c>
    </row>
    <row r="32" spans="2:20" ht="15.95">
      <c r="B32" t="s">
        <v>564</v>
      </c>
      <c r="C32" t="s">
        <v>2126</v>
      </c>
      <c r="D32" t="s">
        <v>59</v>
      </c>
      <c r="E32" t="s">
        <v>2127</v>
      </c>
      <c r="F32" t="s">
        <v>2128</v>
      </c>
      <c r="G32" t="s">
        <v>2038</v>
      </c>
      <c r="H32" s="1" t="s">
        <v>1702</v>
      </c>
      <c r="I32" t="s">
        <v>433</v>
      </c>
      <c r="K32" t="s">
        <v>2039</v>
      </c>
      <c r="L32" t="s">
        <v>2129</v>
      </c>
      <c r="M32" t="s">
        <v>2054</v>
      </c>
      <c r="N32">
        <v>2021</v>
      </c>
      <c r="O32">
        <v>2021</v>
      </c>
      <c r="P32" t="s">
        <v>2036</v>
      </c>
      <c r="Q32" t="s">
        <v>2036</v>
      </c>
      <c r="R32" t="s">
        <v>2039</v>
      </c>
      <c r="S32" t="s">
        <v>2130</v>
      </c>
      <c r="T32" t="s">
        <v>2131</v>
      </c>
    </row>
    <row r="33" spans="2:20" ht="15.95">
      <c r="B33" t="s">
        <v>466</v>
      </c>
      <c r="C33" t="s">
        <v>2128</v>
      </c>
      <c r="D33" t="s">
        <v>440</v>
      </c>
      <c r="E33" t="s">
        <v>467</v>
      </c>
      <c r="F33" t="s">
        <v>2132</v>
      </c>
      <c r="G33">
        <v>2</v>
      </c>
      <c r="H33" s="1" t="s">
        <v>2133</v>
      </c>
      <c r="I33" t="s">
        <v>433</v>
      </c>
      <c r="K33" t="s">
        <v>2036</v>
      </c>
      <c r="L33" t="s">
        <v>2036</v>
      </c>
      <c r="M33" t="s">
        <v>2054</v>
      </c>
      <c r="N33" t="s">
        <v>2117</v>
      </c>
      <c r="O33">
        <v>2020</v>
      </c>
      <c r="P33" t="s">
        <v>2036</v>
      </c>
      <c r="Q33" t="s">
        <v>2036</v>
      </c>
      <c r="R33" t="s">
        <v>2039</v>
      </c>
      <c r="S33" t="s">
        <v>2134</v>
      </c>
    </row>
    <row r="34" spans="2:20" ht="15.95">
      <c r="B34" t="s">
        <v>466</v>
      </c>
      <c r="C34" t="s">
        <v>2128</v>
      </c>
      <c r="D34" t="s">
        <v>275</v>
      </c>
      <c r="E34" t="s">
        <v>467</v>
      </c>
      <c r="F34" t="s">
        <v>2135</v>
      </c>
      <c r="G34">
        <v>3</v>
      </c>
      <c r="H34" s="1" t="s">
        <v>2136</v>
      </c>
      <c r="I34" t="s">
        <v>433</v>
      </c>
      <c r="K34" t="s">
        <v>2036</v>
      </c>
      <c r="L34" t="s">
        <v>2036</v>
      </c>
      <c r="M34" t="s">
        <v>2054</v>
      </c>
      <c r="N34" t="s">
        <v>2117</v>
      </c>
      <c r="O34">
        <v>2020</v>
      </c>
      <c r="P34" t="s">
        <v>2036</v>
      </c>
      <c r="Q34" t="s">
        <v>2036</v>
      </c>
      <c r="R34" t="s">
        <v>2039</v>
      </c>
    </row>
    <row r="35" spans="2:20" ht="15.95">
      <c r="B35" t="s">
        <v>466</v>
      </c>
      <c r="C35" t="s">
        <v>2128</v>
      </c>
      <c r="D35" t="s">
        <v>927</v>
      </c>
      <c r="E35" t="s">
        <v>2137</v>
      </c>
      <c r="F35" t="s">
        <v>2100</v>
      </c>
      <c r="G35">
        <v>6</v>
      </c>
      <c r="H35" s="1" t="s">
        <v>2138</v>
      </c>
      <c r="I35" t="s">
        <v>433</v>
      </c>
      <c r="K35" t="s">
        <v>2036</v>
      </c>
      <c r="L35" t="s">
        <v>2036</v>
      </c>
      <c r="M35" t="s">
        <v>2054</v>
      </c>
      <c r="N35" t="s">
        <v>2117</v>
      </c>
      <c r="O35">
        <v>2020</v>
      </c>
      <c r="P35" t="s">
        <v>2036</v>
      </c>
      <c r="Q35" t="s">
        <v>2036</v>
      </c>
      <c r="R35" t="s">
        <v>2039</v>
      </c>
    </row>
    <row r="36" spans="2:20" ht="15.95">
      <c r="B36" t="s">
        <v>466</v>
      </c>
      <c r="C36" t="s">
        <v>2128</v>
      </c>
      <c r="D36" t="s">
        <v>927</v>
      </c>
      <c r="E36" t="s">
        <v>2139</v>
      </c>
      <c r="F36" t="s">
        <v>2100</v>
      </c>
      <c r="G36">
        <v>6</v>
      </c>
      <c r="H36" s="1" t="s">
        <v>2140</v>
      </c>
      <c r="I36" t="s">
        <v>516</v>
      </c>
      <c r="K36" t="s">
        <v>2036</v>
      </c>
      <c r="L36" t="s">
        <v>2036</v>
      </c>
      <c r="M36" t="s">
        <v>2064</v>
      </c>
      <c r="N36">
        <v>2020</v>
      </c>
      <c r="O36">
        <v>2020</v>
      </c>
      <c r="P36" t="s">
        <v>2039</v>
      </c>
      <c r="Q36" t="s">
        <v>2036</v>
      </c>
      <c r="R36" t="s">
        <v>2039</v>
      </c>
    </row>
    <row r="37" spans="2:20" ht="15.95">
      <c r="B37" t="s">
        <v>579</v>
      </c>
      <c r="C37" t="s">
        <v>2128</v>
      </c>
      <c r="D37" t="s">
        <v>128</v>
      </c>
      <c r="E37" t="s">
        <v>2141</v>
      </c>
      <c r="F37" t="s">
        <v>2100</v>
      </c>
      <c r="G37">
        <v>6</v>
      </c>
      <c r="H37" s="1" t="s">
        <v>2142</v>
      </c>
      <c r="I37" t="s">
        <v>516</v>
      </c>
      <c r="K37" t="s">
        <v>2036</v>
      </c>
      <c r="L37" t="s">
        <v>2036</v>
      </c>
      <c r="M37" t="s">
        <v>2064</v>
      </c>
      <c r="N37">
        <v>2020</v>
      </c>
      <c r="O37">
        <v>2020</v>
      </c>
      <c r="P37" t="s">
        <v>2039</v>
      </c>
      <c r="Q37" t="s">
        <v>2036</v>
      </c>
      <c r="R37" t="s">
        <v>2039</v>
      </c>
      <c r="S37" t="s">
        <v>2143</v>
      </c>
      <c r="T37" t="s">
        <v>2144</v>
      </c>
    </row>
    <row r="38" spans="2:20" ht="15.95">
      <c r="B38" t="s">
        <v>598</v>
      </c>
      <c r="C38" t="s">
        <v>2128</v>
      </c>
      <c r="D38" t="s">
        <v>59</v>
      </c>
      <c r="E38" t="s">
        <v>2145</v>
      </c>
      <c r="F38" t="s">
        <v>2146</v>
      </c>
      <c r="G38">
        <v>7</v>
      </c>
      <c r="H38" s="1" t="s">
        <v>1708</v>
      </c>
      <c r="I38" t="s">
        <v>433</v>
      </c>
      <c r="K38" t="s">
        <v>2039</v>
      </c>
      <c r="L38" t="s">
        <v>2147</v>
      </c>
      <c r="M38" t="s">
        <v>2054</v>
      </c>
      <c r="N38" t="s">
        <v>417</v>
      </c>
      <c r="O38">
        <v>2021</v>
      </c>
      <c r="P38" t="s">
        <v>2036</v>
      </c>
      <c r="Q38" t="s">
        <v>2036</v>
      </c>
      <c r="R38" t="s">
        <v>2039</v>
      </c>
      <c r="S38" t="s">
        <v>2148</v>
      </c>
    </row>
    <row r="39" spans="2:20" ht="96">
      <c r="B39" t="s">
        <v>625</v>
      </c>
      <c r="C39" t="s">
        <v>2128</v>
      </c>
      <c r="D39" t="s">
        <v>927</v>
      </c>
      <c r="F39" t="s">
        <v>2100</v>
      </c>
      <c r="G39">
        <v>6</v>
      </c>
      <c r="H39" s="1" t="s">
        <v>2279</v>
      </c>
      <c r="I39" t="s">
        <v>516</v>
      </c>
      <c r="K39" t="s">
        <v>2039</v>
      </c>
      <c r="L39" t="s">
        <v>648</v>
      </c>
      <c r="M39" t="s">
        <v>2064</v>
      </c>
      <c r="N39">
        <v>2020</v>
      </c>
      <c r="O39">
        <v>2020</v>
      </c>
      <c r="P39" t="s">
        <v>2036</v>
      </c>
      <c r="Q39" t="s">
        <v>2036</v>
      </c>
      <c r="R39" t="s">
        <v>2039</v>
      </c>
      <c r="S39" t="s">
        <v>2150</v>
      </c>
      <c r="T39" t="s">
        <v>2151</v>
      </c>
    </row>
    <row r="40" spans="2:20">
      <c r="B40" t="s">
        <v>660</v>
      </c>
      <c r="G40">
        <v>0</v>
      </c>
      <c r="T40" t="s">
        <v>2152</v>
      </c>
    </row>
    <row r="41" spans="2:20">
      <c r="B41" t="s">
        <v>685</v>
      </c>
      <c r="G41">
        <v>0</v>
      </c>
      <c r="S41" t="s">
        <v>2153</v>
      </c>
      <c r="T41" t="s">
        <v>2154</v>
      </c>
    </row>
    <row r="42" spans="2:20" ht="15.95">
      <c r="B42" t="s">
        <v>693</v>
      </c>
      <c r="C42" t="s">
        <v>2128</v>
      </c>
      <c r="D42" t="s">
        <v>2155</v>
      </c>
      <c r="E42" t="s">
        <v>2156</v>
      </c>
      <c r="F42" t="s">
        <v>2157</v>
      </c>
      <c r="G42">
        <v>7</v>
      </c>
      <c r="H42" s="1" t="s">
        <v>2280</v>
      </c>
      <c r="I42" t="s">
        <v>516</v>
      </c>
      <c r="K42" t="s">
        <v>2036</v>
      </c>
      <c r="L42" t="s">
        <v>2036</v>
      </c>
      <c r="M42" t="s">
        <v>2038</v>
      </c>
      <c r="N42" t="s">
        <v>2038</v>
      </c>
      <c r="P42" t="s">
        <v>2036</v>
      </c>
      <c r="Q42" t="s">
        <v>2036</v>
      </c>
      <c r="R42" t="s">
        <v>2036</v>
      </c>
      <c r="S42" t="s">
        <v>2159</v>
      </c>
    </row>
    <row r="43" spans="2:20" ht="63.95">
      <c r="B43" t="s">
        <v>729</v>
      </c>
      <c r="C43" t="s">
        <v>2160</v>
      </c>
      <c r="D43" t="s">
        <v>2161</v>
      </c>
      <c r="E43" t="s">
        <v>2162</v>
      </c>
      <c r="F43" t="s">
        <v>2163</v>
      </c>
      <c r="G43">
        <v>24</v>
      </c>
      <c r="H43" s="1" t="s">
        <v>2281</v>
      </c>
      <c r="I43" t="s">
        <v>433</v>
      </c>
      <c r="K43" t="s">
        <v>2036</v>
      </c>
      <c r="L43" t="s">
        <v>2036</v>
      </c>
      <c r="M43" t="s">
        <v>2054</v>
      </c>
      <c r="N43" t="s">
        <v>417</v>
      </c>
      <c r="O43">
        <v>2021</v>
      </c>
      <c r="P43" t="s">
        <v>2039</v>
      </c>
      <c r="Q43" t="s">
        <v>2036</v>
      </c>
      <c r="R43" t="s">
        <v>2039</v>
      </c>
      <c r="S43" t="s">
        <v>2165</v>
      </c>
    </row>
    <row r="44" spans="2:20" ht="63.95">
      <c r="B44" t="s">
        <v>729</v>
      </c>
      <c r="C44" t="s">
        <v>2166</v>
      </c>
      <c r="D44" t="s">
        <v>927</v>
      </c>
      <c r="E44" t="s">
        <v>2167</v>
      </c>
      <c r="F44" t="s">
        <v>2168</v>
      </c>
      <c r="G44">
        <v>12</v>
      </c>
      <c r="H44" s="1" t="s">
        <v>2282</v>
      </c>
      <c r="I44" t="s">
        <v>433</v>
      </c>
      <c r="K44" t="s">
        <v>2036</v>
      </c>
      <c r="L44" t="s">
        <v>2036</v>
      </c>
      <c r="M44" t="s">
        <v>2054</v>
      </c>
      <c r="N44" t="s">
        <v>417</v>
      </c>
      <c r="O44">
        <v>2021</v>
      </c>
      <c r="P44" t="s">
        <v>2039</v>
      </c>
      <c r="Q44" t="s">
        <v>2036</v>
      </c>
      <c r="R44" t="s">
        <v>2039</v>
      </c>
    </row>
    <row r="45" spans="2:20" ht="63.95">
      <c r="B45" t="s">
        <v>729</v>
      </c>
      <c r="C45" t="s">
        <v>2170</v>
      </c>
      <c r="D45" t="s">
        <v>927</v>
      </c>
      <c r="E45" t="s">
        <v>2171</v>
      </c>
      <c r="F45" t="s">
        <v>2172</v>
      </c>
      <c r="G45">
        <v>28</v>
      </c>
      <c r="H45" s="1" t="s">
        <v>2281</v>
      </c>
      <c r="I45" t="s">
        <v>433</v>
      </c>
      <c r="K45" t="s">
        <v>2036</v>
      </c>
      <c r="L45" t="s">
        <v>2036</v>
      </c>
      <c r="M45" t="s">
        <v>2054</v>
      </c>
      <c r="N45" t="s">
        <v>417</v>
      </c>
      <c r="O45">
        <v>2021</v>
      </c>
      <c r="P45" t="s">
        <v>2039</v>
      </c>
      <c r="Q45" t="s">
        <v>2036</v>
      </c>
      <c r="R45" t="s">
        <v>2039</v>
      </c>
    </row>
    <row r="46" spans="2:20" ht="63.95">
      <c r="B46" t="s">
        <v>729</v>
      </c>
      <c r="C46" t="s">
        <v>2173</v>
      </c>
      <c r="D46" t="s">
        <v>927</v>
      </c>
      <c r="E46" t="s">
        <v>2174</v>
      </c>
      <c r="F46" t="s">
        <v>2100</v>
      </c>
      <c r="G46">
        <v>6</v>
      </c>
      <c r="H46" s="1" t="s">
        <v>2281</v>
      </c>
      <c r="I46" t="s">
        <v>516</v>
      </c>
      <c r="K46" t="s">
        <v>2036</v>
      </c>
      <c r="L46" t="s">
        <v>2036</v>
      </c>
      <c r="M46" t="s">
        <v>2064</v>
      </c>
      <c r="N46">
        <v>2010</v>
      </c>
      <c r="O46">
        <v>2010</v>
      </c>
      <c r="P46" t="s">
        <v>2039</v>
      </c>
      <c r="Q46" t="s">
        <v>2036</v>
      </c>
      <c r="R46" t="s">
        <v>2039</v>
      </c>
    </row>
    <row r="47" spans="2:20" ht="80.099999999999994">
      <c r="B47" t="s">
        <v>729</v>
      </c>
      <c r="C47" t="s">
        <v>2047</v>
      </c>
      <c r="D47" t="s">
        <v>927</v>
      </c>
      <c r="E47" t="s">
        <v>2175</v>
      </c>
      <c r="F47" t="s">
        <v>2100</v>
      </c>
      <c r="G47">
        <v>6</v>
      </c>
      <c r="H47" s="1" t="s">
        <v>2283</v>
      </c>
      <c r="I47" t="s">
        <v>516</v>
      </c>
      <c r="K47" t="s">
        <v>2036</v>
      </c>
      <c r="L47" t="s">
        <v>2036</v>
      </c>
      <c r="M47" t="s">
        <v>2064</v>
      </c>
      <c r="N47">
        <v>2020</v>
      </c>
      <c r="O47">
        <v>2020</v>
      </c>
      <c r="P47" t="s">
        <v>2039</v>
      </c>
      <c r="Q47" t="s">
        <v>2036</v>
      </c>
      <c r="R47" t="s">
        <v>2039</v>
      </c>
    </row>
    <row r="48" spans="2:20" ht="15.95">
      <c r="B48" t="s">
        <v>756</v>
      </c>
      <c r="C48" t="s">
        <v>2177</v>
      </c>
      <c r="D48" t="s">
        <v>927</v>
      </c>
      <c r="E48" t="s">
        <v>2178</v>
      </c>
      <c r="F48" t="s">
        <v>2179</v>
      </c>
      <c r="G48">
        <v>35</v>
      </c>
      <c r="H48" s="1" t="s">
        <v>2180</v>
      </c>
      <c r="I48" t="s">
        <v>433</v>
      </c>
      <c r="K48" t="s">
        <v>2036</v>
      </c>
      <c r="L48" t="s">
        <v>2036</v>
      </c>
      <c r="M48" t="s">
        <v>2064</v>
      </c>
      <c r="N48">
        <v>2021</v>
      </c>
      <c r="O48">
        <v>2021</v>
      </c>
      <c r="P48" t="s">
        <v>2036</v>
      </c>
      <c r="Q48" t="s">
        <v>2036</v>
      </c>
      <c r="R48" t="s">
        <v>2039</v>
      </c>
      <c r="S48" t="s">
        <v>2181</v>
      </c>
    </row>
    <row r="49" spans="2:20" ht="15.95">
      <c r="B49" t="s">
        <v>756</v>
      </c>
      <c r="C49" t="s">
        <v>2177</v>
      </c>
      <c r="D49" t="s">
        <v>927</v>
      </c>
      <c r="E49" t="s">
        <v>2182</v>
      </c>
      <c r="F49" t="s">
        <v>2179</v>
      </c>
      <c r="G49">
        <v>35</v>
      </c>
      <c r="H49" s="1" t="s">
        <v>2180</v>
      </c>
      <c r="I49" t="s">
        <v>516</v>
      </c>
      <c r="K49" t="s">
        <v>2036</v>
      </c>
      <c r="L49" t="s">
        <v>2036</v>
      </c>
      <c r="M49" t="s">
        <v>2064</v>
      </c>
      <c r="N49" t="s">
        <v>2183</v>
      </c>
      <c r="O49">
        <v>2010</v>
      </c>
      <c r="P49" t="s">
        <v>2039</v>
      </c>
      <c r="Q49" t="s">
        <v>2036</v>
      </c>
      <c r="R49" t="s">
        <v>2039</v>
      </c>
    </row>
    <row r="50" spans="2:20" ht="32.1">
      <c r="B50" t="s">
        <v>756</v>
      </c>
      <c r="C50" t="s">
        <v>2184</v>
      </c>
      <c r="D50" t="s">
        <v>927</v>
      </c>
      <c r="E50" t="s">
        <v>2185</v>
      </c>
      <c r="F50" t="s">
        <v>2186</v>
      </c>
      <c r="G50">
        <v>9</v>
      </c>
      <c r="H50" s="1" t="s">
        <v>2187</v>
      </c>
      <c r="I50" t="s">
        <v>516</v>
      </c>
      <c r="K50" t="s">
        <v>2036</v>
      </c>
      <c r="L50" t="s">
        <v>2036</v>
      </c>
      <c r="M50" t="s">
        <v>2064</v>
      </c>
      <c r="N50">
        <v>2010</v>
      </c>
      <c r="O50">
        <v>2010</v>
      </c>
      <c r="P50" t="s">
        <v>2039</v>
      </c>
      <c r="Q50" t="s">
        <v>2036</v>
      </c>
      <c r="R50" t="s">
        <v>2039</v>
      </c>
    </row>
    <row r="51" spans="2:20" ht="15.95">
      <c r="B51" t="s">
        <v>756</v>
      </c>
      <c r="C51" t="s">
        <v>2041</v>
      </c>
      <c r="D51" t="s">
        <v>927</v>
      </c>
      <c r="E51" t="s">
        <v>2188</v>
      </c>
      <c r="F51" t="s">
        <v>2189</v>
      </c>
      <c r="G51">
        <v>7</v>
      </c>
      <c r="H51" s="1" t="s">
        <v>1763</v>
      </c>
      <c r="I51" t="s">
        <v>516</v>
      </c>
      <c r="K51" t="s">
        <v>2036</v>
      </c>
      <c r="L51" t="s">
        <v>2036</v>
      </c>
      <c r="M51" t="s">
        <v>2064</v>
      </c>
      <c r="N51">
        <v>2020</v>
      </c>
      <c r="O51">
        <v>2020</v>
      </c>
      <c r="P51" t="s">
        <v>2039</v>
      </c>
      <c r="Q51" t="s">
        <v>2036</v>
      </c>
      <c r="R51" t="s">
        <v>2039</v>
      </c>
    </row>
    <row r="52" spans="2:20" ht="15.95">
      <c r="B52" t="s">
        <v>756</v>
      </c>
      <c r="C52" t="s">
        <v>2047</v>
      </c>
      <c r="D52" t="s">
        <v>927</v>
      </c>
      <c r="E52" t="s">
        <v>2190</v>
      </c>
      <c r="F52" t="s">
        <v>2191</v>
      </c>
      <c r="G52">
        <v>8</v>
      </c>
      <c r="H52" s="1" t="s">
        <v>1763</v>
      </c>
      <c r="I52" t="s">
        <v>516</v>
      </c>
      <c r="K52" t="s">
        <v>2036</v>
      </c>
      <c r="L52" t="s">
        <v>2036</v>
      </c>
      <c r="M52" t="s">
        <v>2064</v>
      </c>
      <c r="N52">
        <v>2020</v>
      </c>
      <c r="O52">
        <v>2020</v>
      </c>
      <c r="P52" t="s">
        <v>2039</v>
      </c>
      <c r="Q52" t="s">
        <v>2036</v>
      </c>
      <c r="R52" t="s">
        <v>2039</v>
      </c>
    </row>
    <row r="53" spans="2:20" ht="32.1">
      <c r="B53" t="s">
        <v>780</v>
      </c>
      <c r="C53" t="s">
        <v>2047</v>
      </c>
      <c r="D53" t="s">
        <v>59</v>
      </c>
      <c r="E53" t="s">
        <v>2192</v>
      </c>
      <c r="F53" t="s">
        <v>2193</v>
      </c>
      <c r="G53">
        <v>8</v>
      </c>
      <c r="H53" s="1" t="s">
        <v>2194</v>
      </c>
      <c r="I53" t="s">
        <v>516</v>
      </c>
      <c r="K53" t="s">
        <v>2036</v>
      </c>
      <c r="L53" t="s">
        <v>2036</v>
      </c>
      <c r="M53" t="s">
        <v>2064</v>
      </c>
      <c r="N53" t="s">
        <v>2183</v>
      </c>
      <c r="O53">
        <v>2010</v>
      </c>
      <c r="P53" t="s">
        <v>2039</v>
      </c>
      <c r="Q53" t="s">
        <v>2036</v>
      </c>
      <c r="R53" t="s">
        <v>2039</v>
      </c>
      <c r="S53" t="s">
        <v>2195</v>
      </c>
      <c r="T53" t="s">
        <v>2196</v>
      </c>
    </row>
    <row r="54" spans="2:20" ht="15.95">
      <c r="B54" t="s">
        <v>800</v>
      </c>
      <c r="C54" t="s">
        <v>2041</v>
      </c>
      <c r="D54" s="38" t="s">
        <v>59</v>
      </c>
      <c r="E54" t="s">
        <v>2197</v>
      </c>
      <c r="F54" t="s">
        <v>2198</v>
      </c>
      <c r="G54" t="s">
        <v>2038</v>
      </c>
      <c r="H54" s="1" t="s">
        <v>2199</v>
      </c>
      <c r="I54" t="s">
        <v>516</v>
      </c>
      <c r="K54" t="s">
        <v>2039</v>
      </c>
      <c r="L54" t="s">
        <v>2200</v>
      </c>
      <c r="M54" t="s">
        <v>2064</v>
      </c>
      <c r="N54">
        <v>2020</v>
      </c>
      <c r="O54">
        <v>2020</v>
      </c>
      <c r="P54" t="s">
        <v>2036</v>
      </c>
      <c r="Q54" t="s">
        <v>2036</v>
      </c>
      <c r="R54" t="s">
        <v>2039</v>
      </c>
      <c r="S54" t="s">
        <v>2201</v>
      </c>
    </row>
    <row r="55" spans="2:20" ht="15.95">
      <c r="B55" t="s">
        <v>800</v>
      </c>
      <c r="C55" t="s">
        <v>2202</v>
      </c>
      <c r="D55" t="s">
        <v>59</v>
      </c>
      <c r="E55" s="47" t="s">
        <v>2203</v>
      </c>
      <c r="F55" t="s">
        <v>2198</v>
      </c>
      <c r="G55" t="s">
        <v>2038</v>
      </c>
      <c r="H55" s="1" t="s">
        <v>2199</v>
      </c>
      <c r="I55" t="s">
        <v>516</v>
      </c>
      <c r="K55" t="s">
        <v>2039</v>
      </c>
      <c r="L55" t="s">
        <v>2204</v>
      </c>
      <c r="M55" t="s">
        <v>2064</v>
      </c>
      <c r="N55">
        <v>2020</v>
      </c>
      <c r="O55">
        <v>2020</v>
      </c>
      <c r="P55" t="s">
        <v>2036</v>
      </c>
      <c r="Q55" t="s">
        <v>2036</v>
      </c>
      <c r="R55" t="s">
        <v>2039</v>
      </c>
    </row>
    <row r="56" spans="2:20" ht="15.95">
      <c r="B56" t="s">
        <v>809</v>
      </c>
      <c r="C56" t="s">
        <v>2128</v>
      </c>
      <c r="D56" t="s">
        <v>59</v>
      </c>
      <c r="E56" t="s">
        <v>2145</v>
      </c>
      <c r="F56" t="s">
        <v>2146</v>
      </c>
      <c r="G56">
        <v>7</v>
      </c>
      <c r="H56" s="1" t="s">
        <v>1702</v>
      </c>
      <c r="I56" t="s">
        <v>433</v>
      </c>
      <c r="K56" t="s">
        <v>2039</v>
      </c>
      <c r="L56" t="s">
        <v>2205</v>
      </c>
      <c r="M56" t="s">
        <v>2054</v>
      </c>
      <c r="N56" t="s">
        <v>2117</v>
      </c>
      <c r="O56">
        <v>2020</v>
      </c>
      <c r="P56" t="s">
        <v>2036</v>
      </c>
      <c r="Q56" t="s">
        <v>2036</v>
      </c>
      <c r="R56" t="s">
        <v>2039</v>
      </c>
      <c r="S56" t="s">
        <v>2206</v>
      </c>
      <c r="T56" t="s">
        <v>2207</v>
      </c>
    </row>
    <row r="57" spans="2:20" ht="15.95">
      <c r="B57" t="s">
        <v>809</v>
      </c>
      <c r="C57" t="s">
        <v>2047</v>
      </c>
      <c r="D57" t="s">
        <v>59</v>
      </c>
      <c r="E57" t="s">
        <v>814</v>
      </c>
      <c r="F57" t="s">
        <v>2208</v>
      </c>
      <c r="G57">
        <v>17</v>
      </c>
      <c r="H57" s="1" t="s">
        <v>1763</v>
      </c>
      <c r="I57" t="s">
        <v>516</v>
      </c>
      <c r="K57" t="s">
        <v>2036</v>
      </c>
      <c r="L57" t="s">
        <v>2036</v>
      </c>
      <c r="M57" t="s">
        <v>2064</v>
      </c>
      <c r="N57" t="s">
        <v>112</v>
      </c>
      <c r="O57">
        <v>2020</v>
      </c>
      <c r="P57" t="s">
        <v>2039</v>
      </c>
      <c r="Q57" t="s">
        <v>2036</v>
      </c>
      <c r="R57" t="s">
        <v>2039</v>
      </c>
    </row>
    <row r="58" spans="2:20" ht="15.95">
      <c r="B58" t="s">
        <v>809</v>
      </c>
      <c r="C58" t="s">
        <v>2047</v>
      </c>
      <c r="D58" t="s">
        <v>59</v>
      </c>
      <c r="E58" t="s">
        <v>816</v>
      </c>
      <c r="F58" t="s">
        <v>2208</v>
      </c>
      <c r="G58">
        <v>17</v>
      </c>
      <c r="H58" s="1" t="s">
        <v>2209</v>
      </c>
      <c r="I58" t="s">
        <v>516</v>
      </c>
      <c r="K58" t="s">
        <v>2036</v>
      </c>
      <c r="L58" t="s">
        <v>2036</v>
      </c>
      <c r="M58" t="s">
        <v>2064</v>
      </c>
      <c r="N58" t="s">
        <v>112</v>
      </c>
      <c r="O58">
        <v>2020</v>
      </c>
      <c r="P58" t="s">
        <v>2039</v>
      </c>
      <c r="Q58" t="s">
        <v>2036</v>
      </c>
      <c r="R58" t="s">
        <v>2039</v>
      </c>
    </row>
    <row r="59" spans="2:20" ht="15.95">
      <c r="B59" t="s">
        <v>830</v>
      </c>
      <c r="C59" t="s">
        <v>7</v>
      </c>
      <c r="D59" t="s">
        <v>927</v>
      </c>
      <c r="E59" t="s">
        <v>2210</v>
      </c>
      <c r="F59" t="s">
        <v>2211</v>
      </c>
      <c r="G59">
        <v>27</v>
      </c>
      <c r="H59" s="1" t="s">
        <v>1702</v>
      </c>
      <c r="I59" t="s">
        <v>516</v>
      </c>
      <c r="K59" t="s">
        <v>2036</v>
      </c>
      <c r="L59" t="s">
        <v>2036</v>
      </c>
      <c r="M59" t="s">
        <v>2064</v>
      </c>
      <c r="N59">
        <v>2020</v>
      </c>
      <c r="O59">
        <v>2020</v>
      </c>
      <c r="P59" t="s">
        <v>2036</v>
      </c>
      <c r="Q59" t="s">
        <v>2036</v>
      </c>
      <c r="R59" t="s">
        <v>2039</v>
      </c>
      <c r="S59" t="s">
        <v>2212</v>
      </c>
    </row>
    <row r="60" spans="2:20" ht="32.1">
      <c r="B60" t="s">
        <v>830</v>
      </c>
      <c r="C60" s="50" t="s">
        <v>2213</v>
      </c>
      <c r="D60" t="s">
        <v>927</v>
      </c>
      <c r="E60" t="s">
        <v>2214</v>
      </c>
      <c r="F60" t="s">
        <v>2215</v>
      </c>
      <c r="G60">
        <v>8</v>
      </c>
      <c r="H60" s="1" t="s">
        <v>2216</v>
      </c>
      <c r="I60" t="s">
        <v>516</v>
      </c>
      <c r="K60" t="s">
        <v>2036</v>
      </c>
      <c r="L60" t="s">
        <v>2036</v>
      </c>
      <c r="M60" t="s">
        <v>2064</v>
      </c>
      <c r="N60">
        <v>2020</v>
      </c>
      <c r="O60">
        <v>2020</v>
      </c>
      <c r="P60" t="s">
        <v>2036</v>
      </c>
      <c r="Q60" t="s">
        <v>2036</v>
      </c>
      <c r="R60" t="s">
        <v>2039</v>
      </c>
    </row>
    <row r="61" spans="2:20" ht="48">
      <c r="B61" t="s">
        <v>830</v>
      </c>
      <c r="C61" t="s">
        <v>2128</v>
      </c>
      <c r="D61" t="s">
        <v>927</v>
      </c>
      <c r="E61" t="s">
        <v>2217</v>
      </c>
      <c r="F61" t="s">
        <v>2218</v>
      </c>
      <c r="G61">
        <v>35</v>
      </c>
      <c r="H61" s="1" t="s">
        <v>2284</v>
      </c>
      <c r="I61" t="s">
        <v>433</v>
      </c>
      <c r="K61" t="s">
        <v>2036</v>
      </c>
      <c r="L61" t="s">
        <v>2036</v>
      </c>
      <c r="M61" t="s">
        <v>2054</v>
      </c>
      <c r="N61">
        <v>2021</v>
      </c>
      <c r="O61">
        <v>2021</v>
      </c>
      <c r="P61" t="s">
        <v>2039</v>
      </c>
      <c r="Q61" t="s">
        <v>2036</v>
      </c>
      <c r="R61" t="s">
        <v>2039</v>
      </c>
    </row>
    <row r="62" spans="2:20" ht="15.95">
      <c r="B62" t="s">
        <v>843</v>
      </c>
      <c r="C62" t="s">
        <v>2128</v>
      </c>
      <c r="D62" t="s">
        <v>2051</v>
      </c>
      <c r="E62" s="60" t="s">
        <v>2220</v>
      </c>
      <c r="F62" s="61" t="s">
        <v>2221</v>
      </c>
      <c r="G62">
        <v>7</v>
      </c>
      <c r="H62" s="1" t="s">
        <v>1702</v>
      </c>
      <c r="I62" t="s">
        <v>516</v>
      </c>
      <c r="K62" t="s">
        <v>2039</v>
      </c>
      <c r="L62" t="s">
        <v>2222</v>
      </c>
      <c r="M62" t="s">
        <v>2064</v>
      </c>
      <c r="N62" t="s">
        <v>2223</v>
      </c>
      <c r="O62">
        <v>2020</v>
      </c>
      <c r="P62" t="s">
        <v>2039</v>
      </c>
      <c r="Q62" t="s">
        <v>2036</v>
      </c>
      <c r="R62" t="s">
        <v>2039</v>
      </c>
      <c r="S62" t="s">
        <v>2224</v>
      </c>
    </row>
    <row r="63" spans="2:20" ht="32.1">
      <c r="B63" t="s">
        <v>843</v>
      </c>
      <c r="C63" t="s">
        <v>2047</v>
      </c>
      <c r="D63" t="s">
        <v>59</v>
      </c>
      <c r="E63" s="60" t="s">
        <v>2225</v>
      </c>
      <c r="F63" s="61" t="s">
        <v>2226</v>
      </c>
      <c r="G63">
        <v>8</v>
      </c>
      <c r="H63" s="1" t="s">
        <v>2227</v>
      </c>
      <c r="I63" t="s">
        <v>516</v>
      </c>
      <c r="K63" t="s">
        <v>2036</v>
      </c>
      <c r="L63" t="s">
        <v>2036</v>
      </c>
      <c r="M63" t="s">
        <v>2064</v>
      </c>
      <c r="N63" t="s">
        <v>2223</v>
      </c>
      <c r="O63">
        <v>2020</v>
      </c>
      <c r="P63" t="s">
        <v>2039</v>
      </c>
      <c r="Q63" t="s">
        <v>2036</v>
      </c>
      <c r="R63" t="s">
        <v>2039</v>
      </c>
    </row>
    <row r="64" spans="2:20" ht="15.95">
      <c r="B64" t="s">
        <v>1238</v>
      </c>
      <c r="C64" t="s">
        <v>2047</v>
      </c>
      <c r="D64" t="s">
        <v>2042</v>
      </c>
      <c r="E64" s="60" t="s">
        <v>2228</v>
      </c>
      <c r="F64" s="60" t="s">
        <v>2229</v>
      </c>
      <c r="G64">
        <v>10</v>
      </c>
      <c r="H64" s="1" t="s">
        <v>2230</v>
      </c>
      <c r="I64" t="s">
        <v>516</v>
      </c>
      <c r="K64" t="s">
        <v>2036</v>
      </c>
      <c r="L64" t="s">
        <v>2036</v>
      </c>
      <c r="M64" t="s">
        <v>2064</v>
      </c>
      <c r="N64" t="s">
        <v>112</v>
      </c>
      <c r="O64">
        <v>2020</v>
      </c>
      <c r="P64" t="s">
        <v>2039</v>
      </c>
      <c r="Q64" t="s">
        <v>2036</v>
      </c>
      <c r="R64" t="s">
        <v>2039</v>
      </c>
      <c r="S64" t="s">
        <v>2231</v>
      </c>
    </row>
    <row r="65" spans="2:20" ht="15.95">
      <c r="B65" t="s">
        <v>1238</v>
      </c>
      <c r="C65" t="s">
        <v>2047</v>
      </c>
      <c r="D65" t="s">
        <v>275</v>
      </c>
      <c r="E65" s="60" t="s">
        <v>2232</v>
      </c>
      <c r="F65" s="60" t="s">
        <v>2226</v>
      </c>
      <c r="G65">
        <v>8</v>
      </c>
      <c r="H65" s="1" t="s">
        <v>2230</v>
      </c>
      <c r="I65" t="s">
        <v>516</v>
      </c>
      <c r="K65" t="s">
        <v>2036</v>
      </c>
      <c r="L65" t="s">
        <v>2036</v>
      </c>
      <c r="M65" t="s">
        <v>2064</v>
      </c>
      <c r="N65" t="s">
        <v>112</v>
      </c>
      <c r="O65">
        <v>2020</v>
      </c>
      <c r="P65" t="s">
        <v>2039</v>
      </c>
      <c r="Q65" t="s">
        <v>2036</v>
      </c>
      <c r="R65" t="s">
        <v>2039</v>
      </c>
    </row>
    <row r="66" spans="2:20" ht="15.95">
      <c r="B66" t="s">
        <v>1238</v>
      </c>
      <c r="C66" t="s">
        <v>2047</v>
      </c>
      <c r="D66" t="s">
        <v>927</v>
      </c>
      <c r="E66" s="60" t="s">
        <v>2233</v>
      </c>
      <c r="F66" s="60" t="s">
        <v>2229</v>
      </c>
      <c r="G66">
        <v>10</v>
      </c>
      <c r="H66" s="1" t="s">
        <v>2230</v>
      </c>
      <c r="I66" t="s">
        <v>516</v>
      </c>
      <c r="K66" t="s">
        <v>2036</v>
      </c>
      <c r="L66" t="s">
        <v>2036</v>
      </c>
      <c r="M66" t="s">
        <v>2064</v>
      </c>
      <c r="N66" t="s">
        <v>112</v>
      </c>
      <c r="O66">
        <v>2020</v>
      </c>
      <c r="P66" t="s">
        <v>2039</v>
      </c>
      <c r="Q66" t="s">
        <v>2036</v>
      </c>
      <c r="R66" t="s">
        <v>2039</v>
      </c>
    </row>
    <row r="67" spans="2:20" ht="15.95">
      <c r="B67" t="s">
        <v>1238</v>
      </c>
      <c r="C67" t="s">
        <v>2234</v>
      </c>
      <c r="D67" t="s">
        <v>59</v>
      </c>
      <c r="E67" s="60" t="s">
        <v>2235</v>
      </c>
      <c r="F67" s="59" t="s">
        <v>2236</v>
      </c>
      <c r="G67">
        <v>66</v>
      </c>
      <c r="H67" s="1" t="s">
        <v>1702</v>
      </c>
      <c r="I67" t="s">
        <v>73</v>
      </c>
      <c r="K67" t="s">
        <v>2039</v>
      </c>
      <c r="L67" s="74" t="s">
        <v>2238</v>
      </c>
      <c r="M67" t="s">
        <v>2054</v>
      </c>
      <c r="N67" t="s">
        <v>2239</v>
      </c>
      <c r="O67">
        <v>2020</v>
      </c>
      <c r="P67" t="s">
        <v>2039</v>
      </c>
      <c r="Q67" t="s">
        <v>2036</v>
      </c>
      <c r="R67" t="s">
        <v>2039</v>
      </c>
    </row>
    <row r="68" spans="2:20" ht="15.95">
      <c r="B68" t="s">
        <v>1238</v>
      </c>
      <c r="C68" t="s">
        <v>2234</v>
      </c>
      <c r="D68" t="s">
        <v>59</v>
      </c>
      <c r="E68" s="60" t="s">
        <v>2240</v>
      </c>
      <c r="F68" s="60" t="s">
        <v>2241</v>
      </c>
      <c r="G68">
        <v>66</v>
      </c>
      <c r="H68" s="1" t="s">
        <v>1763</v>
      </c>
      <c r="I68" t="s">
        <v>73</v>
      </c>
      <c r="K68" t="s">
        <v>2039</v>
      </c>
      <c r="L68" t="s">
        <v>2242</v>
      </c>
      <c r="M68" t="s">
        <v>2054</v>
      </c>
      <c r="N68" t="s">
        <v>2239</v>
      </c>
      <c r="O68">
        <v>2022</v>
      </c>
      <c r="P68" t="s">
        <v>2039</v>
      </c>
      <c r="Q68" t="s">
        <v>2036</v>
      </c>
      <c r="R68" t="s">
        <v>2039</v>
      </c>
    </row>
    <row r="69" spans="2:20" ht="15.95">
      <c r="B69" t="s">
        <v>866</v>
      </c>
      <c r="C69" t="s">
        <v>2234</v>
      </c>
      <c r="D69" t="s">
        <v>59</v>
      </c>
      <c r="E69" t="s">
        <v>2243</v>
      </c>
      <c r="F69" s="59" t="s">
        <v>2236</v>
      </c>
      <c r="G69">
        <v>66</v>
      </c>
      <c r="H69" s="1" t="s">
        <v>1702</v>
      </c>
      <c r="I69" t="s">
        <v>73</v>
      </c>
      <c r="K69" t="s">
        <v>2039</v>
      </c>
      <c r="L69" t="s">
        <v>2244</v>
      </c>
      <c r="N69" t="s">
        <v>2245</v>
      </c>
      <c r="O69">
        <v>2019</v>
      </c>
      <c r="P69" t="s">
        <v>2039</v>
      </c>
      <c r="Q69" t="s">
        <v>2036</v>
      </c>
      <c r="R69" t="s">
        <v>2039</v>
      </c>
      <c r="S69" t="s">
        <v>2246</v>
      </c>
    </row>
    <row r="70" spans="2:20" ht="15.95">
      <c r="B70" t="s">
        <v>866</v>
      </c>
      <c r="C70" t="s">
        <v>2234</v>
      </c>
      <c r="D70" t="s">
        <v>59</v>
      </c>
      <c r="E70" s="62" t="s">
        <v>2247</v>
      </c>
      <c r="F70" s="59" t="s">
        <v>2236</v>
      </c>
      <c r="G70">
        <v>66</v>
      </c>
      <c r="H70" s="1" t="s">
        <v>1763</v>
      </c>
      <c r="I70" t="s">
        <v>73</v>
      </c>
      <c r="K70" t="s">
        <v>2039</v>
      </c>
      <c r="L70" t="s">
        <v>2248</v>
      </c>
      <c r="N70" t="s">
        <v>2245</v>
      </c>
      <c r="O70">
        <v>2019</v>
      </c>
      <c r="P70" t="s">
        <v>2039</v>
      </c>
      <c r="Q70" t="s">
        <v>2036</v>
      </c>
      <c r="R70" t="s">
        <v>2039</v>
      </c>
    </row>
    <row r="71" spans="2:20" ht="15.95">
      <c r="B71" t="s">
        <v>879</v>
      </c>
      <c r="C71" t="s">
        <v>777</v>
      </c>
      <c r="D71" t="s">
        <v>927</v>
      </c>
      <c r="E71" t="s">
        <v>2249</v>
      </c>
      <c r="F71" t="s">
        <v>2250</v>
      </c>
      <c r="G71">
        <v>2</v>
      </c>
      <c r="H71" s="1" t="s">
        <v>1702</v>
      </c>
      <c r="K71" t="s">
        <v>2036</v>
      </c>
      <c r="L71" t="s">
        <v>2036</v>
      </c>
      <c r="M71" t="s">
        <v>2251</v>
      </c>
      <c r="N71" t="s">
        <v>2252</v>
      </c>
      <c r="O71">
        <v>2050</v>
      </c>
      <c r="P71" t="s">
        <v>2039</v>
      </c>
      <c r="Q71" t="s">
        <v>2036</v>
      </c>
      <c r="R71" t="s">
        <v>2039</v>
      </c>
      <c r="S71" t="s">
        <v>1577</v>
      </c>
      <c r="T71" t="s">
        <v>2253</v>
      </c>
    </row>
    <row r="72" spans="2:20" ht="96">
      <c r="B72" t="s">
        <v>885</v>
      </c>
      <c r="C72" t="s">
        <v>2128</v>
      </c>
      <c r="D72" t="s">
        <v>927</v>
      </c>
      <c r="E72" t="s">
        <v>2254</v>
      </c>
      <c r="F72" t="s">
        <v>2255</v>
      </c>
      <c r="G72">
        <v>21</v>
      </c>
      <c r="H72" s="1" t="s">
        <v>2285</v>
      </c>
      <c r="K72" t="s">
        <v>2036</v>
      </c>
      <c r="L72" t="s">
        <v>2036</v>
      </c>
      <c r="M72" t="s">
        <v>2054</v>
      </c>
      <c r="N72">
        <v>2022</v>
      </c>
      <c r="O72">
        <v>2022</v>
      </c>
      <c r="P72" t="s">
        <v>2039</v>
      </c>
      <c r="Q72" t="s">
        <v>2036</v>
      </c>
      <c r="R72" t="s">
        <v>2039</v>
      </c>
    </row>
    <row r="73" spans="2:20" ht="15.95">
      <c r="B73" t="s">
        <v>885</v>
      </c>
      <c r="C73" t="s">
        <v>2128</v>
      </c>
      <c r="D73" t="s">
        <v>927</v>
      </c>
      <c r="E73" t="s">
        <v>2257</v>
      </c>
      <c r="F73" t="s">
        <v>2258</v>
      </c>
      <c r="G73">
        <v>8</v>
      </c>
      <c r="H73" s="1" t="s">
        <v>1708</v>
      </c>
      <c r="K73" t="s">
        <v>2036</v>
      </c>
      <c r="L73" t="s">
        <v>2036</v>
      </c>
      <c r="M73" t="s">
        <v>2038</v>
      </c>
      <c r="N73">
        <v>2022</v>
      </c>
      <c r="O73">
        <v>2022</v>
      </c>
      <c r="P73" t="s">
        <v>2036</v>
      </c>
      <c r="Q73" t="s">
        <v>2036</v>
      </c>
      <c r="R73" t="s">
        <v>2039</v>
      </c>
    </row>
    <row r="74" spans="2:20" ht="15.95">
      <c r="B74" t="s">
        <v>885</v>
      </c>
      <c r="C74" t="s">
        <v>2128</v>
      </c>
      <c r="D74" t="s">
        <v>927</v>
      </c>
      <c r="E74" t="s">
        <v>2259</v>
      </c>
      <c r="F74" t="s">
        <v>2260</v>
      </c>
      <c r="G74">
        <v>7</v>
      </c>
      <c r="H74" s="1" t="s">
        <v>1708</v>
      </c>
      <c r="I74" t="s">
        <v>516</v>
      </c>
      <c r="K74" t="s">
        <v>2036</v>
      </c>
      <c r="L74" t="s">
        <v>2036</v>
      </c>
      <c r="M74" t="s">
        <v>2064</v>
      </c>
      <c r="N74" t="s">
        <v>2261</v>
      </c>
      <c r="O74">
        <v>2020</v>
      </c>
      <c r="P74" t="s">
        <v>2039</v>
      </c>
      <c r="Q74" t="s">
        <v>2036</v>
      </c>
      <c r="R74" t="s">
        <v>2039</v>
      </c>
    </row>
    <row r="75" spans="2:20" ht="176.1">
      <c r="B75" t="s">
        <v>1247</v>
      </c>
      <c r="C75" t="s">
        <v>2128</v>
      </c>
      <c r="D75" t="s">
        <v>128</v>
      </c>
      <c r="E75" t="s">
        <v>2262</v>
      </c>
      <c r="F75" s="1" t="s">
        <v>2263</v>
      </c>
      <c r="G75">
        <v>27</v>
      </c>
      <c r="H75" s="1" t="s">
        <v>2264</v>
      </c>
      <c r="I75" t="s">
        <v>516</v>
      </c>
      <c r="J75" t="s">
        <v>2036</v>
      </c>
      <c r="K75" t="s">
        <v>2036</v>
      </c>
      <c r="L75" t="s">
        <v>2036</v>
      </c>
      <c r="M75" t="s">
        <v>2064</v>
      </c>
      <c r="N75">
        <v>2010</v>
      </c>
      <c r="O75">
        <v>2010</v>
      </c>
      <c r="P75" t="s">
        <v>2036</v>
      </c>
      <c r="Q75" t="s">
        <v>2036</v>
      </c>
      <c r="R75" t="s">
        <v>2039</v>
      </c>
      <c r="S75" t="s">
        <v>2265</v>
      </c>
      <c r="T75" t="s">
        <v>2266</v>
      </c>
    </row>
    <row r="76" spans="2:20" ht="15.95">
      <c r="B76" t="s">
        <v>1247</v>
      </c>
      <c r="C76" t="s">
        <v>2202</v>
      </c>
      <c r="D76" t="s">
        <v>927</v>
      </c>
      <c r="E76" t="s">
        <v>2267</v>
      </c>
      <c r="F76" t="s">
        <v>2268</v>
      </c>
      <c r="G76">
        <v>2</v>
      </c>
      <c r="H76" s="1" t="s">
        <v>1702</v>
      </c>
      <c r="I76" t="s">
        <v>516</v>
      </c>
      <c r="J76" t="s">
        <v>2036</v>
      </c>
      <c r="K76" t="s">
        <v>2036</v>
      </c>
      <c r="L76" t="s">
        <v>2036</v>
      </c>
      <c r="M76" t="s">
        <v>2064</v>
      </c>
      <c r="N76" t="s">
        <v>2269</v>
      </c>
      <c r="O76">
        <v>2010</v>
      </c>
      <c r="P76" t="s">
        <v>2039</v>
      </c>
      <c r="Q76" t="s">
        <v>2036</v>
      </c>
      <c r="R76" t="s">
        <v>2039</v>
      </c>
    </row>
    <row r="77" spans="2:20" ht="176.1">
      <c r="B77" t="s">
        <v>1247</v>
      </c>
      <c r="C77" t="s">
        <v>2128</v>
      </c>
      <c r="D77" t="s">
        <v>128</v>
      </c>
      <c r="E77" t="s">
        <v>2270</v>
      </c>
      <c r="F77" s="1" t="s">
        <v>2263</v>
      </c>
      <c r="G77">
        <v>27</v>
      </c>
      <c r="H77" s="1" t="s">
        <v>2264</v>
      </c>
      <c r="I77" t="s">
        <v>516</v>
      </c>
      <c r="J77" t="s">
        <v>2036</v>
      </c>
      <c r="K77" t="s">
        <v>2036</v>
      </c>
      <c r="L77" t="s">
        <v>2036</v>
      </c>
      <c r="M77" t="s">
        <v>2064</v>
      </c>
      <c r="N77" t="s">
        <v>2269</v>
      </c>
      <c r="O77">
        <v>2010</v>
      </c>
      <c r="P77" t="s">
        <v>2039</v>
      </c>
      <c r="Q77" t="s">
        <v>2036</v>
      </c>
      <c r="R77" t="s">
        <v>2039</v>
      </c>
    </row>
    <row r="78" spans="2:20" ht="15.95">
      <c r="B78" t="s">
        <v>912</v>
      </c>
      <c r="C78" t="s">
        <v>2128</v>
      </c>
      <c r="D78" t="s">
        <v>927</v>
      </c>
      <c r="E78" t="s">
        <v>2271</v>
      </c>
      <c r="F78" t="s">
        <v>2272</v>
      </c>
      <c r="G78">
        <v>51</v>
      </c>
      <c r="H78" s="1" t="s">
        <v>2273</v>
      </c>
      <c r="I78" t="s">
        <v>433</v>
      </c>
      <c r="J78" t="s">
        <v>2036</v>
      </c>
      <c r="K78" t="s">
        <v>2039</v>
      </c>
      <c r="L78" t="s">
        <v>2274</v>
      </c>
      <c r="M78" t="s">
        <v>2251</v>
      </c>
      <c r="N78" t="s">
        <v>417</v>
      </c>
      <c r="O78">
        <v>2021</v>
      </c>
      <c r="P78" t="s">
        <v>2039</v>
      </c>
      <c r="Q78" t="s">
        <v>2036</v>
      </c>
      <c r="R78" t="s">
        <v>2039</v>
      </c>
    </row>
    <row r="79" spans="2:20" ht="15.95">
      <c r="B79" t="s">
        <v>912</v>
      </c>
      <c r="C79" t="s">
        <v>2128</v>
      </c>
      <c r="D79" t="s">
        <v>927</v>
      </c>
      <c r="E79" t="s">
        <v>2086</v>
      </c>
      <c r="F79" t="s">
        <v>2087</v>
      </c>
      <c r="G79">
        <v>30</v>
      </c>
      <c r="H79" s="1" t="s">
        <v>2264</v>
      </c>
      <c r="I79" t="s">
        <v>516</v>
      </c>
      <c r="J79" t="s">
        <v>2036</v>
      </c>
      <c r="K79" t="s">
        <v>2039</v>
      </c>
      <c r="L79" t="s">
        <v>2275</v>
      </c>
      <c r="M79" t="s">
        <v>2064</v>
      </c>
      <c r="N79">
        <v>2010</v>
      </c>
      <c r="O79">
        <v>2010</v>
      </c>
      <c r="P79" t="s">
        <v>2036</v>
      </c>
      <c r="Q79" t="s">
        <v>2036</v>
      </c>
      <c r="R79" t="s">
        <v>2039</v>
      </c>
    </row>
  </sheetData>
  <hyperlinks>
    <hyperlink ref="L67" r:id="rId1" xr:uid="{B59433A8-040C-4999-B92F-BDBF37A8E02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F753C-E520-4D1C-86B4-18B0722A4CFE}">
  <dimension ref="A1:G57"/>
  <sheetViews>
    <sheetView workbookViewId="0">
      <selection activeCell="C6" sqref="C6"/>
    </sheetView>
  </sheetViews>
  <sheetFormatPr defaultColWidth="8.85546875" defaultRowHeight="15"/>
  <cols>
    <col min="1" max="1" width="16.7109375" style="14" customWidth="1"/>
    <col min="2" max="2" width="22.42578125" style="14" customWidth="1"/>
    <col min="3" max="3" width="33" style="14" customWidth="1"/>
    <col min="4" max="4" width="45.140625" style="13" customWidth="1"/>
    <col min="5" max="5" width="16" style="14" customWidth="1"/>
    <col min="6" max="7" width="17" style="14" customWidth="1"/>
  </cols>
  <sheetData>
    <row r="1" spans="1:7" ht="15.95">
      <c r="A1" s="14" t="s">
        <v>62</v>
      </c>
      <c r="B1" s="14" t="s">
        <v>2286</v>
      </c>
      <c r="C1" s="13" t="s">
        <v>2287</v>
      </c>
      <c r="D1" s="13" t="s">
        <v>2288</v>
      </c>
      <c r="E1" s="14" t="s">
        <v>2289</v>
      </c>
      <c r="F1" s="14" t="s">
        <v>2290</v>
      </c>
      <c r="G1" s="14" t="s">
        <v>2291</v>
      </c>
    </row>
    <row r="2" spans="1:7" ht="341.25" customHeight="1">
      <c r="A2" s="15" t="s">
        <v>143</v>
      </c>
      <c r="B2" s="32" t="s">
        <v>67</v>
      </c>
      <c r="C2" s="18" t="s">
        <v>2292</v>
      </c>
      <c r="D2" s="13" t="s">
        <v>2293</v>
      </c>
      <c r="E2" s="14" t="s">
        <v>2294</v>
      </c>
      <c r="F2" s="14" t="s">
        <v>2295</v>
      </c>
      <c r="G2" s="14">
        <v>1</v>
      </c>
    </row>
    <row r="3" spans="1:7" ht="80.099999999999994">
      <c r="A3" s="15" t="s">
        <v>57</v>
      </c>
      <c r="B3" s="32" t="s">
        <v>67</v>
      </c>
      <c r="C3" s="31" t="s">
        <v>2296</v>
      </c>
      <c r="D3" s="13" t="s">
        <v>2297</v>
      </c>
      <c r="E3" s="14" t="s">
        <v>2298</v>
      </c>
      <c r="F3" s="14" t="s">
        <v>2299</v>
      </c>
      <c r="G3" s="14">
        <v>3</v>
      </c>
    </row>
    <row r="4" spans="1:7" ht="111.95">
      <c r="A4" s="29" t="s">
        <v>170</v>
      </c>
      <c r="B4" s="33" t="s">
        <v>67</v>
      </c>
      <c r="C4" s="18" t="s">
        <v>2300</v>
      </c>
      <c r="D4" s="13" t="s">
        <v>2301</v>
      </c>
      <c r="E4" s="14" t="s">
        <v>2294</v>
      </c>
      <c r="F4" s="14" t="s">
        <v>2302</v>
      </c>
      <c r="G4" s="14">
        <v>4</v>
      </c>
    </row>
    <row r="5" spans="1:7" ht="48">
      <c r="A5" s="15" t="s">
        <v>185</v>
      </c>
      <c r="B5" s="32" t="s">
        <v>67</v>
      </c>
      <c r="C5" s="18" t="s">
        <v>2303</v>
      </c>
      <c r="D5" s="30" t="s">
        <v>2304</v>
      </c>
      <c r="E5" s="14" t="s">
        <v>2294</v>
      </c>
      <c r="F5" s="14" t="s">
        <v>2295</v>
      </c>
      <c r="G5" s="14">
        <v>1</v>
      </c>
    </row>
    <row r="6" spans="1:7" ht="224.1">
      <c r="A6" s="15" t="s">
        <v>244</v>
      </c>
      <c r="B6" s="32" t="s">
        <v>67</v>
      </c>
      <c r="C6" s="18" t="s">
        <v>2305</v>
      </c>
      <c r="D6" s="13" t="s">
        <v>2306</v>
      </c>
      <c r="E6" s="14" t="s">
        <v>2294</v>
      </c>
      <c r="F6" s="14" t="s">
        <v>2299</v>
      </c>
      <c r="G6" s="14">
        <v>5</v>
      </c>
    </row>
    <row r="7" spans="1:7" ht="210.75" customHeight="1">
      <c r="A7" s="15" t="s">
        <v>331</v>
      </c>
      <c r="B7" s="32" t="s">
        <v>67</v>
      </c>
      <c r="C7" s="18" t="s">
        <v>2307</v>
      </c>
      <c r="D7" s="13" t="s">
        <v>2308</v>
      </c>
      <c r="E7" s="14" t="s">
        <v>2298</v>
      </c>
      <c r="F7" s="14" t="s">
        <v>2299</v>
      </c>
      <c r="G7" s="14">
        <v>0</v>
      </c>
    </row>
    <row r="8" spans="1:7" ht="272.10000000000002">
      <c r="A8" s="15" t="s">
        <v>389</v>
      </c>
      <c r="B8" s="32" t="s">
        <v>67</v>
      </c>
      <c r="C8" s="18" t="s">
        <v>2309</v>
      </c>
      <c r="D8" s="13" t="s">
        <v>2310</v>
      </c>
      <c r="E8" s="14" t="s">
        <v>2294</v>
      </c>
      <c r="F8" s="14" t="s">
        <v>2302</v>
      </c>
      <c r="G8" s="14">
        <v>0</v>
      </c>
    </row>
    <row r="9" spans="1:7" ht="96">
      <c r="A9" s="15" t="s">
        <v>564</v>
      </c>
      <c r="B9" s="32" t="s">
        <v>67</v>
      </c>
      <c r="C9" s="18" t="s">
        <v>2311</v>
      </c>
      <c r="D9" s="13" t="s">
        <v>2312</v>
      </c>
      <c r="E9" s="14" t="s">
        <v>2294</v>
      </c>
      <c r="F9" s="14" t="s">
        <v>2299</v>
      </c>
      <c r="G9" s="14">
        <v>1</v>
      </c>
    </row>
    <row r="10" spans="1:7" ht="192">
      <c r="A10" s="15" t="s">
        <v>1436</v>
      </c>
      <c r="B10" s="32" t="s">
        <v>67</v>
      </c>
      <c r="C10" s="18" t="s">
        <v>2313</v>
      </c>
      <c r="D10" s="13" t="s">
        <v>2314</v>
      </c>
      <c r="E10" s="14" t="s">
        <v>2294</v>
      </c>
      <c r="F10" s="14" t="s">
        <v>2299</v>
      </c>
      <c r="G10" s="14">
        <v>3</v>
      </c>
    </row>
    <row r="11" spans="1:7" ht="240">
      <c r="A11" s="15" t="s">
        <v>579</v>
      </c>
      <c r="B11" s="32" t="s">
        <v>67</v>
      </c>
      <c r="C11" s="18" t="s">
        <v>2315</v>
      </c>
      <c r="D11" s="13" t="s">
        <v>2316</v>
      </c>
      <c r="E11" s="14" t="s">
        <v>2294</v>
      </c>
      <c r="F11" s="14" t="s">
        <v>2299</v>
      </c>
      <c r="G11" s="14">
        <v>1</v>
      </c>
    </row>
    <row r="12" spans="1:7" ht="255.95">
      <c r="A12" s="15" t="s">
        <v>598</v>
      </c>
      <c r="B12" s="32" t="s">
        <v>67</v>
      </c>
      <c r="C12" s="18" t="s">
        <v>2317</v>
      </c>
      <c r="D12" s="13" t="s">
        <v>2318</v>
      </c>
      <c r="E12" s="14" t="s">
        <v>2298</v>
      </c>
      <c r="F12" s="14" t="s">
        <v>2299</v>
      </c>
      <c r="G12" s="14">
        <v>4</v>
      </c>
    </row>
    <row r="13" spans="1:7" ht="96">
      <c r="A13" s="15" t="s">
        <v>625</v>
      </c>
      <c r="B13" s="32" t="s">
        <v>67</v>
      </c>
      <c r="C13" s="31" t="s">
        <v>2319</v>
      </c>
      <c r="D13" s="13" t="s">
        <v>2320</v>
      </c>
      <c r="E13" s="14" t="s">
        <v>2294</v>
      </c>
      <c r="F13" s="14" t="s">
        <v>2299</v>
      </c>
      <c r="G13" s="14">
        <v>1</v>
      </c>
    </row>
    <row r="14" spans="1:7" ht="15.95">
      <c r="A14" s="15" t="s">
        <v>660</v>
      </c>
      <c r="B14" s="32" t="s">
        <v>64</v>
      </c>
      <c r="F14" s="14" t="s">
        <v>2299</v>
      </c>
      <c r="G14" s="14">
        <v>0</v>
      </c>
    </row>
    <row r="15" spans="1:7" ht="15.95">
      <c r="A15" s="15" t="s">
        <v>685</v>
      </c>
      <c r="B15" s="32" t="s">
        <v>64</v>
      </c>
      <c r="F15" s="14" t="s">
        <v>2295</v>
      </c>
      <c r="G15" s="14">
        <v>1</v>
      </c>
    </row>
    <row r="16" spans="1:7" ht="272.10000000000002">
      <c r="A16" s="15" t="s">
        <v>693</v>
      </c>
      <c r="B16" s="32" t="s">
        <v>67</v>
      </c>
      <c r="C16" s="31" t="s">
        <v>2321</v>
      </c>
      <c r="D16" s="13" t="s">
        <v>2322</v>
      </c>
      <c r="E16" s="14" t="s">
        <v>2294</v>
      </c>
      <c r="F16" s="14" t="s">
        <v>2323</v>
      </c>
      <c r="G16" s="14">
        <v>3</v>
      </c>
    </row>
    <row r="17" spans="1:7" ht="224.1">
      <c r="A17" s="15" t="s">
        <v>729</v>
      </c>
      <c r="B17" s="32" t="s">
        <v>67</v>
      </c>
      <c r="C17" s="31" t="s">
        <v>2324</v>
      </c>
      <c r="D17" s="13" t="s">
        <v>2325</v>
      </c>
      <c r="E17" s="14" t="s">
        <v>2294</v>
      </c>
      <c r="F17" s="14" t="s">
        <v>2323</v>
      </c>
      <c r="G17" s="14">
        <v>3</v>
      </c>
    </row>
    <row r="18" spans="1:7" ht="192">
      <c r="A18" s="15" t="s">
        <v>756</v>
      </c>
      <c r="B18" s="32" t="s">
        <v>67</v>
      </c>
      <c r="C18" s="18" t="s">
        <v>2326</v>
      </c>
      <c r="D18" s="13" t="s">
        <v>2327</v>
      </c>
      <c r="E18" s="14" t="s">
        <v>2294</v>
      </c>
      <c r="F18" s="14" t="s">
        <v>2295</v>
      </c>
      <c r="G18" s="14">
        <v>4</v>
      </c>
    </row>
    <row r="19" spans="1:7" ht="303.95">
      <c r="A19" s="15" t="s">
        <v>780</v>
      </c>
      <c r="B19" s="32" t="s">
        <v>67</v>
      </c>
      <c r="C19" s="18" t="s">
        <v>2328</v>
      </c>
      <c r="D19" s="13" t="s">
        <v>2329</v>
      </c>
      <c r="E19" s="14" t="s">
        <v>2294</v>
      </c>
      <c r="F19" s="14" t="s">
        <v>2295</v>
      </c>
      <c r="G19" s="14">
        <v>0</v>
      </c>
    </row>
    <row r="20" spans="1:7" ht="15.95">
      <c r="A20" s="15" t="s">
        <v>800</v>
      </c>
      <c r="B20" s="32" t="s">
        <v>64</v>
      </c>
      <c r="F20" s="14" t="s">
        <v>2299</v>
      </c>
      <c r="G20" s="14">
        <v>3</v>
      </c>
    </row>
    <row r="21" spans="1:7" ht="80.099999999999994">
      <c r="A21" s="15" t="s">
        <v>809</v>
      </c>
      <c r="B21" s="32" t="s">
        <v>67</v>
      </c>
      <c r="C21" s="31" t="s">
        <v>2330</v>
      </c>
      <c r="D21" s="13" t="s">
        <v>2331</v>
      </c>
      <c r="E21" s="14" t="s">
        <v>2294</v>
      </c>
      <c r="F21" s="14" t="s">
        <v>2299</v>
      </c>
      <c r="G21" s="14">
        <v>0</v>
      </c>
    </row>
    <row r="22" spans="1:7" ht="128.1">
      <c r="A22" s="15" t="s">
        <v>830</v>
      </c>
      <c r="B22" s="32" t="s">
        <v>67</v>
      </c>
      <c r="C22" s="18" t="s">
        <v>2332</v>
      </c>
      <c r="D22" s="13" t="s">
        <v>2333</v>
      </c>
      <c r="E22" s="14" t="s">
        <v>2294</v>
      </c>
      <c r="F22" s="14" t="s">
        <v>2299</v>
      </c>
      <c r="G22" s="14">
        <v>3</v>
      </c>
    </row>
    <row r="23" spans="1:7" ht="409.6">
      <c r="A23" s="15" t="s">
        <v>843</v>
      </c>
      <c r="B23" s="32" t="s">
        <v>67</v>
      </c>
      <c r="C23" s="18" t="s">
        <v>2334</v>
      </c>
      <c r="D23" s="13" t="s">
        <v>2335</v>
      </c>
      <c r="E23" s="14" t="s">
        <v>2294</v>
      </c>
      <c r="F23" s="14" t="s">
        <v>2295</v>
      </c>
      <c r="G23" s="14">
        <v>1</v>
      </c>
    </row>
    <row r="24" spans="1:7" ht="335.1">
      <c r="A24" s="15" t="s">
        <v>1238</v>
      </c>
      <c r="B24" s="32" t="s">
        <v>67</v>
      </c>
      <c r="C24" s="18" t="s">
        <v>2336</v>
      </c>
      <c r="D24" s="13" t="s">
        <v>2337</v>
      </c>
      <c r="E24" s="14" t="s">
        <v>2298</v>
      </c>
      <c r="F24" s="14" t="s">
        <v>2299</v>
      </c>
      <c r="G24" s="14">
        <v>1</v>
      </c>
    </row>
    <row r="25" spans="1:7" ht="144">
      <c r="A25" s="15" t="s">
        <v>866</v>
      </c>
      <c r="B25" s="32" t="s">
        <v>67</v>
      </c>
      <c r="C25" s="18" t="s">
        <v>2338</v>
      </c>
      <c r="D25" s="13" t="s">
        <v>2339</v>
      </c>
      <c r="E25" s="14" t="s">
        <v>2294</v>
      </c>
      <c r="F25" s="14" t="s">
        <v>2299</v>
      </c>
      <c r="G25" s="14">
        <v>3</v>
      </c>
    </row>
    <row r="26" spans="1:7" ht="128.1">
      <c r="A26" s="15" t="s">
        <v>879</v>
      </c>
      <c r="B26" s="32" t="s">
        <v>67</v>
      </c>
      <c r="C26" s="18" t="s">
        <v>2340</v>
      </c>
      <c r="D26" s="13" t="s">
        <v>2341</v>
      </c>
      <c r="E26" s="14" t="s">
        <v>2294</v>
      </c>
      <c r="F26" s="14" t="s">
        <v>2295</v>
      </c>
      <c r="G26" s="14">
        <v>1</v>
      </c>
    </row>
    <row r="27" spans="1:7" ht="144">
      <c r="A27" s="15" t="s">
        <v>885</v>
      </c>
      <c r="B27" s="32" t="s">
        <v>67</v>
      </c>
      <c r="C27" s="18" t="s">
        <v>2342</v>
      </c>
      <c r="D27" s="13" t="s">
        <v>2343</v>
      </c>
      <c r="E27" s="14" t="s">
        <v>2294</v>
      </c>
      <c r="F27" s="14" t="s">
        <v>2323</v>
      </c>
      <c r="G27" s="14">
        <v>7</v>
      </c>
    </row>
    <row r="28" spans="1:7" ht="80.099999999999994">
      <c r="A28" s="15" t="s">
        <v>2344</v>
      </c>
      <c r="B28" s="32" t="s">
        <v>67</v>
      </c>
      <c r="C28" s="18" t="s">
        <v>2345</v>
      </c>
      <c r="D28" s="13" t="s">
        <v>2346</v>
      </c>
      <c r="E28" s="14" t="s">
        <v>2294</v>
      </c>
      <c r="F28" s="14" t="s">
        <v>2299</v>
      </c>
      <c r="G28" s="14">
        <v>3</v>
      </c>
    </row>
    <row r="29" spans="1:7" ht="144">
      <c r="A29" s="15" t="s">
        <v>2347</v>
      </c>
      <c r="B29" s="32" t="s">
        <v>67</v>
      </c>
      <c r="C29" s="18" t="s">
        <v>2348</v>
      </c>
      <c r="D29" s="13" t="s">
        <v>2349</v>
      </c>
      <c r="E29" s="14" t="s">
        <v>2298</v>
      </c>
      <c r="F29" s="14" t="s">
        <v>2295</v>
      </c>
      <c r="G29" s="14">
        <v>3</v>
      </c>
    </row>
    <row r="30" spans="1:7" ht="111.95">
      <c r="A30" s="15" t="s">
        <v>2350</v>
      </c>
      <c r="B30" s="32" t="s">
        <v>67</v>
      </c>
      <c r="C30" s="18" t="s">
        <v>2351</v>
      </c>
      <c r="D30" s="13" t="s">
        <v>2352</v>
      </c>
      <c r="E30" s="14" t="s">
        <v>2294</v>
      </c>
      <c r="F30" s="14" t="s">
        <v>2323</v>
      </c>
      <c r="G30" s="14">
        <v>1</v>
      </c>
    </row>
    <row r="31" spans="1:7" ht="409.6">
      <c r="A31" s="15" t="s">
        <v>2353</v>
      </c>
      <c r="B31" s="32" t="s">
        <v>67</v>
      </c>
      <c r="C31" s="18" t="s">
        <v>2354</v>
      </c>
      <c r="D31" s="13" t="s">
        <v>2355</v>
      </c>
      <c r="E31" s="14" t="s">
        <v>2294</v>
      </c>
      <c r="F31" s="14" t="s">
        <v>2299</v>
      </c>
      <c r="G31" s="14">
        <v>0</v>
      </c>
    </row>
    <row r="32" spans="1:7" ht="128.1">
      <c r="A32" s="15" t="s">
        <v>2356</v>
      </c>
      <c r="B32" s="32" t="s">
        <v>67</v>
      </c>
      <c r="C32" s="18" t="s">
        <v>2357</v>
      </c>
      <c r="D32" s="13" t="s">
        <v>2358</v>
      </c>
      <c r="E32" s="14" t="s">
        <v>2294</v>
      </c>
      <c r="F32" s="14" t="s">
        <v>2299</v>
      </c>
      <c r="G32" s="14">
        <v>4</v>
      </c>
    </row>
    <row r="33" spans="1:7" ht="63.95">
      <c r="A33" s="15" t="s">
        <v>2359</v>
      </c>
      <c r="B33" s="32" t="s">
        <v>67</v>
      </c>
      <c r="C33" s="18" t="s">
        <v>2360</v>
      </c>
      <c r="D33" s="13" t="s">
        <v>2361</v>
      </c>
      <c r="E33" s="14" t="s">
        <v>2298</v>
      </c>
      <c r="F33" s="14" t="s">
        <v>2299</v>
      </c>
      <c r="G33" s="14">
        <v>3</v>
      </c>
    </row>
    <row r="34" spans="1:7" ht="272.10000000000002">
      <c r="A34" s="15" t="s">
        <v>2362</v>
      </c>
      <c r="B34" s="32" t="s">
        <v>67</v>
      </c>
      <c r="C34" s="18" t="s">
        <v>2363</v>
      </c>
      <c r="D34" s="13" t="s">
        <v>2364</v>
      </c>
      <c r="E34" s="14" t="s">
        <v>2294</v>
      </c>
      <c r="F34" s="14" t="s">
        <v>2299</v>
      </c>
      <c r="G34" s="14">
        <v>2</v>
      </c>
    </row>
    <row r="35" spans="1:7" ht="111.95">
      <c r="A35" s="15" t="s">
        <v>2365</v>
      </c>
      <c r="B35" s="32" t="s">
        <v>67</v>
      </c>
      <c r="C35" s="18" t="s">
        <v>2366</v>
      </c>
      <c r="D35" s="13" t="s">
        <v>2367</v>
      </c>
      <c r="E35" s="14" t="s">
        <v>2294</v>
      </c>
      <c r="F35" s="14" t="s">
        <v>2299</v>
      </c>
      <c r="G35" s="14">
        <v>3</v>
      </c>
    </row>
    <row r="36" spans="1:7" ht="192">
      <c r="A36" s="15" t="s">
        <v>2368</v>
      </c>
      <c r="B36" s="32" t="s">
        <v>67</v>
      </c>
      <c r="C36" s="18" t="s">
        <v>2369</v>
      </c>
      <c r="D36" s="13" t="s">
        <v>2370</v>
      </c>
      <c r="E36" s="14" t="s">
        <v>2294</v>
      </c>
      <c r="F36" s="14" t="s">
        <v>2299</v>
      </c>
      <c r="G36" s="14">
        <v>2</v>
      </c>
    </row>
    <row r="37" spans="1:7" ht="144">
      <c r="A37" s="15" t="s">
        <v>2371</v>
      </c>
      <c r="B37" s="32" t="s">
        <v>67</v>
      </c>
      <c r="C37" s="18" t="s">
        <v>2372</v>
      </c>
      <c r="D37" s="13" t="s">
        <v>2373</v>
      </c>
      <c r="E37" s="14" t="s">
        <v>2294</v>
      </c>
      <c r="F37" s="14" t="s">
        <v>2299</v>
      </c>
      <c r="G37" s="14">
        <v>4</v>
      </c>
    </row>
    <row r="38" spans="1:7" ht="80.099999999999994">
      <c r="A38" s="15" t="s">
        <v>2374</v>
      </c>
      <c r="B38" s="32" t="s">
        <v>67</v>
      </c>
      <c r="C38" s="18" t="s">
        <v>2375</v>
      </c>
      <c r="D38" s="13" t="s">
        <v>2376</v>
      </c>
      <c r="E38" s="14" t="s">
        <v>2294</v>
      </c>
      <c r="F38" s="14" t="s">
        <v>2299</v>
      </c>
      <c r="G38" s="14">
        <v>0</v>
      </c>
    </row>
    <row r="39" spans="1:7" ht="207.95">
      <c r="A39" s="15" t="s">
        <v>2377</v>
      </c>
      <c r="B39" s="32" t="s">
        <v>67</v>
      </c>
      <c r="C39" s="18" t="s">
        <v>2378</v>
      </c>
      <c r="D39" s="13" t="s">
        <v>2379</v>
      </c>
      <c r="E39" s="14" t="s">
        <v>2294</v>
      </c>
      <c r="F39" s="14" t="s">
        <v>2295</v>
      </c>
      <c r="G39" s="14">
        <v>4</v>
      </c>
    </row>
    <row r="40" spans="1:7" ht="255.95">
      <c r="A40" s="15" t="s">
        <v>2380</v>
      </c>
      <c r="B40" s="32" t="s">
        <v>67</v>
      </c>
      <c r="C40" s="18" t="s">
        <v>2381</v>
      </c>
      <c r="D40" s="13" t="s">
        <v>2382</v>
      </c>
      <c r="E40" s="14" t="s">
        <v>2294</v>
      </c>
      <c r="F40" s="14" t="s">
        <v>2295</v>
      </c>
      <c r="G40" s="14">
        <v>3</v>
      </c>
    </row>
    <row r="41" spans="1:7" ht="96">
      <c r="A41" s="15" t="s">
        <v>2383</v>
      </c>
      <c r="B41" s="32" t="s">
        <v>67</v>
      </c>
      <c r="C41" s="18" t="s">
        <v>2384</v>
      </c>
      <c r="D41" s="13" t="s">
        <v>2385</v>
      </c>
      <c r="E41" s="14" t="s">
        <v>2294</v>
      </c>
      <c r="F41" s="14" t="s">
        <v>2299</v>
      </c>
      <c r="G41" s="14">
        <v>3</v>
      </c>
    </row>
    <row r="42" spans="1:7" ht="192">
      <c r="A42" s="15" t="s">
        <v>2386</v>
      </c>
      <c r="B42" s="32" t="s">
        <v>67</v>
      </c>
      <c r="C42" s="18" t="s">
        <v>2387</v>
      </c>
      <c r="D42" s="13" t="s">
        <v>2388</v>
      </c>
      <c r="E42" s="14" t="s">
        <v>2294</v>
      </c>
      <c r="F42" s="14" t="s">
        <v>2299</v>
      </c>
      <c r="G42" s="14">
        <v>1</v>
      </c>
    </row>
    <row r="43" spans="1:7" ht="159.94999999999999">
      <c r="A43" s="15" t="s">
        <v>2389</v>
      </c>
      <c r="B43" s="32" t="s">
        <v>67</v>
      </c>
      <c r="C43" s="18" t="s">
        <v>2390</v>
      </c>
      <c r="D43" s="13" t="s">
        <v>2391</v>
      </c>
      <c r="E43" s="14" t="s">
        <v>2294</v>
      </c>
      <c r="F43" s="14" t="s">
        <v>2295</v>
      </c>
      <c r="G43" s="14">
        <v>4</v>
      </c>
    </row>
    <row r="44" spans="1:7" ht="128.1">
      <c r="A44" s="15" t="s">
        <v>2392</v>
      </c>
      <c r="B44" s="32" t="s">
        <v>67</v>
      </c>
      <c r="C44" s="18" t="s">
        <v>2393</v>
      </c>
      <c r="D44" s="13" t="s">
        <v>2394</v>
      </c>
      <c r="E44" s="14" t="s">
        <v>2294</v>
      </c>
      <c r="F44" s="14" t="s">
        <v>2295</v>
      </c>
      <c r="G44" s="14">
        <v>0</v>
      </c>
    </row>
    <row r="45" spans="1:7" ht="144">
      <c r="A45" s="15" t="s">
        <v>2395</v>
      </c>
      <c r="B45" s="32" t="s">
        <v>67</v>
      </c>
      <c r="C45" s="18" t="s">
        <v>2396</v>
      </c>
      <c r="D45" s="13" t="s">
        <v>2397</v>
      </c>
      <c r="E45" s="14" t="s">
        <v>2294</v>
      </c>
      <c r="F45" s="14" t="s">
        <v>2299</v>
      </c>
      <c r="G45" s="14">
        <v>2</v>
      </c>
    </row>
    <row r="46" spans="1:7" ht="144">
      <c r="A46" s="15" t="s">
        <v>2398</v>
      </c>
      <c r="B46" s="32" t="s">
        <v>67</v>
      </c>
      <c r="C46" s="18" t="s">
        <v>2399</v>
      </c>
      <c r="D46" s="13" t="s">
        <v>2400</v>
      </c>
      <c r="E46" s="14" t="s">
        <v>2294</v>
      </c>
      <c r="F46" s="14" t="s">
        <v>2295</v>
      </c>
      <c r="G46" s="14">
        <v>3</v>
      </c>
    </row>
    <row r="47" spans="1:7" ht="192">
      <c r="A47" s="15" t="s">
        <v>2401</v>
      </c>
      <c r="B47" s="32" t="s">
        <v>67</v>
      </c>
      <c r="C47" s="18" t="s">
        <v>2402</v>
      </c>
      <c r="D47" s="13" t="s">
        <v>2403</v>
      </c>
      <c r="E47" s="14" t="s">
        <v>2294</v>
      </c>
      <c r="F47" s="14" t="s">
        <v>2295</v>
      </c>
      <c r="G47" s="14">
        <v>1</v>
      </c>
    </row>
    <row r="48" spans="1:7" ht="15.95">
      <c r="A48" s="15" t="s">
        <v>2404</v>
      </c>
      <c r="B48" s="32" t="s">
        <v>64</v>
      </c>
      <c r="F48" s="14" t="s">
        <v>2299</v>
      </c>
      <c r="G48" s="14">
        <v>2</v>
      </c>
    </row>
    <row r="49" spans="1:7" ht="192">
      <c r="A49" s="15" t="s">
        <v>2405</v>
      </c>
      <c r="B49" s="32" t="s">
        <v>67</v>
      </c>
      <c r="C49" s="18" t="s">
        <v>2406</v>
      </c>
      <c r="D49" s="13" t="s">
        <v>2407</v>
      </c>
      <c r="E49" s="14" t="s">
        <v>2298</v>
      </c>
      <c r="F49" s="14" t="s">
        <v>2299</v>
      </c>
      <c r="G49" s="14">
        <v>5</v>
      </c>
    </row>
    <row r="50" spans="1:7" ht="15.95">
      <c r="A50" s="15" t="s">
        <v>2408</v>
      </c>
      <c r="B50" s="32" t="s">
        <v>64</v>
      </c>
      <c r="F50" s="14" t="s">
        <v>2299</v>
      </c>
      <c r="G50" s="14">
        <v>2</v>
      </c>
    </row>
    <row r="51" spans="1:7" ht="128.1">
      <c r="A51" s="16" t="s">
        <v>2409</v>
      </c>
      <c r="B51" s="32" t="s">
        <v>67</v>
      </c>
      <c r="C51" s="18" t="s">
        <v>2410</v>
      </c>
      <c r="D51" s="13" t="s">
        <v>2411</v>
      </c>
      <c r="E51" s="14" t="s">
        <v>2294</v>
      </c>
      <c r="F51" s="27" t="s">
        <v>2299</v>
      </c>
      <c r="G51" s="27">
        <v>1</v>
      </c>
    </row>
    <row r="52" spans="1:7" ht="224.1">
      <c r="A52" s="15" t="s">
        <v>2412</v>
      </c>
      <c r="B52" s="32" t="s">
        <v>67</v>
      </c>
      <c r="C52" s="18" t="s">
        <v>2413</v>
      </c>
      <c r="D52" s="13" t="s">
        <v>2414</v>
      </c>
      <c r="E52" s="14" t="s">
        <v>2298</v>
      </c>
      <c r="F52" s="27" t="s">
        <v>2299</v>
      </c>
      <c r="G52" s="27">
        <v>1</v>
      </c>
    </row>
    <row r="53" spans="1:7" ht="144">
      <c r="A53" s="17" t="s">
        <v>2415</v>
      </c>
      <c r="B53" s="34" t="s">
        <v>67</v>
      </c>
      <c r="C53" s="18" t="s">
        <v>2416</v>
      </c>
      <c r="D53" s="13" t="s">
        <v>2417</v>
      </c>
      <c r="E53" s="14" t="s">
        <v>2298</v>
      </c>
      <c r="F53" s="14" t="s">
        <v>2295</v>
      </c>
      <c r="G53" s="14">
        <v>1</v>
      </c>
    </row>
    <row r="54" spans="1:7" ht="111.95">
      <c r="A54" s="15" t="s">
        <v>2418</v>
      </c>
      <c r="B54" s="32" t="s">
        <v>67</v>
      </c>
      <c r="C54" s="18" t="s">
        <v>2419</v>
      </c>
      <c r="D54" s="13" t="s">
        <v>2420</v>
      </c>
      <c r="E54" s="14" t="s">
        <v>2294</v>
      </c>
      <c r="F54" s="27" t="s">
        <v>2299</v>
      </c>
      <c r="G54" s="27">
        <v>0</v>
      </c>
    </row>
    <row r="55" spans="1:7" ht="128.1">
      <c r="A55" s="15" t="s">
        <v>912</v>
      </c>
      <c r="B55" s="32" t="s">
        <v>67</v>
      </c>
      <c r="C55" s="18" t="s">
        <v>2421</v>
      </c>
      <c r="D55" s="13" t="s">
        <v>2422</v>
      </c>
      <c r="E55" s="14" t="s">
        <v>2298</v>
      </c>
      <c r="F55" s="14" t="s">
        <v>2302</v>
      </c>
      <c r="G55" s="14">
        <v>0</v>
      </c>
    </row>
    <row r="56" spans="1:7" ht="63.95">
      <c r="A56" s="14" t="s">
        <v>1247</v>
      </c>
      <c r="B56" s="14" t="s">
        <v>67</v>
      </c>
      <c r="C56" s="18" t="s">
        <v>2423</v>
      </c>
      <c r="D56" s="13" t="s">
        <v>2424</v>
      </c>
      <c r="E56" s="14" t="s">
        <v>2298</v>
      </c>
      <c r="F56" s="14" t="s">
        <v>2299</v>
      </c>
      <c r="G56" s="14">
        <v>0</v>
      </c>
    </row>
    <row r="57" spans="1:7">
      <c r="A57" s="14" t="s">
        <v>2425</v>
      </c>
      <c r="B57" s="14" t="s">
        <v>64</v>
      </c>
      <c r="F57" s="14" t="s">
        <v>2299</v>
      </c>
      <c r="G57" s="14">
        <v>0</v>
      </c>
    </row>
  </sheetData>
  <hyperlinks>
    <hyperlink ref="C16" r:id="rId1" xr:uid="{397E50BD-63BA-4E3F-A8FB-20D0AB7D9BE9}"/>
    <hyperlink ref="C17" r:id="rId2" xr:uid="{3AE89B4E-DEB7-4821-B5BB-865EB83A8529}"/>
    <hyperlink ref="C55" r:id="rId3" xr:uid="{4FD669EB-453C-4C39-A982-83ED30509A7A}"/>
    <hyperlink ref="C54" r:id="rId4" xr:uid="{07555169-53C0-47CB-B33E-24AB84F9FC34}"/>
    <hyperlink ref="C53" r:id="rId5" xr:uid="{45334D70-F5B2-4792-BA85-C93D27C0B01E}"/>
    <hyperlink ref="C52" r:id="rId6" xr:uid="{2B9805DC-9FCC-4C2C-9C5F-579C4DB0F40B}"/>
    <hyperlink ref="C51" r:id="rId7" xr:uid="{395E8A68-3D05-4324-BE73-132D0BD37253}"/>
    <hyperlink ref="C49" r:id="rId8" xr:uid="{8F6EC8BC-D7AA-45B7-AE9E-38CCCA86B535}"/>
    <hyperlink ref="C47" r:id="rId9" xr:uid="{B8116FD6-FAE9-41C6-B75D-BA9E6C74F773}"/>
    <hyperlink ref="C46" r:id="rId10" xr:uid="{167AA772-3BD5-4D87-AB83-E869537189ED}"/>
    <hyperlink ref="C45" r:id="rId11" xr:uid="{F50CADDA-16C6-46E6-B14F-03050D402519}"/>
    <hyperlink ref="C44" r:id="rId12" xr:uid="{DDB4B8D8-E8CA-4659-9967-4735E19A78DD}"/>
    <hyperlink ref="C43" r:id="rId13" xr:uid="{0BCBB541-7C30-4D36-9CA9-B691139104F2}"/>
    <hyperlink ref="C42" r:id="rId14" xr:uid="{1360687D-4CA4-48D9-AD32-63E434142F51}"/>
    <hyperlink ref="C2" r:id="rId15" xr:uid="{27C37A5A-DD02-4445-B8A9-BE65132E3286}"/>
    <hyperlink ref="C4" r:id="rId16" xr:uid="{90CFB217-D59F-4E7A-9D87-338EA4B79A11}"/>
    <hyperlink ref="C5" r:id="rId17" xr:uid="{6FE3321C-005F-4870-9324-A9DAED719EA7}"/>
    <hyperlink ref="C6" r:id="rId18" xr:uid="{0F97774E-386C-4052-A16D-DE29764A83A2}"/>
    <hyperlink ref="C7" r:id="rId19" xr:uid="{D51B2329-5BD8-4D4B-AE14-412C458AAAAA}"/>
    <hyperlink ref="C8" r:id="rId20" xr:uid="{3AFD4609-DA0C-46C1-BF84-2448124CB655}"/>
    <hyperlink ref="C9" r:id="rId21" xr:uid="{63B8661B-AE59-4430-971D-33C8285EC384}"/>
    <hyperlink ref="C11" r:id="rId22" xr:uid="{DA4F8C1E-273B-4BE9-8491-D9CB76F92426}"/>
    <hyperlink ref="C12" r:id="rId23" xr:uid="{A21A42B2-5C6C-41F5-82DF-ECBAE702B94B}"/>
    <hyperlink ref="C10" r:id="rId24" xr:uid="{E2675FA1-5A44-462A-B604-053784CBEB5F}"/>
    <hyperlink ref="C13" r:id="rId25" xr:uid="{1541648D-C23C-4457-BB9F-D113A5E4D561}"/>
    <hyperlink ref="C18" r:id="rId26" xr:uid="{650B9B47-2726-4419-A4EF-046714E4CADD}"/>
    <hyperlink ref="C19" r:id="rId27" xr:uid="{69B88BD1-8051-4112-927A-DDE1E7266869}"/>
    <hyperlink ref="C22" r:id="rId28" xr:uid="{2A19F18C-F41F-4FE8-8501-00FA645DCBB8}"/>
    <hyperlink ref="C23" r:id="rId29" xr:uid="{74EC0BA4-AD0B-49F9-83D7-19B1E5741F40}"/>
    <hyperlink ref="C24" r:id="rId30" xr:uid="{120F89A0-FD57-4846-925C-201812592CA4}"/>
    <hyperlink ref="C25" r:id="rId31" xr:uid="{3B3F7E33-5487-4E9B-BE39-02623A8E6C2D}"/>
    <hyperlink ref="C26" r:id="rId32" xr:uid="{2886065F-897A-460C-B7CE-8E42EADB05A5}"/>
    <hyperlink ref="C27" r:id="rId33" xr:uid="{385EC4AD-85A3-4248-8BC4-EA2D70C0C6C8}"/>
    <hyperlink ref="C28" r:id="rId34" xr:uid="{BCA5987D-282D-43DA-8D2D-AAB641195D33}"/>
    <hyperlink ref="C29" r:id="rId35" xr:uid="{8793D8C6-48F3-4905-A0E1-D9D0BFE05D49}"/>
    <hyperlink ref="C30" r:id="rId36" xr:uid="{B02CA2B0-95D4-412D-B6D1-4961E078A86C}"/>
    <hyperlink ref="C31" r:id="rId37" xr:uid="{0B768158-6C5E-472B-9615-AB681092ECD6}"/>
    <hyperlink ref="C32" r:id="rId38" xr:uid="{C256BD54-CF8A-4153-B676-1716CAF892AC}"/>
    <hyperlink ref="C33" r:id="rId39" xr:uid="{EF07615A-DB33-4791-81F0-D7C648CC35B1}"/>
    <hyperlink ref="C34" r:id="rId40" xr:uid="{F861312A-D9E6-44EF-BC7D-54F5B68CCD55}"/>
    <hyperlink ref="C35" r:id="rId41" xr:uid="{625895FE-A4FD-477F-BB5F-3D93BF88B2F5}"/>
    <hyperlink ref="C36" r:id="rId42" xr:uid="{9B6CCC74-8D93-4406-A278-0364F37BEE29}"/>
    <hyperlink ref="C37" r:id="rId43" xr:uid="{F57FCEDD-C997-4D80-B3BB-737C909111F1}"/>
    <hyperlink ref="C38" r:id="rId44" xr:uid="{B870EC0C-318E-40FF-B24F-60E85188FB96}"/>
    <hyperlink ref="C39" r:id="rId45" xr:uid="{B8D43484-3FBC-4533-BA71-C681291189CB}"/>
    <hyperlink ref="C40" r:id="rId46" xr:uid="{919AF2DA-57E2-4340-9DB7-AB4DEF834430}"/>
    <hyperlink ref="C41" r:id="rId47" xr:uid="{30B9429F-3CBE-4C9E-B580-2518BCB4FC31}"/>
    <hyperlink ref="C56" r:id="rId48" xr:uid="{7EFD8241-643A-4DEE-A65F-AE6867202CD7}"/>
    <hyperlink ref="C3" r:id="rId49" xr:uid="{2F28980F-D387-4F1A-B7AA-61EBDBF2C373}"/>
    <hyperlink ref="C21" r:id="rId50" xr:uid="{6ED0FA30-4448-45D3-9236-A7618C5C953D}"/>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84067-DF5B-4FA1-B4C6-0D652EEA0FEC}">
  <dimension ref="A1:N87"/>
  <sheetViews>
    <sheetView tabSelected="1" workbookViewId="0">
      <pane ySplit="1" topLeftCell="A2" activePane="bottomLeft" state="frozen"/>
      <selection pane="bottomLeft" activeCell="N72" sqref="N72"/>
    </sheetView>
  </sheetViews>
  <sheetFormatPr defaultColWidth="11.42578125" defaultRowHeight="15"/>
  <cols>
    <col min="1" max="1" width="30.28515625" style="40" customWidth="1"/>
    <col min="2" max="2" width="34.85546875" style="40" customWidth="1"/>
    <col min="3" max="3" width="28.85546875" style="40" customWidth="1"/>
    <col min="4" max="4" width="31.28515625" style="23" customWidth="1"/>
    <col min="5" max="5" width="29" style="40" customWidth="1"/>
    <col min="10" max="10" width="38.42578125" style="55" customWidth="1"/>
  </cols>
  <sheetData>
    <row r="1" spans="1:14" s="19" customFormat="1" ht="53.25" customHeight="1">
      <c r="A1" s="57" t="s">
        <v>2426</v>
      </c>
      <c r="B1" s="57" t="s">
        <v>2427</v>
      </c>
      <c r="C1" s="57" t="s">
        <v>2428</v>
      </c>
      <c r="D1" s="58" t="s">
        <v>2429</v>
      </c>
      <c r="E1" s="57" t="s">
        <v>37</v>
      </c>
      <c r="J1" s="63"/>
    </row>
    <row r="2" spans="1:14" ht="15.95">
      <c r="A2" s="40" t="s">
        <v>59</v>
      </c>
      <c r="B2" s="40" t="s">
        <v>293</v>
      </c>
      <c r="D2" s="23" t="s">
        <v>73</v>
      </c>
      <c r="E2" s="40" t="s">
        <v>2430</v>
      </c>
    </row>
    <row r="3" spans="1:14" ht="15.95">
      <c r="A3" s="40" t="s">
        <v>927</v>
      </c>
      <c r="B3" s="40" t="s">
        <v>62</v>
      </c>
      <c r="D3" s="23" t="s">
        <v>433</v>
      </c>
    </row>
    <row r="4" spans="1:14" ht="15.95">
      <c r="A4" s="40" t="s">
        <v>128</v>
      </c>
      <c r="B4" s="40" t="s">
        <v>163</v>
      </c>
      <c r="D4" s="23" t="s">
        <v>930</v>
      </c>
    </row>
    <row r="5" spans="1:14" ht="15.95">
      <c r="A5" s="40" t="s">
        <v>275</v>
      </c>
      <c r="B5" s="40" t="s">
        <v>431</v>
      </c>
      <c r="D5" s="23" t="s">
        <v>270</v>
      </c>
    </row>
    <row r="6" spans="1:14" ht="42" customHeight="1">
      <c r="A6" s="40" t="s">
        <v>649</v>
      </c>
      <c r="B6" s="40" t="s">
        <v>1291</v>
      </c>
      <c r="D6" s="23" t="s">
        <v>1147</v>
      </c>
    </row>
    <row r="7" spans="1:14" ht="15.95">
      <c r="A7" s="40" t="s">
        <v>440</v>
      </c>
      <c r="B7" s="40" t="s">
        <v>1319</v>
      </c>
      <c r="D7" s="23" t="s">
        <v>1709</v>
      </c>
    </row>
    <row r="8" spans="1:14" ht="32.1">
      <c r="B8" s="40" t="s">
        <v>2431</v>
      </c>
      <c r="D8" s="23" t="s">
        <v>1150</v>
      </c>
      <c r="N8">
        <v>0</v>
      </c>
    </row>
    <row r="9" spans="1:14" ht="15.95">
      <c r="B9" s="40" t="s">
        <v>258</v>
      </c>
      <c r="D9" s="23" t="s">
        <v>516</v>
      </c>
      <c r="N9">
        <v>1</v>
      </c>
    </row>
    <row r="10" spans="1:14">
      <c r="B10" s="40" t="s">
        <v>531</v>
      </c>
      <c r="D10" s="35" t="s">
        <v>2432</v>
      </c>
      <c r="N10">
        <v>6</v>
      </c>
    </row>
    <row r="11" spans="1:14">
      <c r="B11" s="40" t="s">
        <v>527</v>
      </c>
      <c r="N11">
        <v>2</v>
      </c>
    </row>
    <row r="12" spans="1:14">
      <c r="B12" s="40" t="s">
        <v>2433</v>
      </c>
      <c r="N12">
        <v>12</v>
      </c>
    </row>
    <row r="13" spans="1:14">
      <c r="B13" s="40" t="s">
        <v>2434</v>
      </c>
      <c r="J13" s="55" t="s">
        <v>1598</v>
      </c>
      <c r="N13">
        <v>6</v>
      </c>
    </row>
    <row r="14" spans="1:14" ht="15.95">
      <c r="B14" s="56" t="s">
        <v>587</v>
      </c>
      <c r="J14" s="23" t="s">
        <v>1601</v>
      </c>
      <c r="N14">
        <v>3</v>
      </c>
    </row>
    <row r="15" spans="1:14" ht="15.95">
      <c r="B15" s="56" t="s">
        <v>109</v>
      </c>
      <c r="J15" s="23" t="s">
        <v>1627</v>
      </c>
      <c r="N15">
        <v>7</v>
      </c>
    </row>
    <row r="16" spans="1:14" ht="15.95">
      <c r="B16" s="40" t="s">
        <v>2435</v>
      </c>
      <c r="J16" s="23" t="s">
        <v>1651</v>
      </c>
      <c r="N16">
        <v>8</v>
      </c>
    </row>
    <row r="17" spans="2:14" ht="15.95">
      <c r="B17" s="40" t="s">
        <v>2436</v>
      </c>
      <c r="J17" s="23" t="s">
        <v>1809</v>
      </c>
      <c r="N17">
        <v>8</v>
      </c>
    </row>
    <row r="18" spans="2:14" ht="15.95">
      <c r="B18" s="40" t="s">
        <v>2437</v>
      </c>
      <c r="J18" s="23" t="s">
        <v>1832</v>
      </c>
      <c r="N18">
        <v>2</v>
      </c>
    </row>
    <row r="19" spans="2:14" ht="15.95">
      <c r="B19" s="40" t="s">
        <v>2438</v>
      </c>
      <c r="J19" s="23" t="s">
        <v>1875</v>
      </c>
      <c r="N19">
        <v>3</v>
      </c>
    </row>
    <row r="20" spans="2:14">
      <c r="B20" s="40" t="s">
        <v>1950</v>
      </c>
      <c r="J20" s="64" t="s">
        <v>2439</v>
      </c>
      <c r="N20">
        <v>3</v>
      </c>
    </row>
    <row r="21" spans="2:14">
      <c r="B21" s="40" t="s">
        <v>2440</v>
      </c>
      <c r="N21">
        <v>7</v>
      </c>
    </row>
    <row r="22" spans="2:14">
      <c r="B22" s="40" t="s">
        <v>486</v>
      </c>
      <c r="N22">
        <v>2</v>
      </c>
    </row>
    <row r="23" spans="2:14">
      <c r="B23" s="40" t="s">
        <v>2441</v>
      </c>
      <c r="N23">
        <v>30</v>
      </c>
    </row>
    <row r="24" spans="2:14">
      <c r="B24" s="40" t="s">
        <v>2442</v>
      </c>
      <c r="N24">
        <v>8</v>
      </c>
    </row>
    <row r="25" spans="2:14">
      <c r="B25" s="40" t="s">
        <v>2443</v>
      </c>
      <c r="N25">
        <v>4</v>
      </c>
    </row>
    <row r="26" spans="2:14">
      <c r="B26" s="40" t="s">
        <v>2444</v>
      </c>
      <c r="N26">
        <v>4</v>
      </c>
    </row>
    <row r="27" spans="2:14">
      <c r="B27" s="40" t="s">
        <v>2445</v>
      </c>
      <c r="N27">
        <v>6</v>
      </c>
    </row>
    <row r="28" spans="2:14">
      <c r="B28" s="40" t="s">
        <v>2446</v>
      </c>
      <c r="N28">
        <v>6</v>
      </c>
    </row>
    <row r="29" spans="2:14">
      <c r="B29" s="40" t="s">
        <v>2447</v>
      </c>
      <c r="N29">
        <v>6</v>
      </c>
    </row>
    <row r="30" spans="2:14">
      <c r="B30" s="40" t="s">
        <v>2448</v>
      </c>
      <c r="N30">
        <v>6</v>
      </c>
    </row>
    <row r="31" spans="2:14">
      <c r="B31" s="40" t="s">
        <v>2449</v>
      </c>
      <c r="N31">
        <v>9</v>
      </c>
    </row>
    <row r="32" spans="2:14">
      <c r="B32" s="40" t="s">
        <v>2450</v>
      </c>
      <c r="N32">
        <v>7</v>
      </c>
    </row>
    <row r="33" spans="2:14">
      <c r="B33" s="40" t="s">
        <v>2451</v>
      </c>
    </row>
    <row r="34" spans="2:14">
      <c r="B34" s="40" t="s">
        <v>2452</v>
      </c>
      <c r="N34">
        <v>6</v>
      </c>
    </row>
    <row r="35" spans="2:14">
      <c r="B35" s="40" t="s">
        <v>2453</v>
      </c>
      <c r="N35">
        <v>1</v>
      </c>
    </row>
    <row r="36" spans="2:14">
      <c r="N36">
        <v>6</v>
      </c>
    </row>
    <row r="37" spans="2:14">
      <c r="N37">
        <v>1</v>
      </c>
    </row>
    <row r="39" spans="2:14">
      <c r="N39">
        <v>2</v>
      </c>
    </row>
    <row r="40" spans="2:14">
      <c r="N40">
        <v>3</v>
      </c>
    </row>
    <row r="41" spans="2:14">
      <c r="N41">
        <v>6</v>
      </c>
    </row>
    <row r="42" spans="2:14">
      <c r="N42">
        <v>6</v>
      </c>
    </row>
    <row r="43" spans="2:14">
      <c r="N43">
        <v>6</v>
      </c>
    </row>
    <row r="44" spans="2:14">
      <c r="N44">
        <v>7</v>
      </c>
    </row>
    <row r="45" spans="2:14">
      <c r="N45">
        <v>6</v>
      </c>
    </row>
    <row r="46" spans="2:14">
      <c r="N46">
        <v>0</v>
      </c>
    </row>
    <row r="47" spans="2:14">
      <c r="N47">
        <v>0</v>
      </c>
    </row>
    <row r="48" spans="2:14">
      <c r="N48">
        <v>7</v>
      </c>
    </row>
    <row r="49" spans="14:14">
      <c r="N49">
        <v>24</v>
      </c>
    </row>
    <row r="50" spans="14:14">
      <c r="N50">
        <v>12</v>
      </c>
    </row>
    <row r="51" spans="14:14">
      <c r="N51">
        <v>28</v>
      </c>
    </row>
    <row r="52" spans="14:14">
      <c r="N52">
        <v>6</v>
      </c>
    </row>
    <row r="53" spans="14:14">
      <c r="N53">
        <v>6</v>
      </c>
    </row>
    <row r="54" spans="14:14">
      <c r="N54">
        <v>35</v>
      </c>
    </row>
    <row r="55" spans="14:14">
      <c r="N55">
        <v>35</v>
      </c>
    </row>
    <row r="56" spans="14:14">
      <c r="N56">
        <v>9</v>
      </c>
    </row>
    <row r="57" spans="14:14">
      <c r="N57">
        <v>7</v>
      </c>
    </row>
    <row r="58" spans="14:14">
      <c r="N58">
        <v>8</v>
      </c>
    </row>
    <row r="59" spans="14:14">
      <c r="N59">
        <v>8</v>
      </c>
    </row>
    <row r="60" spans="14:14">
      <c r="N60">
        <v>7</v>
      </c>
    </row>
    <row r="61" spans="14:14">
      <c r="N61">
        <v>17</v>
      </c>
    </row>
    <row r="62" spans="14:14">
      <c r="N62">
        <v>17</v>
      </c>
    </row>
    <row r="63" spans="14:14">
      <c r="N63">
        <v>27</v>
      </c>
    </row>
    <row r="64" spans="14:14">
      <c r="N64">
        <v>8</v>
      </c>
    </row>
    <row r="65" spans="14:14">
      <c r="N65">
        <v>35</v>
      </c>
    </row>
    <row r="66" spans="14:14">
      <c r="N66">
        <v>7</v>
      </c>
    </row>
    <row r="67" spans="14:14">
      <c r="N67">
        <v>8</v>
      </c>
    </row>
    <row r="68" spans="14:14">
      <c r="N68">
        <v>10</v>
      </c>
    </row>
    <row r="69" spans="14:14">
      <c r="N69">
        <v>8</v>
      </c>
    </row>
    <row r="70" spans="14:14">
      <c r="N70">
        <v>10</v>
      </c>
    </row>
    <row r="71" spans="14:14">
      <c r="N71">
        <v>66</v>
      </c>
    </row>
    <row r="72" spans="14:14">
      <c r="N72">
        <v>66</v>
      </c>
    </row>
    <row r="73" spans="14:14">
      <c r="N73">
        <v>66</v>
      </c>
    </row>
    <row r="74" spans="14:14">
      <c r="N74">
        <v>66</v>
      </c>
    </row>
    <row r="75" spans="14:14">
      <c r="N75">
        <v>2</v>
      </c>
    </row>
    <row r="76" spans="14:14">
      <c r="N76">
        <v>21</v>
      </c>
    </row>
    <row r="77" spans="14:14">
      <c r="N77">
        <v>8</v>
      </c>
    </row>
    <row r="78" spans="14:14">
      <c r="N78">
        <v>7</v>
      </c>
    </row>
    <row r="79" spans="14:14">
      <c r="N79">
        <v>27</v>
      </c>
    </row>
    <row r="80" spans="14:14">
      <c r="N80">
        <v>2</v>
      </c>
    </row>
    <row r="81" spans="14:14">
      <c r="N81">
        <v>27</v>
      </c>
    </row>
    <row r="82" spans="14:14">
      <c r="N82">
        <v>51</v>
      </c>
    </row>
    <row r="83" spans="14:14">
      <c r="N83">
        <v>30</v>
      </c>
    </row>
    <row r="84" spans="14:14">
      <c r="N84">
        <f>AVERAGE(N8:N83)</f>
        <v>13.297297297297296</v>
      </c>
    </row>
    <row r="85" spans="14:14">
      <c r="N85">
        <f>MEDIAN(N8:N83)</f>
        <v>7</v>
      </c>
    </row>
    <row r="86" spans="14:14">
      <c r="N86">
        <f>MAX(N8:N83)</f>
        <v>66</v>
      </c>
    </row>
    <row r="87" spans="14:14">
      <c r="N87">
        <f>MIN(N8:N83)</f>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87C64-6523-4A29-9EFB-F60719B2E9DA}">
  <dimension ref="A1:A50"/>
  <sheetViews>
    <sheetView workbookViewId="0">
      <selection activeCell="D21" sqref="D21"/>
    </sheetView>
  </sheetViews>
  <sheetFormatPr defaultColWidth="8.85546875" defaultRowHeight="15"/>
  <cols>
    <col min="1" max="1" width="150.85546875" style="94" customWidth="1"/>
  </cols>
  <sheetData>
    <row r="1" spans="1:1" ht="20.100000000000001" customHeight="1">
      <c r="A1" s="86" t="s">
        <v>2454</v>
      </c>
    </row>
    <row r="2" spans="1:1">
      <c r="A2" s="87"/>
    </row>
    <row r="3" spans="1:1" ht="20.100000000000001">
      <c r="A3" s="86" t="s">
        <v>2455</v>
      </c>
    </row>
    <row r="4" spans="1:1" ht="15.95">
      <c r="A4" s="88" t="s">
        <v>2456</v>
      </c>
    </row>
    <row r="5" spans="1:1">
      <c r="A5" s="89" t="s">
        <v>2457</v>
      </c>
    </row>
    <row r="6" spans="1:1">
      <c r="A6" s="96" t="s">
        <v>2458</v>
      </c>
    </row>
    <row r="7" spans="1:1">
      <c r="A7" s="89" t="s">
        <v>2459</v>
      </c>
    </row>
    <row r="8" spans="1:1">
      <c r="A8" s="89" t="s">
        <v>2460</v>
      </c>
    </row>
    <row r="9" spans="1:1">
      <c r="A9" s="88" t="s">
        <v>2461</v>
      </c>
    </row>
    <row r="10" spans="1:1">
      <c r="A10" s="89" t="s">
        <v>2462</v>
      </c>
    </row>
    <row r="11" spans="1:1">
      <c r="A11" s="88" t="s">
        <v>2463</v>
      </c>
    </row>
    <row r="12" spans="1:1">
      <c r="A12" s="89" t="s">
        <v>2464</v>
      </c>
    </row>
    <row r="13" spans="1:1">
      <c r="A13" s="88" t="s">
        <v>2465</v>
      </c>
    </row>
    <row r="14" spans="1:1">
      <c r="A14" s="88" t="s">
        <v>2466</v>
      </c>
    </row>
    <row r="15" spans="1:1">
      <c r="A15" s="88"/>
    </row>
    <row r="16" spans="1:1" ht="20.100000000000001">
      <c r="A16" s="86" t="s">
        <v>2467</v>
      </c>
    </row>
    <row r="17" spans="1:1">
      <c r="A17" s="87" t="s">
        <v>2468</v>
      </c>
    </row>
    <row r="18" spans="1:1">
      <c r="A18" s="90" t="s">
        <v>2469</v>
      </c>
    </row>
    <row r="19" spans="1:1">
      <c r="A19" s="90" t="s">
        <v>2470</v>
      </c>
    </row>
    <row r="20" spans="1:1">
      <c r="A20" s="87"/>
    </row>
    <row r="21" spans="1:1" ht="20.100000000000001">
      <c r="A21" s="86" t="s">
        <v>2471</v>
      </c>
    </row>
    <row r="22" spans="1:1" ht="15.95">
      <c r="A22" s="87" t="s">
        <v>2468</v>
      </c>
    </row>
    <row r="23" spans="1:1" ht="15.95">
      <c r="A23" s="88" t="s">
        <v>2472</v>
      </c>
    </row>
    <row r="24" spans="1:1" ht="15.95">
      <c r="A24" s="88" t="s">
        <v>2473</v>
      </c>
    </row>
    <row r="25" spans="1:1" ht="15.95">
      <c r="A25" s="88" t="s">
        <v>2474</v>
      </c>
    </row>
    <row r="26" spans="1:1" ht="15.95">
      <c r="A26" s="88" t="s">
        <v>2475</v>
      </c>
    </row>
    <row r="27" spans="1:1" ht="15.95">
      <c r="A27" s="88" t="s">
        <v>2476</v>
      </c>
    </row>
    <row r="28" spans="1:1">
      <c r="A28" s="87"/>
    </row>
    <row r="29" spans="1:1" ht="20.100000000000001">
      <c r="A29" s="86" t="s">
        <v>2477</v>
      </c>
    </row>
    <row r="30" spans="1:1" ht="15.95">
      <c r="A30" s="95" t="s">
        <v>2478</v>
      </c>
    </row>
    <row r="31" spans="1:1" ht="15.95">
      <c r="A31" s="88" t="s">
        <v>2479</v>
      </c>
    </row>
    <row r="32" spans="1:1">
      <c r="A32" s="88"/>
    </row>
    <row r="33" spans="1:1" ht="48">
      <c r="A33" s="88" t="s">
        <v>2480</v>
      </c>
    </row>
    <row r="34" spans="1:1">
      <c r="A34" s="88"/>
    </row>
    <row r="35" spans="1:1" ht="48">
      <c r="A35" s="88" t="s">
        <v>2481</v>
      </c>
    </row>
    <row r="36" spans="1:1">
      <c r="A36" s="88"/>
    </row>
    <row r="37" spans="1:1" ht="32.1">
      <c r="A37" s="88" t="s">
        <v>2482</v>
      </c>
    </row>
    <row r="38" spans="1:1">
      <c r="A38" s="88"/>
    </row>
    <row r="39" spans="1:1" ht="32.1">
      <c r="A39" s="88" t="s">
        <v>2483</v>
      </c>
    </row>
    <row r="40" spans="1:1">
      <c r="A40" s="88"/>
    </row>
    <row r="41" spans="1:1" ht="48">
      <c r="A41" s="88" t="s">
        <v>2484</v>
      </c>
    </row>
    <row r="42" spans="1:1">
      <c r="A42" s="88"/>
    </row>
    <row r="43" spans="1:1" ht="63.95">
      <c r="A43" s="88" t="s">
        <v>2485</v>
      </c>
    </row>
    <row r="44" spans="1:1">
      <c r="A44" s="91"/>
    </row>
    <row r="45" spans="1:1" ht="15.95">
      <c r="A45" s="92"/>
    </row>
    <row r="46" spans="1:1" ht="15.95">
      <c r="A46" s="92"/>
    </row>
    <row r="47" spans="1:1" ht="15.95">
      <c r="A47" s="92"/>
    </row>
    <row r="48" spans="1:1" ht="15.95">
      <c r="A48" s="93"/>
    </row>
    <row r="49" spans="1:1" ht="15.95">
      <c r="A49" s="93"/>
    </row>
    <row r="50" spans="1:1">
      <c r="A50" s="87"/>
    </row>
  </sheetData>
  <hyperlinks>
    <hyperlink ref="A4" r:id="rId1" tooltip="https://elicit.org/" display="https://elicit.org/" xr:uid="{B1845744-1388-4943-BF13-52F450FFB97A}"/>
    <hyperlink ref="A9" r:id="rId2" display="https://www.igi-global.com/viewtitle.aspx?TitleId=261846&amp;isxn=9781799807841" xr:uid="{4A583861-810D-BA48-9B64-03CAE8460026}"/>
    <hyperlink ref="A11" r:id="rId3" display="https://elicit.org/search?q=How+the+U.S.+CENSUS+can+help+State+Data+Centers%3F&amp;token=01H6VF95XHYNCG9T1EEY4T41EM&amp;paper=a417ceac8a01d856d3e4fdd7cf09f0ad24064062&amp;column=title" xr:uid="{3C03837D-6CEC-5444-B6CC-81AB27AFD754}"/>
    <hyperlink ref="A13" r:id="rId4" display="https://journals.sagepub.com/doi/pdf/10.1177/0002716210374414?casa_token=8q6dlQ8dKloAAAAA:hc_HuZrqkD8un65O2822htXjRgvNOSJsz-MrQt7YTmwKZ3V7ztBK742_m9f0pjsagUW7Lx5Xh1tP" xr:uid="{CC010150-4D34-544D-921E-C5F511464B5F}"/>
    <hyperlink ref="A14" r:id="rId5" display="https://www.sciencedirect.com/science/article/pii/S0736585320301854?via%3Dihub" xr:uid="{0A7D82DF-9705-D94C-8FB9-94DEB12D9057}"/>
    <hyperlink ref="A23" r:id="rId6" display="https://www.urban.org/" xr:uid="{6FFBA39B-4526-E746-895A-CB3367C4D5EF}"/>
    <hyperlink ref="A24" r:id="rId7" tooltip="https://www.apdu.org/" display="https://www.apdu.org/" xr:uid="{7025D309-3E84-964A-A2CD-B7367487A0E0}"/>
    <hyperlink ref="A25" r:id="rId8" location="s-lg-box-wrapper-28547820" tooltip="https://guides.lib.virginia.edu/datascience/gov-docs#s-lg-box-wrapper-28547820" display="https://guides.lib.virginia.edu/datascience/gov-docs - s-lg-box-wrapper-28547820" xr:uid="{A76A40F9-CCE8-364C-842A-4CC9DE9270F3}"/>
    <hyperlink ref="A26" r:id="rId9" tooltip="https://www.naco.org/" display="https://www.naco.org/" xr:uid="{9F4F199C-B0FB-EC4D-9417-8C017AD85F35}"/>
    <hyperlink ref="A27" r:id="rId10" display="https://www.ncsl.org/" xr:uid="{526C8A3E-5CA1-EF4F-AB26-EB7468762CE3}"/>
    <hyperlink ref="A31" r:id="rId11" display="https://www.policymap.com/resources/customer-stories" xr:uid="{64ED9DD6-2BD2-754B-B183-4DCD3CB8BC50}"/>
    <hyperlink ref="A33" r:id="rId12" display="https://www.policymap.com/resources/customer-stories/city-of-philadelphia" xr:uid="{6D15D5FB-A8D4-6544-BB67-FA01671CF13C}"/>
    <hyperlink ref="A35" r:id="rId13" display="https://www.policymap.com/resources/customer-stories/usda-rural-housing-service" xr:uid="{2D4B1CDE-DCA4-0141-9269-41A1B4CAE686}"/>
    <hyperlink ref="A37" r:id="rId14" display="https://www.policymap.com/resources/customer-stories/city-of-dallas" xr:uid="{DB9986C4-3005-314C-945A-308AAA5DEBDB}"/>
    <hyperlink ref="A39" r:id="rId15" display="https://www.policymap.com/resources/customer-stories/hawaii-data-collaborative" xr:uid="{F119D2AF-6DD9-3D44-8A9A-ACD4DFF35C32}"/>
    <hyperlink ref="A41" r:id="rId16" display="https://www.policymap.com/resources/customer-stories/north-carolina-housing-finance-agency" xr:uid="{DCAE58CC-1F23-224F-9637-8A748E997C7D}"/>
    <hyperlink ref="A43" r:id="rId17" display="https://www.policymap.com/resources/customer-stories/connecticut-housing-finance-authority-chfa" xr:uid="{D5C31E68-BFFB-6B42-804C-F79A34AA9EF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E44FD3-7D88-4850-9B76-F3634CDEB4C9}"/>
</file>

<file path=customXml/itemProps2.xml><?xml version="1.0" encoding="utf-8"?>
<ds:datastoreItem xmlns:ds="http://schemas.openxmlformats.org/officeDocument/2006/customXml" ds:itemID="{9AD8265B-FEF6-46EE-906E-B35BD4082CB1}"/>
</file>

<file path=customXml/itemProps3.xml><?xml version="1.0" encoding="utf-8"?>
<ds:datastoreItem xmlns:ds="http://schemas.openxmlformats.org/officeDocument/2006/customXml" ds:itemID="{771C79EA-BDA9-49F5-B206-3ACCFE5CEB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Goswami, Treena (gcm8gw)</cp:lastModifiedBy>
  <cp:revision/>
  <dcterms:created xsi:type="dcterms:W3CDTF">2023-07-06T14:49:09Z</dcterms:created>
  <dcterms:modified xsi:type="dcterms:W3CDTF">2024-01-23T15:57:11Z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