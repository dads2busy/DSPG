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ttps://myuva.sharepoint.com/sites/sdad/Shared Documents/DSPG/DSPG 2023/"/>
    </mc:Choice>
  </mc:AlternateContent>
  <xr:revisionPtr revIDLastSave="3906" documentId="13_ncr:1_{5629E24E-C288-C94D-9B66-1D50BE9E28B1}" xr6:coauthVersionLast="47" xr6:coauthVersionMax="47" xr10:uidLastSave="{BF1BE833-3ABE-4774-8908-67B27B3FA601}"/>
  <bookViews>
    <workbookView xWindow="8470" yWindow="-21710" windowWidth="38620" windowHeight="21220" xr2:uid="{20752733-CECF-244C-8FC1-FB8503F612EE}"/>
  </bookViews>
  <sheets>
    <sheet name="roster + projects" sheetId="4" r:id="rId1"/>
    <sheet name="schedule" sheetId="1" r:id="rId2"/>
    <sheet name="Aug 3 social" sheetId="13" r:id="rId3"/>
    <sheet name="activity sign up" sheetId="10" r:id="rId4"/>
    <sheet name="budget" sheetId="12" r:id="rId5"/>
    <sheet name="mentor check ins" sheetId="8" r:id="rId6"/>
    <sheet name="staffing" sheetId="3" r:id="rId7"/>
    <sheet name="midterms" sheetId="9" r:id="rId8"/>
    <sheet name="standing zoom meetings" sheetId="7" r:id="rId9"/>
    <sheet name="intake" sheetId="6" r:id="rId10"/>
    <sheet name="project time breakdown" sheetId="5" r:id="rId11"/>
    <sheet name="July-4-Birthday" sheetId="11" r:id="rId12"/>
    <sheet name="activities" sheetId="2" r:id="rId13"/>
  </sheets>
  <definedNames>
    <definedName name="_xlnm._FilterDatabase" localSheetId="12" hidden="1">activities!$A$158:$C$158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2" l="1"/>
  <c r="D2" i="12"/>
  <c r="A2" i="12"/>
  <c r="O11" i="4"/>
  <c r="I11" i="4"/>
  <c r="B23" i="3"/>
  <c r="O10" i="4"/>
  <c r="O9" i="4"/>
  <c r="O8" i="4"/>
  <c r="O7" i="4"/>
  <c r="O6" i="4"/>
  <c r="O5" i="4"/>
  <c r="O4" i="4"/>
  <c r="O3" i="4"/>
  <c r="O2" i="4"/>
  <c r="I1" i="1"/>
  <c r="I10" i="4"/>
  <c r="I9" i="4"/>
  <c r="I7" i="4"/>
  <c r="I6" i="4"/>
  <c r="I4" i="4"/>
  <c r="I2" i="4"/>
  <c r="E2" i="5"/>
  <c r="F3" i="5"/>
  <c r="F4" i="5"/>
  <c r="O23" i="3"/>
  <c r="N23" i="3"/>
  <c r="M23" i="3"/>
  <c r="L23" i="3"/>
  <c r="K23" i="3"/>
  <c r="J23" i="3"/>
  <c r="I23" i="3"/>
  <c r="H23" i="3"/>
  <c r="G23" i="3"/>
  <c r="F23" i="3"/>
  <c r="E23" i="3"/>
  <c r="D23" i="3"/>
  <c r="C23" i="3"/>
  <c r="K152"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07" i="2"/>
  <c r="F5" i="5"/>
  <c r="E4" i="5"/>
  <c r="E3" i="5"/>
  <c r="E5" i="5"/>
  <c r="F6" i="5"/>
  <c r="E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tc={156464D8-34F3-4A2B-92A2-AFABF3F19782}</author>
    <author>tc={532B8FC2-1B75-4BAF-ACD1-EBD42B89C53F}</author>
  </authors>
  <commentList>
    <comment ref="AD7" authorId="0" shapeId="0" xr:uid="{156464D8-34F3-4A2B-92A2-AFABF3F19782}">
      <text>
        <t>[Threaded comment]
Your version of Excel allows you to read this threaded comment; however, any edits to it will get removed if the file is opened in a newer version of Excel. Learn more: https://go.microsoft.com/fwlink/?linkid=870924
Comment:
    Delete for now and make all further statistics topics TBD (i.e., depending on student interest and project direction)?</t>
      </text>
    </comment>
    <comment ref="AD9" authorId="1" shapeId="0" xr:uid="{532B8FC2-1B75-4BAF-ACD1-EBD42B89C53F}">
      <text>
        <t>[Threaded comment]
Your version of Excel allows you to read this threaded comment; however, any edits to it will get removed if the file is opened in a newer version of Excel. Learn more: https://go.microsoft.com/fwlink/?linkid=870924
Comment:
    I'll cover jupyter on Friday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tc={9FBED31D-341C-47D2-8027-099C49933ED3}</author>
    <author>tc={69575C62-61BC-4CCC-9579-E3D953396428}</author>
  </authors>
  <commentList>
    <comment ref="K113" authorId="0" shapeId="0" xr:uid="{9FBED31D-341C-47D2-8027-099C49933ED3}">
      <text>
        <t>[Threaded comment]
Your version of Excel allows you to read this threaded comment; however, any edits to it will get removed if the file is opened in a newer version of Excel. Learn more: https://go.microsoft.com/fwlink/?linkid=870924
Comment:
    Can we do Naming and Coding standards after the Git Intro? I would like them to internalize the weekly commit cycle process as part of a lab standard as well
Reply:
    good point</t>
      </text>
    </comment>
    <comment ref="I138" authorId="1" shapeId="0" xr:uid="{69575C62-61BC-4CCC-9579-E3D953396428}">
      <text>
        <t xml:space="preserve">[Threaded comment]
Your version of Excel allows you to read this threaded comment; however, any edits to it will get removed if the file is opened in a newer version of Excel. Learn more: https://go.microsoft.com/fwlink/?linkid=870924
Comment:
    Visualization Standards are very useful to learn, not just for graphs and charts, but the ideas are generally applicable to reports or powerpoints too
</t>
      </text>
    </comment>
  </commentList>
</comments>
</file>

<file path=xl/sharedStrings.xml><?xml version="1.0" encoding="utf-8"?>
<sst xmlns="http://schemas.openxmlformats.org/spreadsheetml/2006/main" count="1735" uniqueCount="738">
  <si>
    <t>Name, first</t>
  </si>
  <si>
    <t>Name, last</t>
  </si>
  <si>
    <t>Status</t>
  </si>
  <si>
    <t>Degree</t>
  </si>
  <si>
    <t>Institution</t>
  </si>
  <si>
    <t>phone</t>
  </si>
  <si>
    <t>email</t>
  </si>
  <si>
    <t>UVA ID</t>
  </si>
  <si>
    <t>GitHub</t>
  </si>
  <si>
    <t>Project 1</t>
  </si>
  <si>
    <t>Project Leads</t>
  </si>
  <si>
    <t>Project 2</t>
  </si>
  <si>
    <t>Mentor</t>
  </si>
  <si>
    <t>Contact info combined</t>
  </si>
  <si>
    <t>Anjali</t>
  </si>
  <si>
    <t>Mehta</t>
  </si>
  <si>
    <t>undergrad</t>
  </si>
  <si>
    <t>BS (Computer Science Engineering)</t>
  </si>
  <si>
    <t>University of Virginia</t>
  </si>
  <si>
    <t>703-677-0846</t>
  </si>
  <si>
    <t>wfn7ad@virginia.edu</t>
  </si>
  <si>
    <t>anjali8203</t>
  </si>
  <si>
    <t>Data Commons/Business Diversity</t>
  </si>
  <si>
    <t>Leonel, Aaron, Joel</t>
  </si>
  <si>
    <t>Biokind</t>
  </si>
  <si>
    <t>Ed</t>
  </si>
  <si>
    <t>Annie</t>
  </si>
  <si>
    <t>Xie</t>
  </si>
  <si>
    <t>graduate</t>
  </si>
  <si>
    <t>MA (Public Administration)</t>
  </si>
  <si>
    <t>CMU/Shanghai Jiao Tong University</t>
  </si>
  <si>
    <t>412-579-3228</t>
  </si>
  <si>
    <t>fumanx@andrew.cmu.edu</t>
  </si>
  <si>
    <t>xaz4jq</t>
  </si>
  <si>
    <t>fuman-annie-xie</t>
  </si>
  <si>
    <t>ERS Broadband</t>
  </si>
  <si>
    <t>Josh, Neil, Leonel</t>
  </si>
  <si>
    <t>Alan</t>
  </si>
  <si>
    <t>Jianing</t>
  </si>
  <si>
    <t>Cai</t>
  </si>
  <si>
    <t>BA (Math &amp; Computer Science)</t>
  </si>
  <si>
    <t>434-422-2556</t>
  </si>
  <si>
    <t>jc2ry@virginia.edu</t>
  </si>
  <si>
    <t>JianingC0913</t>
  </si>
  <si>
    <t>Census State Constitutions</t>
  </si>
  <si>
    <t>Vicki, Stephanie</t>
  </si>
  <si>
    <t>Kathryn</t>
  </si>
  <si>
    <t>Marijke</t>
  </si>
  <si>
    <t>van der Geer</t>
  </si>
  <si>
    <t>BA (Stats &amp; International Relations)</t>
  </si>
  <si>
    <t>San Diego State University</t>
  </si>
  <si>
    <t>858-731-6161</t>
  </si>
  <si>
    <t>mvandergeer0853@sdsu.edu</t>
  </si>
  <si>
    <t>vxb7ej</t>
  </si>
  <si>
    <t>marijkevdg</t>
  </si>
  <si>
    <t>Leonel</t>
  </si>
  <si>
    <t>Nakshatra</t>
  </si>
  <si>
    <t>Yalagach</t>
  </si>
  <si>
    <t>MS (Computer Science)</t>
  </si>
  <si>
    <t>854-210-8101</t>
  </si>
  <si>
    <t>jhj5dh@virginia.edu</t>
  </si>
  <si>
    <t>ARI</t>
  </si>
  <si>
    <t>JoJo</t>
  </si>
  <si>
    <t>Vicki</t>
  </si>
  <si>
    <t>Prashanth</t>
  </si>
  <si>
    <t>Wagle</t>
  </si>
  <si>
    <t>434-328-9784</t>
  </si>
  <si>
    <t>frk5pa@virginia.edu</t>
  </si>
  <si>
    <t>prashanthwagle</t>
  </si>
  <si>
    <t>Joanna</t>
  </si>
  <si>
    <t>Sara</t>
  </si>
  <si>
    <t>Shallenberger</t>
  </si>
  <si>
    <t>BA (Stats)</t>
  </si>
  <si>
    <t>Carleton College</t>
  </si>
  <si>
    <t>503-312-6043</t>
  </si>
  <si>
    <t>shallenbergers@carleton.edu</t>
  </si>
  <si>
    <t>zax3kt</t>
  </si>
  <si>
    <t>sarashallenberger</t>
  </si>
  <si>
    <t>Neil</t>
  </si>
  <si>
    <t>Steve</t>
  </si>
  <si>
    <t>Zhou</t>
  </si>
  <si>
    <t>434-326-8175</t>
  </si>
  <si>
    <t>wz8ry@virginia.edu</t>
  </si>
  <si>
    <t>Joel</t>
  </si>
  <si>
    <t>Trinity</t>
  </si>
  <si>
    <t>Chamblin</t>
  </si>
  <si>
    <t>BS (Stats &amp; Computer Science)</t>
  </si>
  <si>
    <t>540-360-8250</t>
  </si>
  <si>
    <t>huz2ph@virginia.edu</t>
  </si>
  <si>
    <t>tdcham</t>
  </si>
  <si>
    <t>Cesar</t>
  </si>
  <si>
    <t>Kate</t>
  </si>
  <si>
    <t>Lanman</t>
  </si>
  <si>
    <t>BS (Data Science and Mathematics)</t>
  </si>
  <si>
    <t>Northeastern University</t>
  </si>
  <si>
    <t>mee5vc@virginia.edu</t>
  </si>
  <si>
    <t>Project - Primary</t>
  </si>
  <si>
    <t>Project Lead</t>
  </si>
  <si>
    <t>Census/Community Resilience</t>
  </si>
  <si>
    <t>Stephanie</t>
  </si>
  <si>
    <t>Data Commons - Business Diversity</t>
  </si>
  <si>
    <t>Aaron</t>
  </si>
  <si>
    <t>ERS using Black Knight</t>
  </si>
  <si>
    <t>Josh</t>
  </si>
  <si>
    <t>Project - Secondary</t>
  </si>
  <si>
    <t>DSPG cohort</t>
  </si>
  <si>
    <t>Cesar/Joel/Joanna (advisor)</t>
  </si>
  <si>
    <t>Legend --&gt;</t>
  </si>
  <si>
    <t>Theory type stuff</t>
  </si>
  <si>
    <t>Applied type stuff</t>
  </si>
  <si>
    <t>Social type stuff</t>
  </si>
  <si>
    <t>Probably going to change, move, etc. type stuff</t>
  </si>
  <si>
    <t>Admin type stuff</t>
  </si>
  <si>
    <t>Project time and team specific meetings</t>
  </si>
  <si>
    <t>hours/week for 9 weeks</t>
  </si>
  <si>
    <t>Monday</t>
  </si>
  <si>
    <t>Tuesday</t>
  </si>
  <si>
    <t>Wednesday</t>
  </si>
  <si>
    <t>Thursday</t>
  </si>
  <si>
    <t>Friday</t>
  </si>
  <si>
    <t>Saturday</t>
  </si>
  <si>
    <t>Sunday</t>
  </si>
  <si>
    <t>To be scheduled</t>
  </si>
  <si>
    <t>May</t>
  </si>
  <si>
    <t>June</t>
  </si>
  <si>
    <t>Memorial Day</t>
  </si>
  <si>
    <t>Welcome - JT/CM; Admin review - KL</t>
  </si>
  <si>
    <t>Admin follow up (if necessary) -KL</t>
  </si>
  <si>
    <t>project time</t>
  </si>
  <si>
    <t>Monday Morning Coffee @ Compass - Random hypotheses for data science, e.g., ML for animal sounds</t>
  </si>
  <si>
    <t>Foundational Statistics @ 9:30 AM - EW</t>
  </si>
  <si>
    <t>Outdoor Series: Alexandria</t>
  </si>
  <si>
    <t>Monday Morning Coffee @ Compass</t>
  </si>
  <si>
    <t>project time / Resilience mtg</t>
  </si>
  <si>
    <t>Mapping + Geolocation - LS</t>
  </si>
  <si>
    <t>Juneteenth</t>
  </si>
  <si>
    <t>Introduction to Machine Learning - NK</t>
  </si>
  <si>
    <t>Outdoor Series: Annapolis Rock</t>
  </si>
  <si>
    <t>SDAD's Coding Best Practices - KL, NK, AW</t>
  </si>
  <si>
    <t>Outdoor Series: Harpers Ferry</t>
  </si>
  <si>
    <t>Setup at desks; IT/tech trouble shooting</t>
  </si>
  <si>
    <t>CLD3 and Data Science Framework - SSS/paper</t>
  </si>
  <si>
    <t>Accessing Rivanna - NA</t>
  </si>
  <si>
    <t>Team building - JT</t>
  </si>
  <si>
    <t>Intro to Git (2 hours) - AW</t>
  </si>
  <si>
    <t>Speaker: Jing Cao</t>
  </si>
  <si>
    <t>Foundational Statistics - EW</t>
  </si>
  <si>
    <t>Pandas - AW</t>
  </si>
  <si>
    <t>Git 2: Electric Boogaloo - AW</t>
  </si>
  <si>
    <t>NLP / text mining - NK</t>
  </si>
  <si>
    <t>project time / Data Commons team mtg</t>
  </si>
  <si>
    <t>project time / Biokind mtg</t>
  </si>
  <si>
    <t>Kung-fu Pandas 2: Red Pandas Revenge - AW, NK</t>
  </si>
  <si>
    <t>Github 2, Fork, Pull Requests, Merging to NAD</t>
  </si>
  <si>
    <t>Linear and Logistic Regression - EW (Change to Foundational Statistics 2?)</t>
  </si>
  <si>
    <t>SDAD Talent Show</t>
  </si>
  <si>
    <t>Data Management plan; I-9; IRB/Citi training - JT</t>
  </si>
  <si>
    <t>Project Descriptions - SDAD</t>
  </si>
  <si>
    <t>Intro to R - JS</t>
  </si>
  <si>
    <t>project time / Data Commons mtg</t>
  </si>
  <si>
    <t>Kung-fu Pandas 2: Red Pandas Revenge - AW,NK</t>
  </si>
  <si>
    <t xml:space="preserve">Bayesian statistics - JG </t>
  </si>
  <si>
    <t>Geocoding tool Inspection</t>
  </si>
  <si>
    <t>Biokind Sponsor mtg w/ Alex Han</t>
  </si>
  <si>
    <t>project time / ARI mtg</t>
  </si>
  <si>
    <t>Speaker 2: SAGE MethodSpace</t>
  </si>
  <si>
    <t>Celebratory lunch w/ Dr. Alan</t>
  </si>
  <si>
    <t>Biokind meeting</t>
  </si>
  <si>
    <t xml:space="preserve">project time </t>
  </si>
  <si>
    <t>Speaker 4: Haleigh Tomlin</t>
  </si>
  <si>
    <t>Collaborative Journal Club - JW/JT</t>
  </si>
  <si>
    <t>potential Deloitte visit?</t>
  </si>
  <si>
    <t>Lunch w/ SDAD</t>
  </si>
  <si>
    <t>Lunch</t>
  </si>
  <si>
    <t>1:35 PM - Nationals Phillies</t>
  </si>
  <si>
    <t>mentoring meeting #1</t>
  </si>
  <si>
    <t>Lunch with speaker (optional)</t>
  </si>
  <si>
    <t>Latex, Overleaf, and Markdown - CM (Add Jupyter Notebooks?)</t>
  </si>
  <si>
    <t>Project Fairfax - JS</t>
  </si>
  <si>
    <t>Tour of the building/emergency exit - CM/JT</t>
  </si>
  <si>
    <t>Ethics/paper discussion - JT</t>
  </si>
  <si>
    <t>Applied R: Intro to plotting with ggplot2 - JS</t>
  </si>
  <si>
    <t>Naming, Coding Standards, Metadata -  JT/JS</t>
  </si>
  <si>
    <t>Nationals vs Phillies</t>
  </si>
  <si>
    <t>ACS Workshop - CM</t>
  </si>
  <si>
    <t>Data Discovery - intro - JS</t>
  </si>
  <si>
    <t>Python + Virtual Environments - AW</t>
  </si>
  <si>
    <t>Exploratory Data Analysis - KL</t>
  </si>
  <si>
    <t>GitHub merge + Friday wrap up - AW, CM, JT</t>
  </si>
  <si>
    <t>Web Scraping - NY, PW, AX, SZ</t>
  </si>
  <si>
    <t>IPUMS + interactive activity to be completed only in the alloted time - CM</t>
  </si>
  <si>
    <t>Visualization  - VL move to week 6+?</t>
  </si>
  <si>
    <t>Qualitative Analysis - CS (UVA Librarian)</t>
  </si>
  <si>
    <t>Intro to the DSPG Platforms - JT</t>
  </si>
  <si>
    <t>Friday Wrap up / Design vote; LinkedIn/social media update / Mentor designation</t>
  </si>
  <si>
    <t>Friday Wrap up; LinkedIn/social media update</t>
  </si>
  <si>
    <t>Floating Catchment Areas + Intro to R Shiny  - CM</t>
  </si>
  <si>
    <t>Farmers Market; 3 - 7 PM; Central Place Plaza, 1800 N Lynn St</t>
  </si>
  <si>
    <t>Speaker 1: Seema Iyer (DSPG Forum Speaker)</t>
  </si>
  <si>
    <t>Rosslyn Cinema, 5 - 11 PM (Jumanji, 1995); Gateway Park, 1300 Langston Blvd</t>
  </si>
  <si>
    <r>
      <rPr>
        <sz val="12"/>
        <color rgb="FF70AD47"/>
        <rFont val="Calibri"/>
        <family val="2"/>
      </rPr>
      <t xml:space="preserve">Lottery Opens for Jazz in the Garden tickets, </t>
    </r>
    <r>
      <rPr>
        <i/>
        <sz val="12"/>
        <color rgb="FF70AD47"/>
        <rFont val="Calibri"/>
        <family val="2"/>
      </rPr>
      <t xml:space="preserve">The Muneer Nasser Quintet, a Juneteenth celebration, </t>
    </r>
    <r>
      <rPr>
        <sz val="12"/>
        <color rgb="FF70AD47"/>
        <rFont val="Calibri"/>
        <family val="2"/>
      </rPr>
      <t xml:space="preserve">scheduled for June 16th
</t>
    </r>
  </si>
  <si>
    <t>Rosslyn Cinema, 5 - 11 PM (Shrek); Gateway Park, 1300 Langston Blvd</t>
  </si>
  <si>
    <t>Happy Hours w/ Drs. Alan &amp; Treena</t>
  </si>
  <si>
    <t>Rosslyn Cinema, 5 - 11 PM (Moana); Gateway Park, 1300 Langston Blvd</t>
  </si>
  <si>
    <t>Rosslyn Cinema, 5 - 11 PM (The Parent Trap); Gateway Park, 1300 Langston Blvd</t>
  </si>
  <si>
    <t>Kathryn - AL</t>
  </si>
  <si>
    <t>Joel - Remote 12 - 4 PM</t>
  </si>
  <si>
    <t>Joanna - AL</t>
  </si>
  <si>
    <t>Jing Cao visiting</t>
  </si>
  <si>
    <t>Mid-Summer Social</t>
  </si>
  <si>
    <t>AW wrapping up phd</t>
  </si>
  <si>
    <t>Josh - AL</t>
  </si>
  <si>
    <t>11:15am-12:15pm How We Live Online live Podcast</t>
  </si>
  <si>
    <r>
      <rPr>
        <sz val="12"/>
        <color rgb="FF70AD47"/>
        <rFont val="Calibri"/>
        <family val="2"/>
      </rPr>
      <t xml:space="preserve">10:00am Lottery Opens for Jazz in the Garden tickets </t>
    </r>
    <r>
      <rPr>
        <i/>
        <sz val="12"/>
        <color rgb="FF70AD47"/>
        <rFont val="Calibri"/>
        <family val="2"/>
      </rPr>
      <t xml:space="preserve">Nathan and the Zydeco Cha Chas </t>
    </r>
    <r>
      <rPr>
        <sz val="12"/>
        <color rgb="FF70AD47"/>
        <rFont val="Calibri"/>
        <family val="2"/>
      </rPr>
      <t>on June 23rd</t>
    </r>
  </si>
  <si>
    <t>Anjali out</t>
  </si>
  <si>
    <r>
      <rPr>
        <sz val="12"/>
        <color rgb="FF70AD47"/>
        <rFont val="Calibri"/>
        <family val="2"/>
      </rPr>
      <t xml:space="preserve">10:00am Lottery Opens for Jazz in the Garden tickets </t>
    </r>
    <r>
      <rPr>
        <i/>
        <sz val="12"/>
        <color rgb="FF70AD47"/>
        <rFont val="Calibri"/>
        <family val="2"/>
      </rPr>
      <t xml:space="preserve">Anderson Quartet, Indigenous fusion
 </t>
    </r>
    <r>
      <rPr>
        <sz val="12"/>
        <color rgb="FF70AD47"/>
        <rFont val="Calibri"/>
        <family val="2"/>
      </rPr>
      <t>on June 30</t>
    </r>
  </si>
  <si>
    <t>Joel - AL</t>
  </si>
  <si>
    <t>RIVANNA DOWN</t>
  </si>
  <si>
    <t>July</t>
  </si>
  <si>
    <t>project time / Census mtg</t>
  </si>
  <si>
    <t>8:30 - 10:45 AM: Midterm Presentations w/ Virginia Tech (see schedule on 'midterms' tab)</t>
  </si>
  <si>
    <t>4th of July</t>
  </si>
  <si>
    <t>Microsoft site visit/hackathon (11955 Freedom Drive, Reston, VA 20190)</t>
  </si>
  <si>
    <t>Travel to C'ville; departing at 7 AM; be in lobby by 6:45 AM</t>
  </si>
  <si>
    <t>time off; start time on 7/12 is 12 PM</t>
  </si>
  <si>
    <t>9:30 AM - Writing Workshop w/ consultant</t>
  </si>
  <si>
    <t>Edu Futuro bootcamp table; NOVA Annandale campus, 8333 Little River Turnpike, Annandale, VA 22003</t>
  </si>
  <si>
    <t xml:space="preserve">Outdoor Series: Annapolis </t>
  </si>
  <si>
    <t>Writing Workshop w/ consultant</t>
  </si>
  <si>
    <t>Speaker: Methods Used by the Census Bureau to Evaluate the 2020 Census Count and Estimate the Population Beyond (Joe Salvo)</t>
  </si>
  <si>
    <t>Midterm practice</t>
  </si>
  <si>
    <t>Speaker: Theresa Anderson
Urban Institute</t>
  </si>
  <si>
    <t>Speaker: Joe Salvo until 12:30</t>
  </si>
  <si>
    <t>BI Provost meeting</t>
  </si>
  <si>
    <t>Lunch w/ Theresa</t>
  </si>
  <si>
    <t>VT visit</t>
  </si>
  <si>
    <t>Lunch, meetings w/ other BII students, activities, Town Center 4 tour, etc.</t>
  </si>
  <si>
    <t>Writing Workshop - finish 12:30 PM</t>
  </si>
  <si>
    <t>Midterm practice: Biokind</t>
  </si>
  <si>
    <t>Speaker 5:  FFX Michelle Gregory</t>
  </si>
  <si>
    <t>Github Pages Training - JS</t>
  </si>
  <si>
    <t>GitHub merge</t>
  </si>
  <si>
    <t>GitHub merge; Friday Wrap up; LinkedIn/social media update</t>
  </si>
  <si>
    <t>Farmers Market; 3 - 7 PM w/ live music 4-6 PM; Central Place Plaza, 1800 N Lynn St</t>
  </si>
  <si>
    <r>
      <rPr>
        <sz val="12"/>
        <color rgb="FF70AD47"/>
        <rFont val="Calibri"/>
        <family val="2"/>
      </rPr>
      <t xml:space="preserve">10:00 am Lottery opens for Jazz in the Garden Tickets, </t>
    </r>
    <r>
      <rPr>
        <i/>
        <sz val="12"/>
        <color rgb="FF70AD47"/>
        <rFont val="Calibri"/>
        <family val="2"/>
      </rPr>
      <t xml:space="preserve">Alex Minasian Quartet </t>
    </r>
    <r>
      <rPr>
        <sz val="12"/>
        <color rgb="FF70AD47"/>
        <rFont val="Calibri"/>
        <family val="2"/>
      </rPr>
      <t>for July 7th</t>
    </r>
  </si>
  <si>
    <r>
      <t xml:space="preserve">Writing Workshop samples </t>
    </r>
    <r>
      <rPr>
        <b/>
        <sz val="12"/>
        <color theme="1"/>
        <rFont val="Calibri"/>
        <family val="2"/>
        <scheme val="minor"/>
      </rPr>
      <t>due</t>
    </r>
    <r>
      <rPr>
        <sz val="12"/>
        <color theme="1"/>
        <rFont val="Calibri"/>
        <family val="2"/>
        <scheme val="minor"/>
      </rPr>
      <t>; can be sent directly to Rachel</t>
    </r>
  </si>
  <si>
    <t>Remote work day; Prashanth in C'ville</t>
  </si>
  <si>
    <t>Joel in at 12 PM</t>
  </si>
  <si>
    <t>Joel in at 12 PM; Sara working remote; Marijka train at 12:30 PM</t>
  </si>
  <si>
    <t>Jianing - working remotely</t>
  </si>
  <si>
    <t>Alan in CA with Family</t>
  </si>
  <si>
    <t>Ed working remote</t>
  </si>
  <si>
    <t>August</t>
  </si>
  <si>
    <t>DSPG Symposium</t>
  </si>
  <si>
    <t>Pack up and clear out :-(</t>
  </si>
  <si>
    <t>JSM starts - Toronto</t>
  </si>
  <si>
    <t>Speaker: Joe Salvo - Demographics Part 2</t>
  </si>
  <si>
    <t>Ethics panel (11:45 AM)</t>
  </si>
  <si>
    <t>Geocoding Tools Deadline</t>
  </si>
  <si>
    <t>Symposium practice</t>
  </si>
  <si>
    <t>Collaborative Meeting - SDAD</t>
  </si>
  <si>
    <t>Ethics panel</t>
  </si>
  <si>
    <t>Group Picture</t>
  </si>
  <si>
    <t>Light Lunch</t>
  </si>
  <si>
    <t>birthdays @ 1:30 PM</t>
  </si>
  <si>
    <t>mentoring meeting #2</t>
  </si>
  <si>
    <t>Key Speaker</t>
  </si>
  <si>
    <t>Geocoding Tools Checkup Part II</t>
  </si>
  <si>
    <t>2:30 pm: Student presentations</t>
  </si>
  <si>
    <t>End-Summer Social - Summer Awards</t>
  </si>
  <si>
    <t>Anjali - GW field trip</t>
  </si>
  <si>
    <t>Kate - out of office</t>
  </si>
  <si>
    <t>RSVP</t>
  </si>
  <si>
    <t>voluntary contribution</t>
  </si>
  <si>
    <t>notes</t>
  </si>
  <si>
    <t>Pretzels and my beautiful face</t>
  </si>
  <si>
    <t>Lemonade</t>
  </si>
  <si>
    <t>brownies</t>
  </si>
  <si>
    <t>chocolate chip mereningues</t>
  </si>
  <si>
    <t>pierogies</t>
  </si>
  <si>
    <t>(◐‿◑)﻿</t>
  </si>
  <si>
    <t>Beer/Coke</t>
  </si>
  <si>
    <t>Fruits(blueberries and cherries maybe) and salad maybe</t>
  </si>
  <si>
    <t>Requests:</t>
  </si>
  <si>
    <t xml:space="preserve">Cheese and Crackers </t>
  </si>
  <si>
    <t>Apple Pie things that people pretended to forget</t>
  </si>
  <si>
    <t>group hug :(</t>
  </si>
  <si>
    <t>Sat, July 15 - Edu Futuro bootcamp table</t>
  </si>
  <si>
    <t>8333 Little River Turnpike, Annandale, VA 22003</t>
  </si>
  <si>
    <t>10AM - 12:30PM</t>
  </si>
  <si>
    <t>12PM - 2:30PM</t>
  </si>
  <si>
    <t>Annie Xie</t>
  </si>
  <si>
    <t>Estimates</t>
  </si>
  <si>
    <t>Actual</t>
  </si>
  <si>
    <t>TOTAL</t>
  </si>
  <si>
    <t>t-shirts</t>
  </si>
  <si>
    <t>REMAINING</t>
  </si>
  <si>
    <t>water bottles</t>
  </si>
  <si>
    <t>lunches</t>
  </si>
  <si>
    <t>Kickoff lunch with SDAD members (May 30) </t>
  </si>
  <si>
    <t>Lunch with speaker with SDAD members (June 22) </t>
  </si>
  <si>
    <t>Virginia Tech visit (July 6)  </t>
  </si>
  <si>
    <t>Microsoft Site Visit – Hackathon with Virginia Tech (July 7)  </t>
  </si>
  <si>
    <t>Edu-Futuro boot camp activity (July 15)   </t>
  </si>
  <si>
    <t>Lunch with speaker with SDAD members (July 19) </t>
  </si>
  <si>
    <t>Thu, June 15 at 1 PM</t>
  </si>
  <si>
    <t>Mentee</t>
  </si>
  <si>
    <t>Thu, July 6 at 10 AM</t>
  </si>
  <si>
    <t>Ed (out)</t>
  </si>
  <si>
    <t>Alan (out)</t>
  </si>
  <si>
    <t>Thu, July 27 at 1 PM</t>
  </si>
  <si>
    <t>We'll be scheduling staff on a rolling basis, 1-2 weeks in advance of each week</t>
  </si>
  <si>
    <t>8:00 AM - 12:30 PM</t>
  </si>
  <si>
    <t>Kim</t>
  </si>
  <si>
    <t xml:space="preserve">Kim </t>
  </si>
  <si>
    <t>12:30 PM - 5:00 PM</t>
  </si>
  <si>
    <t>DSPG remote work day</t>
  </si>
  <si>
    <t>Fourth of July</t>
  </si>
  <si>
    <t xml:space="preserve"> </t>
  </si>
  <si>
    <t>Micah</t>
  </si>
  <si>
    <t>Treena</t>
  </si>
  <si>
    <t>Friday, June 30th VT-UVA DSPG Midterm Presentation Schedule</t>
  </si>
  <si>
    <t>Each presentation should be 10 minutes long with another 5 min for questions</t>
  </si>
  <si>
    <t>School</t>
  </si>
  <si>
    <t>Start (AM)</t>
  </si>
  <si>
    <t>Project Name</t>
  </si>
  <si>
    <t>Faculty Mentor</t>
  </si>
  <si>
    <t>Graduate Student Mentor Primary</t>
  </si>
  <si>
    <t>Graduate Student Mentor Secondary</t>
  </si>
  <si>
    <t>Intern 1</t>
  </si>
  <si>
    <t>Intern 2</t>
  </si>
  <si>
    <t>Intern 3</t>
  </si>
  <si>
    <t>Organizing Zoom</t>
  </si>
  <si>
    <t>VT</t>
  </si>
  <si>
    <t>IFPRI: Prenatal Flooding and Child Health</t>
  </si>
  <si>
    <t>Susan Chen</t>
  </si>
  <si>
    <t>Naveen Abedin</t>
  </si>
  <si>
    <t>Nandini Das</t>
  </si>
  <si>
    <t>Riya Pulla</t>
  </si>
  <si>
    <t>Jade Nguyen</t>
  </si>
  <si>
    <t>Sotaire Kwizera</t>
  </si>
  <si>
    <t>UVA</t>
  </si>
  <si>
    <t>USDA Economic Research Service: Impact of rural broadband development programs</t>
  </si>
  <si>
    <t>Josh Goldstein</t>
  </si>
  <si>
    <t>Steve Zhou</t>
  </si>
  <si>
    <t xml:space="preserve">VCE: Land Use in Hanover County: Agriculture, Residential &amp; Alternative Energy Uses </t>
  </si>
  <si>
    <t>Piper Zimmerman</t>
  </si>
  <si>
    <t>Gabe Wiggins</t>
  </si>
  <si>
    <t>Deep Datta</t>
  </si>
  <si>
    <t>Ari Tynes-Roker</t>
  </si>
  <si>
    <t>Census: Review of State Data Centers and Constitutions</t>
  </si>
  <si>
    <t>Vicki Lancaster</t>
  </si>
  <si>
    <t>Jianing Cai</t>
  </si>
  <si>
    <t>Marijke van der Geer</t>
  </si>
  <si>
    <t>VCE: Optimizing Extension Professional Services</t>
  </si>
  <si>
    <t>Michael Cary</t>
  </si>
  <si>
    <t>Yang Cheng</t>
  </si>
  <si>
    <t>Sareth Moy</t>
  </si>
  <si>
    <t>Vivian Peregrino</t>
  </si>
  <si>
    <t>BREAK</t>
  </si>
  <si>
    <t>Mastercard Center for Inclusive Growth: Measuring minority business ownership in Fairfax County, VA for the Social Impact Data Commons</t>
  </si>
  <si>
    <t>Aaron Schroeder</t>
  </si>
  <si>
    <t>Prashanth Wagle</t>
  </si>
  <si>
    <t>Anjali Mehta</t>
  </si>
  <si>
    <t>Trinity Chamblin</t>
  </si>
  <si>
    <t>Army Research Institute: Exploring Documents as Data: Using NLP techniques to examine Soldier career progression and performance behavior</t>
  </si>
  <si>
    <t>Joanna Schroeder</t>
  </si>
  <si>
    <t>Nakshatra Yalagach</t>
  </si>
  <si>
    <t>Sara Shallenberger</t>
  </si>
  <si>
    <t>Biokind Analytics: The Effect of National and Local Economic Factors on Altruism</t>
  </si>
  <si>
    <t>In case anyone needs to add a zoom link for a DSPG session, especially at the last minute, Joel has set up reoccuring meeting links you can use.</t>
  </si>
  <si>
    <t>Training Session/Seminar link</t>
  </si>
  <si>
    <t>https://virginia.zoom.us/j/93729287455?pwd=TnhYK3JyazRFekZlb2VUOTZlaDFQUT09</t>
  </si>
  <si>
    <t>Meeting ID: 937 2928 7455</t>
  </si>
  <si>
    <t>Passcode: 608691</t>
  </si>
  <si>
    <t>Speaker link</t>
  </si>
  <si>
    <t>https://virginia.zoom.us/j/98124594426?pwd=R29idUNxT3dQQWpUWktZS0R5ZEMvUT09</t>
  </si>
  <si>
    <t>Meeting ID: 981 2459 4426</t>
  </si>
  <si>
    <t>Passcode: 856076</t>
  </si>
  <si>
    <t>Career Ratings</t>
  </si>
  <si>
    <t>Skill Ratings</t>
  </si>
  <si>
    <t>Skill Details</t>
  </si>
  <si>
    <t>Data Science</t>
  </si>
  <si>
    <t>Government</t>
  </si>
  <si>
    <t>Community/Public Service</t>
  </si>
  <si>
    <t>Academia</t>
  </si>
  <si>
    <t>Private/Commerical</t>
  </si>
  <si>
    <t>DSPG affect professional and career goals</t>
  </si>
  <si>
    <t>Technical Skill 1</t>
  </si>
  <si>
    <t>Technical Skill 2</t>
  </si>
  <si>
    <t>Prof Skill 1</t>
  </si>
  <si>
    <t>Prof Skill 2</t>
  </si>
  <si>
    <t>Additional tech/prof</t>
  </si>
  <si>
    <t>R</t>
  </si>
  <si>
    <t>Python</t>
  </si>
  <si>
    <t>Git</t>
  </si>
  <si>
    <t>Terminal</t>
  </si>
  <si>
    <t>Other Skill info</t>
  </si>
  <si>
    <t>Final thoughts</t>
  </si>
  <si>
    <t>Strongly agree</t>
  </si>
  <si>
    <t>Somewhat agree</t>
  </si>
  <si>
    <t>Somewhat disagree</t>
  </si>
  <si>
    <t>I think begin my career path of Data Science with this DSPG program can give me a direct and explicit idea of how Data Science is employed in real life circumstance, especially how and what should I do when it becomes my job or career. I also think participating this program will help me sharpen my professional skill and get to know more knowledgeable and influential people inside the field, which will definitely be helpful for my future study and career.</t>
  </si>
  <si>
    <t>I would like to know more about coding or using R to help people solve problems</t>
  </si>
  <si>
    <t>I would also like to know more about collecting data online or using API if possible</t>
  </si>
  <si>
    <t>I am interested in learning more about how to communicate with our clients</t>
  </si>
  <si>
    <t>I am also interested in working in group and collaborating with teammates to get a big project done</t>
  </si>
  <si>
    <t>If possible, I would also like to know more technical skills about data visualization since I have been learning this topic last semester, and I think it is interesting and worth learning.</t>
  </si>
  <si>
    <t>intermediate</t>
  </si>
  <si>
    <t>expert</t>
  </si>
  <si>
    <t>I have used RStudio to draw plots related to time series in one of my statistic class, such as fitting proper ARMA model by ACF and PACF plots.</t>
  </si>
  <si>
    <t xml:space="preserve">I have used Pycharm and VSCode for Python coding. I learned Python in one of my computer science class and I built a simple video game using GameBox(a package of Python) as my final project. I have also using Python for machine learning last semester. I used SKlearn package and dataset from Kaggle to train a brain tumor classification model. </t>
  </si>
  <si>
    <t>I used Git a lot during my last semester. Two of my final group projects were conducted on GitHub. I am comfortable in using GitHub's functionalities such as push, pull, commit, merge, and branches.</t>
  </si>
  <si>
    <t>I used Terminal and command line for coding in two of my computer science class before. I learned about shell and bash, and I am comfortable using command line instructions such as ls, cd, mkdir, rmdir, make, run.</t>
  </si>
  <si>
    <t xml:space="preserve">I am proficient in using SQL and SQL command. I am comfortable in using fundamental commands, subqueries, and also "trigger" and "check" for data security. I built a webpage using html which is based on one SQL database that I built as my final project last semester. </t>
  </si>
  <si>
    <t>No other feedbacks for now. Really looking forward to working and learning with this DSPG program!</t>
  </si>
  <si>
    <t/>
  </si>
  <si>
    <t>Machine Learning</t>
  </si>
  <si>
    <t>Data visualization</t>
  </si>
  <si>
    <t>Receptiveness to constructive criticism</t>
  </si>
  <si>
    <t>Visually and/or Concisely pitching my work</t>
  </si>
  <si>
    <t>beginner</t>
  </si>
  <si>
    <t>Used R for machine learning and time series analysis during coursework; Used R for visualization during last year's DSPG</t>
  </si>
  <si>
    <t>Extensively used data manipulation using pandas and numpy; Used Selenium for web-scrapping during last year's DSPG; Used Python for small neural network during coursework</t>
  </si>
  <si>
    <t>Familiar with GitHub; Set up my own git repository on server using command line in coursework</t>
  </si>
  <si>
    <t>Familiar with basic command-line commands; worked with Rivanna terminal as well as WIndows PowerShell during last year's intern</t>
  </si>
  <si>
    <t>Worked with SQLite</t>
  </si>
  <si>
    <t xml:space="preserve">I think this will be a great introduction to Data Science and a first taste of what working with the government might be like. I am hoping to pick up valuable skills and gain insight as to what I want to do in the future and where I will be most impactful.  </t>
  </si>
  <si>
    <t xml:space="preserve">Machine Learning </t>
  </si>
  <si>
    <t xml:space="preserve">SQL </t>
  </si>
  <si>
    <t xml:space="preserve">Networking/social skills </t>
  </si>
  <si>
    <t xml:space="preserve">Adaptability &amp; quick learning </t>
  </si>
  <si>
    <t>This will be my first experience working in a professional environment such as this and I am very excited to figure my self out and learn how to balance work with health and put forth my best effort every day. Overall I am very excited to learn and grow this summer!</t>
  </si>
  <si>
    <t>no experience</t>
  </si>
  <si>
    <t xml:space="preserve">I learned to code using python, but I have yet to explore the data manipulation and analysis side of python. I have experience using num.py and plotting graphs, but not much with the other functionalities mentioned. </t>
  </si>
  <si>
    <t>In my Software Development Essentials class this past semester at UVA, we exclusively used GitHub for all projects and I have also done a few personal projects using GitHub. I have experience using all its functions (push, pull, add, merge, ignore, etc. )</t>
  </si>
  <si>
    <t xml:space="preserve">I have slight exposure to using terminal/command line, mostly to go through folders and directories (cd, ls) but not much experience beyond that. </t>
  </si>
  <si>
    <t xml:space="preserve">I have experience using Java and C, I also used SQLite in my class and know how to make tables and access those tables in Java. </t>
  </si>
  <si>
    <t>Participation in the DSPG program will give me insight on how data science and statistics are applied to address social issues. I hope to get exposure to different paths I can take to do so!</t>
  </si>
  <si>
    <t>General computer science</t>
  </si>
  <si>
    <t>Data presentation</t>
  </si>
  <si>
    <t>Working with a larger team</t>
  </si>
  <si>
    <t>Used R for multiple classes + projects in Statistics department (Intro, Linear Regression, Data Science).</t>
  </si>
  <si>
    <t>Used Git for collaborative projects, commit/pull+push/merging, etc.</t>
  </si>
  <si>
    <t xml:space="preserve">I believe participating in the DSPG program will help me gain valuable skills and experiences in data science and statistics. Specifically, I hope to gain exposure to real-world projects and collaborate with professionals in the field. I am also eager to learn about cutting-edge statistical methods and tools and how they are being applied to solve real-world problems. Finally, I hope to develop my problem-solving, communication, public speaking and leadership skills through my participation in the program and apply these skills as a Statistician one day.
</t>
  </si>
  <si>
    <t xml:space="preserve">Quantitative computing </t>
  </si>
  <si>
    <t xml:space="preserve">Data visualization using R and SQL </t>
  </si>
  <si>
    <t xml:space="preserve">Decision making </t>
  </si>
  <si>
    <t xml:space="preserve">Public speaking </t>
  </si>
  <si>
    <t xml:space="preserve">Used pycharm to complete programming assignments for CS1110. Created a game mimicking the game trigger/cross road as well. </t>
  </si>
  <si>
    <t xml:space="preserve">I have Github on my laptop when I was attempting to teach myself coding basics before college. </t>
  </si>
  <si>
    <t>In an online course to prepare myself to learn JavaScript and python, I learned command line basics. This was on my own, I might need a refresher but in totality I get the function.</t>
  </si>
  <si>
    <t>I think the DSPG program will allow me to further develop my data science skills, particularly within areas of study that I'm interested in- policy/human welfare/public good.</t>
  </si>
  <si>
    <t>Spatial data analysis/GIS</t>
  </si>
  <si>
    <t>Creating data visualizations/graphs</t>
  </si>
  <si>
    <t>Presenting my research</t>
  </si>
  <si>
    <t>Working in a group for a research project</t>
  </si>
  <si>
    <t>I hope to have a career where I can combine my love of data with my interest in global/national conflict since I'm also an International Security &amp; Conflict Resolution major. I'm also very interested in any kind of policy research that utilizes data.</t>
  </si>
  <si>
    <t>I took a course last semester that taught RStudio. We did numerous assignments and a group final project that covered R basics, visualizations, ggplot. Most of the course focused on using R for regression analyses. I'm still quite new to R, but I really enjoy using it.</t>
  </si>
  <si>
    <t>I've taken numerous courses where I've worked with Python. I'm very comfortable with jupyter notebooks, numpy and pandas.</t>
  </si>
  <si>
    <t>I have some experience with SQL, I took a course on it last semester and would really like to further develop my knowledge of it.</t>
  </si>
  <si>
    <t xml:space="preserve">I wanted to apologize for submitting this survey late. I just saw that I was supposed to submit it by 5pm today. I left early this morning to fly to DC and I've been very distracted with moving lately. </t>
  </si>
  <si>
    <t>The DSPG program will help me in getting the flavor of the software industry, especially the data-science industry. It is a good stepping stone in pursuing a long career in the industry where I can get a holistic experience of the processes and procedures that take place at an organization.</t>
  </si>
  <si>
    <t>JavaScript</t>
  </si>
  <si>
    <t>Project Management</t>
  </si>
  <si>
    <t>Communication</t>
  </si>
  <si>
    <t>Used R and RStudio for developing certain packages</t>
  </si>
  <si>
    <t>I have used Python primarily for scripting, general programming and web development (Serverless computing and Flask)</t>
  </si>
  <si>
    <t>I use git almost everyday. I use the basic commands, but I largely use the GUI version of the Git Client (Sourcetree)</t>
  </si>
  <si>
    <t>I used to be a linux fanatic during my undergrad. I heavily used to use the command line.</t>
  </si>
  <si>
    <t>JavaScript: I have pretty good experience in JS by working on web development and open source packages. SQL: I have worked on SQL previously at my first job. My other technical skills include Developing and Architecting on Amazon Web Services, Infrastructure as Code, Docker, Serverless Development, Redis, MongoDB etc.</t>
  </si>
  <si>
    <t xml:space="preserve">I look forward to learning from my advisors about their experiences in the academia and the industry. Currently I'm considering working for think tanks or research institutes as research assistants for a few years after graduation before I decide whether to pursue a PhD. So I am interested to know more about what kind of experiences and advice my advisors have. I'm also interested in what my peers have in mind in terms of professional goals.
</t>
  </si>
  <si>
    <t>Data pipeline</t>
  </si>
  <si>
    <t>Data dashboard</t>
  </si>
  <si>
    <t>Teamwork in tech projects</t>
  </si>
  <si>
    <t>Communication skills</t>
  </si>
  <si>
    <t>Very basic. I helped my friend with her coding problems in R. So I am familiar with the basic syntax and functions in dataframe and ggplot. I believe I can pick up the language quickly though.</t>
  </si>
  <si>
    <t xml:space="preserve">I have finished a web scraping project in Python (I tried selenium and somehow failed but I managed to bypass the problem with beautifulsoup). I took data viz and machine learning in python so I am familiar with jupyter notebooks and pandas. A few years ago, I worked on a web development project with python (Flask), MySQL, HTML and JavaScript so I had some experience with virtual environments, http-get and post but I need some time to pick them up. Other libraries that I know include scikit-learn and GeoPandas. </t>
  </si>
  <si>
    <t>Last semester we used git in a python course. I am familiar with all the commands above but it's either a single contributor or a two-person team so I'm not sure if I can handle more complicated merge conflicts.</t>
  </si>
  <si>
    <t>I am familiar with the basic commands like cd, ls, pwd, diff, rm, mkdir, etc. I can also write basic bash scripts with the help of the internet since I rarely use them. The last time I wrote a bash script is two months ago when I tried to simplify the process of downloading and modifying a lot of files.</t>
  </si>
  <si>
    <t>I have some experience using MySQL and PostgreSQL. I can write queries, DDL and DML. I'm also familiar with data structures and algorithms in C++.</t>
  </si>
  <si>
    <t xml:space="preserve">Having worked on all facets of Data Science (ML, NLP, and Big Data) I am keen on steering my career toward Data Science. Since SDAD is making tremendous advancements in Data Science, it would provide an opportunity to work on cutting-edge technologies and the latest industry trends. </t>
  </si>
  <si>
    <t>Analytical skills</t>
  </si>
  <si>
    <t>Project management skills</t>
  </si>
  <si>
    <t xml:space="preserve">Through the DSPG program, I would like to learn R, Machine Learning, and NLP. These skills would help me prepare for my career in Data Science. </t>
  </si>
  <si>
    <t>Used RStudio for course project.</t>
  </si>
  <si>
    <t>I was used Python extensively at industry and at grad school. I am familiar with Virtual environments, pandas, and jupyter notebook.</t>
  </si>
  <si>
    <t>I have used Git for my course projects and in the industry.</t>
  </si>
  <si>
    <t>I have used command line for my course projects and in the industry.</t>
  </si>
  <si>
    <t>I have experience working with SQL</t>
  </si>
  <si>
    <t>Student 1</t>
  </si>
  <si>
    <t>Student 2</t>
  </si>
  <si>
    <t>Student 3</t>
  </si>
  <si>
    <t>hr/wk</t>
  </si>
  <si>
    <t>time</t>
  </si>
  <si>
    <t>Census/Resilience</t>
  </si>
  <si>
    <t>UG1</t>
  </si>
  <si>
    <t>UG5</t>
  </si>
  <si>
    <t>UG6</t>
  </si>
  <si>
    <t>DC - Biz Diversity</t>
  </si>
  <si>
    <t>UG2</t>
  </si>
  <si>
    <t>G1</t>
  </si>
  <si>
    <t>ERS/Blacknight</t>
  </si>
  <si>
    <t>UG3</t>
  </si>
  <si>
    <t>G2</t>
  </si>
  <si>
    <t>UG4</t>
  </si>
  <si>
    <t>G3</t>
  </si>
  <si>
    <t>num</t>
  </si>
  <si>
    <t>list</t>
  </si>
  <si>
    <t>note</t>
  </si>
  <si>
    <t>Count me out. Some overzealous indoor gardening has resulted in contact dermatitis on my hands. Sorry to miss the program :(</t>
  </si>
  <si>
    <t>veggie option</t>
  </si>
  <si>
    <t>VEGGIE HEADS WHAT DO YOU LIKE TO EAT</t>
  </si>
  <si>
    <t>Joanna +</t>
  </si>
  <si>
    <t>2+ lawn chairs, canopy</t>
  </si>
  <si>
    <t>paneer kebabs to grill</t>
  </si>
  <si>
    <t>Neil +</t>
  </si>
  <si>
    <t xml:space="preserve">Joel </t>
  </si>
  <si>
    <t>hot dogs, burgers, buns, assorted condiments, watermelon; 2 lawn chairs; 1 the Max</t>
  </si>
  <si>
    <t>the Max</t>
  </si>
  <si>
    <t>too much enthusiam; some amount of slobber</t>
  </si>
  <si>
    <t>Brownies</t>
  </si>
  <si>
    <t>Marijke +</t>
  </si>
  <si>
    <t>veggie option: TBA. Nonveggie: menestra con arroz: pork stew with beans and rice</t>
  </si>
  <si>
    <t xml:space="preserve">chickpea salad + stuffed mini bell peppers </t>
  </si>
  <si>
    <t>Anjali+</t>
  </si>
  <si>
    <t>Aaron+</t>
  </si>
  <si>
    <t>Agenda</t>
  </si>
  <si>
    <t>Meeting/Party</t>
  </si>
  <si>
    <t>Heading towards Washington DC</t>
  </si>
  <si>
    <t>Fireworks - Washington DC</t>
  </si>
  <si>
    <t>... who knows</t>
  </si>
  <si>
    <t>Address: 1714 N Quincy St., Arlington, VA 22207</t>
  </si>
  <si>
    <t>Topics - 18</t>
  </si>
  <si>
    <t>Fundam</t>
  </si>
  <si>
    <t>category</t>
  </si>
  <si>
    <t>responsible</t>
  </si>
  <si>
    <t>Data Ethics</t>
  </si>
  <si>
    <t>Introduction to Machine Learning</t>
  </si>
  <si>
    <t>Overview: Hypotheses spaces, Linear Algebra, Probability and Statistics</t>
  </si>
  <si>
    <t>NLP - Bert</t>
  </si>
  <si>
    <t>Linear and Logistic Regression</t>
  </si>
  <si>
    <t>Model Validation: Cross-Validation, Performance Measures</t>
  </si>
  <si>
    <t>Monte Carlo Simulation</t>
  </si>
  <si>
    <t> Introduction to Networks and Deep Learning</t>
  </si>
  <si>
    <t>CLD3 Framework -  paper</t>
  </si>
  <si>
    <t>Sampling - Surveys</t>
  </si>
  <si>
    <t>Topics - 13</t>
  </si>
  <si>
    <t>Applied</t>
  </si>
  <si>
    <t>Web Scrapping</t>
  </si>
  <si>
    <t>Rmarkdown pages</t>
  </si>
  <si>
    <t>Writing Workshop</t>
  </si>
  <si>
    <t>IPUMS</t>
  </si>
  <si>
    <t>ACS -  Census</t>
  </si>
  <si>
    <t>Github bootcamp</t>
  </si>
  <si>
    <t>Speakers</t>
  </si>
  <si>
    <t>Name</t>
  </si>
  <si>
    <t>Haleigh Tomlin</t>
  </si>
  <si>
    <t>CM</t>
  </si>
  <si>
    <t>Confirmed - June 22 - in person</t>
  </si>
  <si>
    <t>Institution 1: Bethany DeSalvo, Census. CRE</t>
  </si>
  <si>
    <t>Institution 2: Seema D. Iyer</t>
  </si>
  <si>
    <t>June-1: https://www.linkedin.com/in/seema-iyer-0572939/</t>
  </si>
  <si>
    <t>The Lab DC</t>
  </si>
  <si>
    <t>https://thelabprojects.dc.gov/</t>
  </si>
  <si>
    <t>Deloitte</t>
  </si>
  <si>
    <t>JT</t>
  </si>
  <si>
    <t>SAGE MethodSpace publisher</t>
  </si>
  <si>
    <t>FFRDC (MITRE, IDA)</t>
  </si>
  <si>
    <t>Biokind Analytics</t>
  </si>
  <si>
    <t>JT, CM</t>
  </si>
  <si>
    <t>UVA Data Science</t>
  </si>
  <si>
    <t xml:space="preserve">RTI </t>
  </si>
  <si>
    <t>https://www.rti.org/about-us</t>
  </si>
  <si>
    <t>BLS + alumni (Bayoan)</t>
  </si>
  <si>
    <t>Student alumni 2</t>
  </si>
  <si>
    <t>Student alumni 3</t>
  </si>
  <si>
    <t>Michael Vaden</t>
  </si>
  <si>
    <t>Institution 3: Urban Institute: Theresa Anderson</t>
  </si>
  <si>
    <t>Alyssa Fowers (Washington Post data viz, former DSPG)</t>
  </si>
  <si>
    <t>Dan Bernstein (Legal Services Corporation, data engineer)</t>
  </si>
  <si>
    <t>https://www.linkedin.com/in/danbernstein94</t>
  </si>
  <si>
    <t>Media Advertising</t>
  </si>
  <si>
    <t>twitter - instagram account</t>
  </si>
  <si>
    <t xml:space="preserve">Interview 4 students - WJLA </t>
  </si>
  <si>
    <t xml:space="preserve">Social </t>
  </si>
  <si>
    <t>Harpers Ferry</t>
  </si>
  <si>
    <t>Luray Caverns</t>
  </si>
  <si>
    <t>Talent Show</t>
  </si>
  <si>
    <t>Midterm Summer Meeting</t>
  </si>
  <si>
    <t>End Summer Meeting</t>
  </si>
  <si>
    <t xml:space="preserve">Cycling </t>
  </si>
  <si>
    <t>Rock Creek park</t>
  </si>
  <si>
    <t>Alexandria - Mount Vernon</t>
  </si>
  <si>
    <t xml:space="preserve">Kenilworth. Park </t>
  </si>
  <si>
    <t>Arboretum DC</t>
  </si>
  <si>
    <t>Annapolis Rock</t>
  </si>
  <si>
    <t>Annapolis City</t>
  </si>
  <si>
    <t>Great Falls</t>
  </si>
  <si>
    <t>National Mall</t>
  </si>
  <si>
    <t>Adams Morgan</t>
  </si>
  <si>
    <t>Products</t>
  </si>
  <si>
    <t>Pages</t>
  </si>
  <si>
    <t>(propose) Technical Report</t>
  </si>
  <si>
    <t>SAGE methodspace</t>
  </si>
  <si>
    <t xml:space="preserve">Tutorials </t>
  </si>
  <si>
    <t>from students: open this possibilities in case anyone wants to share methods, research interests, etc</t>
  </si>
  <si>
    <t>Pending</t>
  </si>
  <si>
    <t>Mentors</t>
  </si>
  <si>
    <t>Talk about Symposium</t>
  </si>
  <si>
    <t>Other</t>
  </si>
  <si>
    <t>Sport events</t>
  </si>
  <si>
    <t>https://www.ticketmaster.com/discover/sports/washington?daterange=from20230601-to-20230731</t>
  </si>
  <si>
    <t>BD tracker</t>
  </si>
  <si>
    <t>initiative - students</t>
  </si>
  <si>
    <t>Kayaking in the Potomac</t>
  </si>
  <si>
    <t>Ice cream/cupcake in Georgetown</t>
  </si>
  <si>
    <t xml:space="preserve">Dog party </t>
  </si>
  <si>
    <t>Embassy events</t>
  </si>
  <si>
    <t>Jazz in the garden</t>
  </si>
  <si>
    <t>Falafel Inc</t>
  </si>
  <si>
    <t>Summer Awards</t>
  </si>
  <si>
    <t>LinkedIn profile creation?</t>
  </si>
  <si>
    <t>Other optional</t>
  </si>
  <si>
    <t>DSPG water bottle</t>
  </si>
  <si>
    <t>DSPG T-shirt</t>
  </si>
  <si>
    <t>DSPG gym bag</t>
  </si>
  <si>
    <t xml:space="preserve">Very Important:  DSPG Training Topics from 2020 </t>
  </si>
  <si>
    <t>JS</t>
  </si>
  <si>
    <t>AW</t>
  </si>
  <si>
    <t>LS</t>
  </si>
  <si>
    <t>MI</t>
  </si>
  <si>
    <t>NTK</t>
  </si>
  <si>
    <t>KL</t>
  </si>
  <si>
    <t>sumation</t>
  </si>
  <si>
    <r>
      <t>CLD3 and Data Science Framework</t>
    </r>
    <r>
      <rPr>
        <sz val="12"/>
        <rFont val="Calibri"/>
        <family val="2"/>
      </rPr>
      <t> </t>
    </r>
  </si>
  <si>
    <t>Naming Things </t>
  </si>
  <si>
    <r>
      <t>Intro to the DSPG Platforms</t>
    </r>
    <r>
      <rPr>
        <sz val="12"/>
        <rFont val="Calibri"/>
        <family val="2"/>
      </rPr>
      <t> </t>
    </r>
  </si>
  <si>
    <t>Data Discovery </t>
  </si>
  <si>
    <t>BROWNBAG - Team Science </t>
  </si>
  <si>
    <t>not this speaker, but yes</t>
  </si>
  <si>
    <t>Literature Reviews </t>
  </si>
  <si>
    <t>Naming and Coding Standards </t>
  </si>
  <si>
    <t>different from naming things?</t>
  </si>
  <si>
    <r>
      <t>Intro to Git</t>
    </r>
    <r>
      <rPr>
        <sz val="12"/>
        <rFont val="Calibri"/>
        <family val="2"/>
      </rPr>
      <t> </t>
    </r>
  </si>
  <si>
    <t>Intro to R and Three Ways </t>
  </si>
  <si>
    <t>R Plotting and ggplot2 </t>
  </si>
  <si>
    <t>Ethics </t>
  </si>
  <si>
    <t>BROWNBAG - Cooperative Extension </t>
  </si>
  <si>
    <t>Web Scraping </t>
  </si>
  <si>
    <t>Web Scraping APIs </t>
  </si>
  <si>
    <t>Exploratory Data Analysis </t>
  </si>
  <si>
    <t>ACS Workshop </t>
  </si>
  <si>
    <t>Data Profiling </t>
  </si>
  <si>
    <t>Regex </t>
  </si>
  <si>
    <t>Text Mining </t>
  </si>
  <si>
    <t>Restructuring, Cleaning, &amp; Transformation </t>
  </si>
  <si>
    <t>Foundational Statistics </t>
  </si>
  <si>
    <t>more specific topics warranted</t>
  </si>
  <si>
    <t>Using Python Data Structures </t>
  </si>
  <si>
    <t>Spatial in R </t>
  </si>
  <si>
    <t>BROWNBAG – Economic Mobility </t>
  </si>
  <si>
    <t>with enough student interest</t>
  </si>
  <si>
    <t>Intro to R Shiny </t>
  </si>
  <si>
    <t>if we're going to have them make shiny dashboards then yes</t>
  </si>
  <si>
    <t>maybe</t>
  </si>
  <si>
    <t>Scaling and Linkage </t>
  </si>
  <si>
    <t>BROWNBAG – Assessing Social Determinants </t>
  </si>
  <si>
    <t>Machine Learning in R </t>
  </si>
  <si>
    <t>this or the other ML</t>
  </si>
  <si>
    <t>Science Media Training </t>
  </si>
  <si>
    <t>Github Pages Training </t>
  </si>
  <si>
    <t>if we're going to have them make pages then yes</t>
  </si>
  <si>
    <t>BROWNBAG – Data Journalism </t>
  </si>
  <si>
    <t>Visualization Standards </t>
  </si>
  <si>
    <t>Dashboard Template </t>
  </si>
  <si>
    <t>if we're going to have them make dashboards then yes</t>
  </si>
  <si>
    <t>Latex, Overleaf, and Markdown </t>
  </si>
  <si>
    <t>QGIS </t>
  </si>
  <si>
    <t>is this in any other ML session?</t>
  </si>
  <si>
    <t>already have an ACS trainging at #16</t>
  </si>
  <si>
    <t>Simple linux commands</t>
  </si>
  <si>
    <t>name</t>
  </si>
  <si>
    <t>rec</t>
  </si>
  <si>
    <t>select</t>
  </si>
  <si>
    <t>type</t>
  </si>
  <si>
    <t>Note</t>
  </si>
  <si>
    <t>Responsible</t>
  </si>
  <si>
    <t>mandatory</t>
  </si>
  <si>
    <t>AS</t>
  </si>
  <si>
    <t>F</t>
  </si>
  <si>
    <t>Pandas</t>
  </si>
  <si>
    <t>EW</t>
  </si>
  <si>
    <t>Ethics/IRB/Citi</t>
  </si>
  <si>
    <t>Week 1</t>
  </si>
  <si>
    <t>SSS/JT</t>
  </si>
  <si>
    <t>Visualization / maps</t>
  </si>
  <si>
    <t>NK</t>
  </si>
  <si>
    <t>CLD3 and Data Science Framework </t>
  </si>
  <si>
    <t>NLP / text mining</t>
  </si>
  <si>
    <t>optional</t>
  </si>
  <si>
    <t>Bayesian statistics</t>
  </si>
  <si>
    <t>JG</t>
  </si>
  <si>
    <t>A</t>
  </si>
  <si>
    <t>VL</t>
  </si>
  <si>
    <t>Intro to Git (2 hours)</t>
  </si>
  <si>
    <t>Before naming</t>
  </si>
  <si>
    <t>Git Continuation</t>
  </si>
  <si>
    <t>Naming, Coding Standards, Metadata</t>
  </si>
  <si>
    <t>JT/JS</t>
  </si>
  <si>
    <t>Intro to the DSPG Platforms </t>
  </si>
  <si>
    <t>Data Discovery - Web Scraping, APIs </t>
  </si>
  <si>
    <t>AW+JS</t>
  </si>
  <si>
    <t>RL</t>
  </si>
  <si>
    <t>week 6</t>
  </si>
  <si>
    <t>Data Discovery - intro</t>
  </si>
  <si>
    <t>R Packages</t>
  </si>
  <si>
    <t>Data Commons Community Package</t>
  </si>
  <si>
    <t>Career panel</t>
  </si>
  <si>
    <t>Grad school panel</t>
  </si>
  <si>
    <t xml:space="preserve">Index - Food - </t>
  </si>
  <si>
    <t>Presenters: masters students + JS</t>
  </si>
  <si>
    <t>Technical written report: Y/N?</t>
  </si>
  <si>
    <t>house, smores</t>
  </si>
  <si>
    <t>Chips and guacamole</t>
  </si>
  <si>
    <t>Thu, Aug 3 @ anytime; 6062 26th St N Arlington VA 22207</t>
  </si>
  <si>
    <t>Key lime pie</t>
  </si>
  <si>
    <t>hummus and veggies</t>
  </si>
  <si>
    <t xml:space="preserve">Anjali </t>
  </si>
  <si>
    <t>¯\_(ツ)_/¯</t>
  </si>
  <si>
    <t>Kishore</t>
  </si>
  <si>
    <t>French macaron</t>
  </si>
  <si>
    <t>cookies</t>
  </si>
  <si>
    <t>email, non-UVA</t>
  </si>
  <si>
    <t>ktlanman@gmail.com</t>
  </si>
  <si>
    <t>xaz4jq@virginia.edu</t>
  </si>
  <si>
    <t>zax3kt@virginia.edu</t>
  </si>
  <si>
    <t>vxb7ej@virginia.edu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</si>
</sst>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47">
    <font>
      <sz val="12"/>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2"/>
      <color rgb="FFFF0000"/>
      <name val="Calibri"/>
      <family val="2"/>
      <scheme val="minor"/>
    </font>
    <font>
      <sz val="12"/>
      <color theme="4"/>
      <name val="Calibri"/>
      <family val="2"/>
      <scheme val="minor"/>
    </font>
    <font>
      <sz val="12"/>
      <color rgb="FF000000"/>
      <name val="Calibri"/>
      <family val="2"/>
    </font>
    <font>
      <sz val="12"/>
      <name val="Calibri"/>
      <family val="2"/>
    </font>
    <font>
      <b/>
      <sz val="12"/>
      <name val="Calibri"/>
      <family val="2"/>
    </font>
    <font>
      <u/>
      <sz val="12"/>
      <color theme="10"/>
      <name val="Calibri"/>
      <family val="2"/>
      <scheme val="minor"/>
    </font>
    <font>
      <b/>
      <sz val="12"/>
      <color rgb="FFFF0000"/>
      <name val="Calibri"/>
      <family val="2"/>
      <scheme val="minor"/>
    </font>
    <font>
      <b/>
      <sz val="12"/>
      <color theme="1"/>
      <name val="Calibri"/>
      <family val="2"/>
      <scheme val="minor"/>
    </font>
    <font>
      <sz val="12"/>
      <color rgb="FFFF0000"/>
      <name val="Calibri"/>
      <family val="2"/>
    </font>
    <font>
      <sz val="12"/>
      <color rgb="FFED7D31"/>
      <name val="Calibri"/>
      <family val="2"/>
      <scheme val="minor"/>
    </font>
    <font>
      <sz val="12"/>
      <color rgb="FF4472C4"/>
      <name val="Calibri"/>
      <family val="2"/>
      <scheme val="minor"/>
    </font>
    <font>
      <sz val="12"/>
      <color rgb="FF4472C4"/>
      <name val="Calibri"/>
      <family val="2"/>
    </font>
    <font>
      <sz val="12"/>
      <color rgb="FF7030A0"/>
      <name val="Calibri"/>
      <family val="2"/>
      <scheme val="minor"/>
    </font>
    <font>
      <sz val="12"/>
      <color theme="9"/>
      <name val="Calibri"/>
      <family val="2"/>
      <scheme val="minor"/>
    </font>
    <font>
      <sz val="12"/>
      <name val="Calibri"/>
      <family val="2"/>
      <scheme val="minor"/>
    </font>
    <font>
      <sz val="11"/>
      <color indexed="8"/>
      <name val="Calibri"/>
      <family val="2"/>
      <scheme val="minor"/>
    </font>
    <font>
      <sz val="12"/>
      <color indexed="8"/>
      <name val="Calibri"/>
      <family val="2"/>
      <scheme val="minor"/>
    </font>
    <font>
      <sz val="12"/>
      <color rgb="FF000000"/>
      <name val="Calibri"/>
      <family val="2"/>
      <scheme val="minor"/>
    </font>
    <font>
      <b/>
      <sz val="12"/>
      <name val="Calibri"/>
      <family val="2"/>
      <scheme val="minor"/>
    </font>
    <font>
      <b/>
      <sz val="12"/>
      <color rgb="FFED7D31"/>
      <name val="Calibri"/>
      <family val="2"/>
      <scheme val="minor"/>
    </font>
    <font>
      <b/>
      <sz val="12"/>
      <color rgb="FF4472C4"/>
      <name val="Calibri"/>
      <family val="2"/>
      <scheme val="minor"/>
    </font>
    <font>
      <b/>
      <sz val="12"/>
      <color theme="9"/>
      <name val="Calibri"/>
      <family val="2"/>
      <scheme val="minor"/>
    </font>
    <font>
      <b/>
      <sz val="12"/>
      <color rgb="FF7030A0"/>
      <name val="Calibri"/>
      <family val="2"/>
      <scheme val="minor"/>
    </font>
    <font>
      <b/>
      <sz val="16"/>
      <color rgb="FFC00000"/>
      <name val="Calibri"/>
      <family val="2"/>
      <scheme val="minor"/>
    </font>
    <font>
      <b/>
      <sz val="12"/>
      <color rgb="FF000000"/>
      <name val="Calibri"/>
      <family val="2"/>
    </font>
    <font>
      <sz val="12"/>
      <color rgb="FF70AD47"/>
      <name val="Calibri"/>
      <family val="2"/>
    </font>
    <font>
      <i/>
      <sz val="12"/>
      <color rgb="FF70AD47"/>
      <name val="Calibri"/>
      <family val="2"/>
    </font>
    <font>
      <b/>
      <sz val="11"/>
      <color theme="1"/>
      <name val="Calibri"/>
      <family val="2"/>
      <scheme val="minor"/>
    </font>
    <font>
      <sz val="12"/>
      <color theme="0" tint="-0.249977111117893"/>
      <name val="Calibri"/>
      <family val="2"/>
      <scheme val="minor"/>
    </font>
    <font>
      <b/>
      <sz val="12"/>
      <color theme="0" tint="-0.499984740745262"/>
      <name val="Calibri"/>
      <family val="2"/>
      <scheme val="minor"/>
    </font>
    <font>
      <b/>
      <sz val="11"/>
      <color indexed="8"/>
      <name val="Calibri"/>
      <family val="2"/>
      <scheme val="minor"/>
    </font>
    <font>
      <sz val="12"/>
      <color theme="2" tint="-0.249977111117893"/>
      <name val="Calibri"/>
      <family val="2"/>
      <scheme val="minor"/>
    </font>
    <font>
      <sz val="14"/>
      <color theme="1"/>
      <name val="Arial"/>
      <family val="2"/>
    </font>
    <font>
      <sz val="10"/>
      <color theme="1"/>
      <name val="Arial"/>
      <family val="2"/>
    </font>
    <font>
      <sz val="14"/>
      <color theme="1"/>
      <name val="Calibri"/>
      <family val="2"/>
      <scheme val="minor"/>
    </font>
    <font>
      <b/>
      <sz val="14"/>
      <color theme="1"/>
      <name val="Calibri"/>
      <family val="2"/>
      <scheme val="minor"/>
    </font>
    <font>
      <sz val="12"/>
      <color rgb="FFAEAAAA"/>
      <name val="Calibri"/>
      <family val="2"/>
      <scheme val="minor"/>
    </font>
    <font>
      <strike/>
      <sz val="12"/>
      <color theme="1"/>
      <name val="Calibri"/>
      <family val="2"/>
      <scheme val="minor"/>
    </font>
    <font>
      <strike/>
      <sz val="12"/>
      <color rgb="FFFF0000"/>
      <name val="Calibri"/>
      <family val="2"/>
      <scheme val="minor"/>
    </font>
    <font>
      <sz val="12"/>
      <color theme="0" tint="-0.34998626667073579"/>
      <name val="Calibri"/>
      <family val="2"/>
      <scheme val="minor"/>
    </font>
    <font>
      <b/>
      <strike/>
      <sz val="12"/>
      <color theme="0" tint="-0.34998626667073579"/>
      <name val="Calibri"/>
      <family val="2"/>
      <scheme val="minor"/>
    </font>
    <font>
      <strike/>
      <sz val="12"/>
      <color theme="0" tint="-0.34998626667073579"/>
      <name val="Calibri"/>
      <family val="2"/>
      <scheme val="minor"/>
    </font>
    <font>
      <sz val="12"/>
      <color rgb="FF000000"/>
      <name val="Helvetica Neue"/>
      <charset val="1"/>
    </font>
  </fonts>
  <fills count="18">
    <fill>
      <patternFill patternType="none"/>
    </fill>
    <fill>
      <patternFill patternType="gray125"/>
    </fill>
    <fill>
      <patternFill patternType="solid">
        <fgColor theme="2" tint="-9.9978637043366805E-2"/>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theme="0"/>
        <bgColor indexed="64"/>
      </patternFill>
    </fill>
    <fill>
      <patternFill patternType="gray125">
        <fgColor theme="4" tint="0.59996337778862885"/>
        <bgColor auto="1"/>
      </patternFill>
    </fill>
    <fill>
      <patternFill patternType="solid">
        <fgColor rgb="FFE7E6E6"/>
        <bgColor indexed="64"/>
      </patternFill>
    </fill>
    <fill>
      <patternFill patternType="solid">
        <fgColor rgb="FFDDEBF7"/>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indexed="22"/>
      </patternFill>
    </fill>
    <fill>
      <patternFill patternType="solid">
        <fgColor rgb="FFFCE5CD"/>
        <bgColor indexed="64"/>
      </patternFill>
    </fill>
    <fill>
      <patternFill patternType="solid">
        <fgColor rgb="FFC9DAF8"/>
        <bgColor indexed="64"/>
      </patternFill>
    </fill>
    <fill>
      <patternFill patternType="solid">
        <fgColor rgb="FFD9EAD3"/>
        <bgColor indexed="64"/>
      </patternFill>
    </fill>
    <fill>
      <patternFill patternType="solid">
        <fgColor rgb="FFFFFFFF"/>
        <bgColor indexed="64"/>
      </patternFill>
    </fill>
    <fill>
      <patternFill patternType="solid">
        <fgColor rgb="FFEDEBE9"/>
        <bgColor indexed="64"/>
      </patternFill>
    </fill>
    <fill>
      <patternFill patternType="solid">
        <fgColor theme="0" tint="-4.9989318521683403E-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indexed="64"/>
      </right>
      <top style="thin">
        <color indexed="64"/>
      </top>
      <bottom/>
      <diagonal/>
    </border>
    <border>
      <left style="thin">
        <color indexed="64"/>
      </left>
      <right style="thin">
        <color indexed="64"/>
      </right>
      <top/>
      <bottom style="thin">
        <color rgb="FF000000"/>
      </bottom>
      <diagonal/>
    </border>
    <border>
      <left/>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rgb="FF000000"/>
      </top>
      <bottom/>
      <diagonal/>
    </border>
    <border>
      <left style="thin">
        <color indexed="64"/>
      </left>
      <right/>
      <top style="thin">
        <color rgb="FF000000"/>
      </top>
      <bottom/>
      <diagonal/>
    </border>
    <border>
      <left/>
      <right style="thin">
        <color indexed="64"/>
      </right>
      <top style="thin">
        <color rgb="FF000000"/>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top/>
      <bottom style="medium">
        <color rgb="FF000000"/>
      </bottom>
      <diagonal/>
    </border>
    <border>
      <left style="thin">
        <color rgb="FF000000"/>
      </left>
      <right style="thin">
        <color rgb="FF000000"/>
      </right>
      <top style="thin">
        <color indexed="64"/>
      </top>
      <bottom/>
      <diagonal/>
    </border>
    <border>
      <left style="thin">
        <color rgb="FF000000"/>
      </left>
      <right/>
      <top/>
      <bottom style="thin">
        <color rgb="FF000000"/>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0" fontId="9" fillId="0" borderId="0" applyNumberFormat="0" applyFill="0" applyBorder="0" applyAlignment="0" applyProtection="0"/>
    <xf numFmtId="0" fontId="19" fillId="0" borderId="0"/>
    <xf numFmtId="0" fontId="2" fillId="0" borderId="0"/>
  </cellStyleXfs>
  <cellXfs count="242">
    <xf numFmtId="0" fontId="0" fillId="0" borderId="0" xfId="0"/>
    <xf numFmtId="0" fontId="0" fillId="0" borderId="0" xfId="0" applyAlignment="1">
      <alignment horizontal="center"/>
    </xf>
    <xf numFmtId="0" fontId="0" fillId="2" borderId="0" xfId="0" applyFill="1" applyAlignment="1">
      <alignment horizontal="center"/>
    </xf>
    <xf numFmtId="0" fontId="0" fillId="3" borderId="0" xfId="0" applyFill="1" applyAlignment="1">
      <alignment horizontal="center"/>
    </xf>
    <xf numFmtId="0" fontId="0" fillId="0" borderId="2" xfId="0" applyBorder="1"/>
    <xf numFmtId="0" fontId="4" fillId="0" borderId="0" xfId="0" applyFont="1"/>
    <xf numFmtId="0" fontId="0" fillId="4" borderId="6" xfId="0" applyFill="1" applyBorder="1" applyAlignment="1">
      <alignment horizontal="center"/>
    </xf>
    <xf numFmtId="0" fontId="6" fillId="0" borderId="0" xfId="0" applyFont="1"/>
    <xf numFmtId="0" fontId="8" fillId="0" borderId="0" xfId="0" applyFont="1" applyAlignment="1">
      <alignment wrapText="1"/>
    </xf>
    <xf numFmtId="0" fontId="7" fillId="0" borderId="0" xfId="0" applyFont="1" applyAlignment="1">
      <alignment wrapText="1"/>
    </xf>
    <xf numFmtId="0" fontId="9" fillId="0" borderId="0" xfId="1"/>
    <xf numFmtId="16" fontId="0" fillId="0" borderId="0" xfId="0" applyNumberFormat="1"/>
    <xf numFmtId="0" fontId="11" fillId="0" borderId="0" xfId="0" applyFont="1" applyAlignment="1">
      <alignment horizontal="center"/>
    </xf>
    <xf numFmtId="0" fontId="12" fillId="0" borderId="0" xfId="0" applyFont="1"/>
    <xf numFmtId="0" fontId="13" fillId="0" borderId="17" xfId="0" applyFont="1" applyBorder="1" applyAlignment="1">
      <alignment horizontal="center" vertical="center" wrapText="1"/>
    </xf>
    <xf numFmtId="0" fontId="17" fillId="0" borderId="19" xfId="0" applyFont="1"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applyAlignment="1">
      <alignment horizontal="center" vertical="center" wrapText="1"/>
    </xf>
    <xf numFmtId="164" fontId="0" fillId="0" borderId="0" xfId="0" applyNumberFormat="1" applyAlignment="1">
      <alignment horizontal="left" vertical="top"/>
    </xf>
    <xf numFmtId="0" fontId="20" fillId="0" borderId="0" xfId="2" applyFont="1"/>
    <xf numFmtId="0" fontId="20" fillId="0" borderId="0" xfId="2" applyFont="1" applyAlignment="1">
      <alignment horizontal="center"/>
    </xf>
    <xf numFmtId="0" fontId="21" fillId="0" borderId="0" xfId="2" applyFont="1" applyAlignment="1">
      <alignment vertical="top"/>
    </xf>
    <xf numFmtId="0" fontId="21" fillId="0" borderId="0" xfId="2" applyFont="1" applyAlignment="1">
      <alignment horizontal="center" vertical="top"/>
    </xf>
    <xf numFmtId="0" fontId="22" fillId="0" borderId="0" xfId="2" applyFont="1" applyAlignment="1">
      <alignment horizontal="center" vertical="center"/>
    </xf>
    <xf numFmtId="0" fontId="20" fillId="0" borderId="0" xfId="2" applyFont="1" applyAlignment="1">
      <alignment vertical="center"/>
    </xf>
    <xf numFmtId="0" fontId="18" fillId="0" borderId="0" xfId="2" applyFont="1" applyAlignment="1">
      <alignment horizontal="left" vertical="center"/>
    </xf>
    <xf numFmtId="0" fontId="21" fillId="0" borderId="0" xfId="2" applyFont="1" applyAlignment="1">
      <alignment horizontal="left" vertical="top"/>
    </xf>
    <xf numFmtId="0" fontId="20" fillId="0" borderId="0" xfId="2" applyFont="1" applyAlignment="1">
      <alignment horizontal="left"/>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0" borderId="0" xfId="0" applyAlignment="1">
      <alignment horizontal="center" vertical="top" wrapText="1"/>
    </xf>
    <xf numFmtId="0" fontId="17" fillId="0" borderId="10" xfId="0" applyFont="1" applyBorder="1" applyAlignment="1">
      <alignment horizontal="center" vertical="center" wrapText="1"/>
    </xf>
    <xf numFmtId="0" fontId="0" fillId="0" borderId="10" xfId="0" applyBorder="1" applyAlignment="1">
      <alignment horizontal="center" vertical="center" wrapText="1"/>
    </xf>
    <xf numFmtId="0" fontId="13" fillId="0" borderId="18" xfId="0" applyFont="1" applyBorder="1" applyAlignment="1">
      <alignment horizontal="center" vertical="center" wrapText="1"/>
    </xf>
    <xf numFmtId="0" fontId="14"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9" xfId="0" applyFont="1" applyBorder="1" applyAlignment="1">
      <alignment horizontal="center" vertical="center" wrapText="1"/>
    </xf>
    <xf numFmtId="0" fontId="0" fillId="0" borderId="21" xfId="0" applyBorder="1" applyAlignment="1">
      <alignment horizontal="center" vertical="center" wrapText="1"/>
    </xf>
    <xf numFmtId="0" fontId="10" fillId="0" borderId="1" xfId="0" applyFont="1" applyBorder="1" applyAlignment="1">
      <alignment horizontal="center" vertical="center" wrapText="1"/>
    </xf>
    <xf numFmtId="0" fontId="13" fillId="0" borderId="10" xfId="0" applyFont="1" applyBorder="1" applyAlignment="1">
      <alignment horizontal="center" vertical="center" wrapText="1"/>
    </xf>
    <xf numFmtId="0" fontId="5" fillId="0" borderId="10" xfId="0" applyFont="1" applyBorder="1" applyAlignment="1">
      <alignment horizontal="center" vertical="center" wrapText="1"/>
    </xf>
    <xf numFmtId="0" fontId="15" fillId="0" borderId="9" xfId="0" applyFont="1" applyBorder="1" applyAlignment="1">
      <alignment horizontal="center" vertical="center" wrapText="1"/>
    </xf>
    <xf numFmtId="0" fontId="0" fillId="0" borderId="1" xfId="0" applyBorder="1" applyAlignment="1">
      <alignment horizontal="center" vertical="center" wrapText="1"/>
    </xf>
    <xf numFmtId="0" fontId="16" fillId="0" borderId="17" xfId="0" applyFont="1" applyBorder="1" applyAlignment="1">
      <alignment horizontal="center" vertical="center" wrapText="1"/>
    </xf>
    <xf numFmtId="0" fontId="0" fillId="0" borderId="7" xfId="0" applyBorder="1" applyAlignment="1">
      <alignment vertical="center"/>
    </xf>
    <xf numFmtId="0" fontId="0" fillId="0" borderId="1" xfId="0" applyBorder="1" applyAlignment="1">
      <alignment vertical="center" wrapText="1"/>
    </xf>
    <xf numFmtId="0" fontId="4" fillId="0" borderId="1" xfId="0" applyFont="1" applyBorder="1" applyAlignment="1">
      <alignment horizontal="center" vertical="center" wrapText="1"/>
    </xf>
    <xf numFmtId="0" fontId="1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23" fillId="0" borderId="18" xfId="0" applyFont="1" applyBorder="1" applyAlignment="1">
      <alignment horizontal="center" vertical="center" wrapText="1"/>
    </xf>
    <xf numFmtId="0" fontId="11" fillId="0" borderId="0" xfId="0" applyFont="1" applyAlignment="1">
      <alignment vertical="center"/>
    </xf>
    <xf numFmtId="0" fontId="24" fillId="0" borderId="19" xfId="0" applyFont="1" applyBorder="1" applyAlignment="1">
      <alignment horizontal="center" vertical="center" wrapText="1"/>
    </xf>
    <xf numFmtId="0" fontId="25" fillId="0" borderId="10" xfId="0" applyFont="1" applyBorder="1" applyAlignment="1">
      <alignment horizontal="center" vertical="center" wrapText="1"/>
    </xf>
    <xf numFmtId="0" fontId="11" fillId="0" borderId="10" xfId="0" applyFont="1" applyBorder="1" applyAlignment="1">
      <alignment horizontal="center" vertical="center" wrapText="1"/>
    </xf>
    <xf numFmtId="0" fontId="26" fillId="0" borderId="17" xfId="0" applyFont="1" applyBorder="1" applyAlignment="1">
      <alignment horizontal="center" vertical="center" wrapText="1"/>
    </xf>
    <xf numFmtId="0" fontId="17" fillId="0" borderId="19" xfId="0" applyFont="1" applyBorder="1" applyAlignment="1">
      <alignment horizontal="center" vertical="center"/>
    </xf>
    <xf numFmtId="0" fontId="0" fillId="7" borderId="3" xfId="0" applyFill="1" applyBorder="1" applyAlignment="1">
      <alignment horizontal="center" vertical="center"/>
    </xf>
    <xf numFmtId="0" fontId="0" fillId="8" borderId="3" xfId="0" applyFill="1" applyBorder="1" applyAlignment="1">
      <alignment horizontal="center" vertical="center"/>
    </xf>
    <xf numFmtId="0" fontId="0" fillId="7" borderId="6" xfId="0" applyFill="1" applyBorder="1" applyAlignment="1">
      <alignment horizontal="center" vertical="center"/>
    </xf>
    <xf numFmtId="0" fontId="0" fillId="8" borderId="6" xfId="0" applyFill="1" applyBorder="1" applyAlignment="1">
      <alignment horizontal="center" vertical="center"/>
    </xf>
    <xf numFmtId="0" fontId="18" fillId="0" borderId="10" xfId="0" applyFont="1" applyBorder="1" applyAlignment="1">
      <alignment horizontal="center" vertical="center" wrapText="1"/>
    </xf>
    <xf numFmtId="0" fontId="27" fillId="0" borderId="0" xfId="0" applyFont="1"/>
    <xf numFmtId="0" fontId="28" fillId="0" borderId="0" xfId="0" applyFont="1" applyAlignment="1">
      <alignment horizontal="center"/>
    </xf>
    <xf numFmtId="0" fontId="17" fillId="0" borderId="11" xfId="0" applyFont="1" applyBorder="1" applyAlignment="1">
      <alignment horizontal="center" vertical="center" wrapText="1"/>
    </xf>
    <xf numFmtId="0" fontId="0" fillId="0" borderId="32" xfId="0" applyBorder="1"/>
    <xf numFmtId="0" fontId="17" fillId="0" borderId="0" xfId="0" applyFont="1" applyAlignment="1">
      <alignment horizontal="center" vertical="top" wrapText="1"/>
    </xf>
    <xf numFmtId="0" fontId="29" fillId="0" borderId="0" xfId="0" applyFont="1" applyAlignment="1">
      <alignment horizontal="center" vertical="top" wrapText="1"/>
    </xf>
    <xf numFmtId="0" fontId="29" fillId="0" borderId="10" xfId="0" applyFont="1" applyBorder="1" applyAlignment="1">
      <alignment horizontal="center" vertical="center" wrapText="1"/>
    </xf>
    <xf numFmtId="0" fontId="6" fillId="0" borderId="0" xfId="0" applyFont="1" applyAlignment="1">
      <alignment horizontal="center"/>
    </xf>
    <xf numFmtId="0" fontId="0" fillId="0" borderId="0" xfId="0" applyAlignment="1">
      <alignment vertical="center"/>
    </xf>
    <xf numFmtId="0" fontId="18" fillId="0" borderId="0" xfId="0" applyFont="1" applyAlignment="1">
      <alignment horizontal="center" vertical="center"/>
    </xf>
    <xf numFmtId="0" fontId="6" fillId="0" borderId="0" xfId="0" applyFont="1" applyAlignment="1">
      <alignment horizontal="center" vertical="center"/>
    </xf>
    <xf numFmtId="0" fontId="0" fillId="0" borderId="15" xfId="0" applyBorder="1" applyAlignment="1">
      <alignment horizontal="center" vertical="center"/>
    </xf>
    <xf numFmtId="0" fontId="32" fillId="0" borderId="10" xfId="0" applyFont="1" applyBorder="1" applyAlignment="1">
      <alignment horizontal="center" vertical="center"/>
    </xf>
    <xf numFmtId="0" fontId="33" fillId="0" borderId="10" xfId="0" applyFont="1" applyBorder="1" applyAlignment="1">
      <alignment horizontal="center" vertical="center" wrapText="1"/>
    </xf>
    <xf numFmtId="1" fontId="11" fillId="0" borderId="10" xfId="0" applyNumberFormat="1" applyFont="1" applyBorder="1" applyAlignment="1">
      <alignment horizontal="center" vertical="center" wrapText="1"/>
    </xf>
    <xf numFmtId="0" fontId="2" fillId="0" borderId="0" xfId="3"/>
    <xf numFmtId="0" fontId="2" fillId="0" borderId="0" xfId="3" applyAlignment="1">
      <alignment horizontal="center"/>
    </xf>
    <xf numFmtId="2" fontId="2" fillId="0" borderId="0" xfId="3" applyNumberFormat="1" applyAlignment="1">
      <alignment horizontal="center"/>
    </xf>
    <xf numFmtId="1" fontId="2" fillId="0" borderId="0" xfId="3" applyNumberFormat="1" applyAlignment="1">
      <alignment horizontal="center"/>
    </xf>
    <xf numFmtId="0" fontId="31" fillId="0" borderId="0" xfId="3" applyFont="1"/>
    <xf numFmtId="0" fontId="31" fillId="0" borderId="0" xfId="3" applyFont="1" applyAlignment="1">
      <alignment horizontal="center"/>
    </xf>
    <xf numFmtId="0" fontId="21" fillId="0" borderId="10" xfId="0" applyFont="1" applyBorder="1" applyAlignment="1">
      <alignment horizontal="center" vertical="center" wrapText="1"/>
    </xf>
    <xf numFmtId="0" fontId="34" fillId="11" borderId="0" xfId="2" applyFont="1" applyFill="1" applyAlignment="1">
      <alignment horizontal="center"/>
    </xf>
    <xf numFmtId="0" fontId="20" fillId="0" borderId="0" xfId="2" applyFont="1" applyAlignment="1">
      <alignment vertical="center" wrapText="1"/>
    </xf>
    <xf numFmtId="49" fontId="19" fillId="0" borderId="0" xfId="2" applyNumberFormat="1"/>
    <xf numFmtId="0" fontId="0" fillId="0" borderId="0" xfId="0" applyAlignment="1">
      <alignment horizontal="center" vertical="center" wrapText="1"/>
    </xf>
    <xf numFmtId="0" fontId="15" fillId="0" borderId="10" xfId="0" applyFont="1" applyBorder="1" applyAlignment="1">
      <alignment horizontal="center" vertical="center" wrapText="1"/>
    </xf>
    <xf numFmtId="0" fontId="32" fillId="0" borderId="10" xfId="0" applyFont="1" applyBorder="1" applyAlignment="1">
      <alignment horizontal="center" vertical="center" wrapText="1"/>
    </xf>
    <xf numFmtId="0" fontId="14" fillId="0" borderId="9" xfId="0" applyFont="1" applyBorder="1" applyAlignment="1">
      <alignment horizontal="center" vertical="center" wrapText="1"/>
    </xf>
    <xf numFmtId="0" fontId="33" fillId="0" borderId="0" xfId="0" applyFont="1" applyAlignment="1">
      <alignment horizontal="center" vertical="center" wrapText="1"/>
    </xf>
    <xf numFmtId="0" fontId="11" fillId="0" borderId="0" xfId="0" applyFont="1"/>
    <xf numFmtId="0" fontId="32" fillId="0" borderId="19" xfId="0" applyFont="1" applyBorder="1" applyAlignment="1">
      <alignment horizontal="center" vertical="center"/>
    </xf>
    <xf numFmtId="0" fontId="35" fillId="7" borderId="1"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26" xfId="0" applyFont="1" applyFill="1" applyBorder="1" applyAlignment="1">
      <alignment horizontal="center" vertical="center"/>
    </xf>
    <xf numFmtId="0" fontId="35" fillId="7" borderId="27" xfId="0" applyFont="1" applyFill="1" applyBorder="1" applyAlignment="1">
      <alignment horizontal="center" vertical="center"/>
    </xf>
    <xf numFmtId="0" fontId="35" fillId="8" borderId="1" xfId="0" applyFont="1" applyFill="1" applyBorder="1" applyAlignment="1">
      <alignment horizontal="center" vertical="center"/>
    </xf>
    <xf numFmtId="0" fontId="35" fillId="8" borderId="3" xfId="0" applyFont="1" applyFill="1" applyBorder="1" applyAlignment="1">
      <alignment horizontal="center" vertical="center"/>
    </xf>
    <xf numFmtId="0" fontId="35" fillId="8" borderId="26" xfId="0" applyFont="1" applyFill="1" applyBorder="1" applyAlignment="1">
      <alignment horizontal="center" vertical="center"/>
    </xf>
    <xf numFmtId="0" fontId="35" fillId="8" borderId="27" xfId="0" applyFont="1" applyFill="1" applyBorder="1" applyAlignment="1">
      <alignment horizontal="center" vertical="center"/>
    </xf>
    <xf numFmtId="49" fontId="19" fillId="0" borderId="0" xfId="2" applyNumberFormat="1" applyAlignment="1">
      <alignment wrapText="1"/>
    </xf>
    <xf numFmtId="0" fontId="9" fillId="0" borderId="0" xfId="1" applyAlignment="1">
      <alignment horizontal="left" vertical="center"/>
    </xf>
    <xf numFmtId="0" fontId="36" fillId="0" borderId="0" xfId="0" applyFont="1" applyAlignment="1">
      <alignment vertical="center"/>
    </xf>
    <xf numFmtId="0" fontId="37" fillId="0" borderId="0" xfId="0" applyFont="1"/>
    <xf numFmtId="0" fontId="37" fillId="15" borderId="0" xfId="0" applyFont="1" applyFill="1"/>
    <xf numFmtId="0" fontId="37" fillId="16" borderId="0" xfId="0" applyFont="1" applyFill="1"/>
    <xf numFmtId="0" fontId="38" fillId="0" borderId="0" xfId="0" applyFont="1"/>
    <xf numFmtId="0" fontId="39" fillId="0" borderId="37" xfId="0" applyFont="1" applyBorder="1"/>
    <xf numFmtId="0" fontId="38" fillId="12" borderId="0" xfId="0" applyFont="1" applyFill="1" applyAlignment="1">
      <alignment vertical="center"/>
    </xf>
    <xf numFmtId="20" fontId="38" fillId="12" borderId="0" xfId="0" applyNumberFormat="1" applyFont="1" applyFill="1" applyAlignment="1">
      <alignment vertical="center"/>
    </xf>
    <xf numFmtId="0" fontId="38" fillId="12" borderId="0" xfId="0" applyFont="1" applyFill="1" applyAlignment="1">
      <alignment vertical="center" wrapText="1"/>
    </xf>
    <xf numFmtId="0" fontId="38" fillId="0" borderId="0" xfId="0" applyFont="1" applyAlignment="1">
      <alignment vertical="center"/>
    </xf>
    <xf numFmtId="0" fontId="39" fillId="13" borderId="0" xfId="0" applyFont="1" applyFill="1" applyAlignment="1">
      <alignment vertical="center"/>
    </xf>
    <xf numFmtId="20" fontId="38" fillId="13" borderId="0" xfId="0" applyNumberFormat="1" applyFont="1" applyFill="1" applyAlignment="1">
      <alignment vertical="center"/>
    </xf>
    <xf numFmtId="0" fontId="38" fillId="13" borderId="0" xfId="0" applyFont="1" applyFill="1" applyAlignment="1">
      <alignment vertical="center" wrapText="1"/>
    </xf>
    <xf numFmtId="0" fontId="38" fillId="13" borderId="0" xfId="0" applyFont="1" applyFill="1" applyAlignment="1">
      <alignment vertical="center"/>
    </xf>
    <xf numFmtId="0" fontId="39" fillId="14" borderId="0" xfId="0" applyFont="1" applyFill="1" applyAlignment="1">
      <alignment vertical="center"/>
    </xf>
    <xf numFmtId="20" fontId="38" fillId="14" borderId="0" xfId="0" applyNumberFormat="1" applyFont="1" applyFill="1" applyAlignment="1">
      <alignment vertical="center"/>
    </xf>
    <xf numFmtId="0" fontId="39" fillId="14" borderId="0" xfId="0" applyFont="1" applyFill="1" applyAlignment="1">
      <alignment vertical="center" wrapText="1"/>
    </xf>
    <xf numFmtId="0" fontId="40" fillId="7" borderId="6" xfId="0" applyFont="1" applyFill="1" applyBorder="1" applyAlignment="1">
      <alignment horizontal="center" vertical="center"/>
    </xf>
    <xf numFmtId="0" fontId="40" fillId="7" borderId="1" xfId="0" applyFont="1" applyFill="1" applyBorder="1" applyAlignment="1">
      <alignment horizontal="center" vertical="center"/>
    </xf>
    <xf numFmtId="0" fontId="40" fillId="7" borderId="3" xfId="0" applyFont="1" applyFill="1" applyBorder="1" applyAlignment="1">
      <alignment horizontal="center" vertical="center"/>
    </xf>
    <xf numFmtId="0" fontId="40" fillId="8" borderId="6" xfId="0" applyFont="1" applyFill="1" applyBorder="1" applyAlignment="1">
      <alignment horizontal="center" vertical="center"/>
    </xf>
    <xf numFmtId="0" fontId="40" fillId="8" borderId="1" xfId="0" applyFont="1" applyFill="1" applyBorder="1" applyAlignment="1">
      <alignment horizontal="center" vertical="center"/>
    </xf>
    <xf numFmtId="0" fontId="40" fillId="8" borderId="3" xfId="0" applyFont="1" applyFill="1" applyBorder="1" applyAlignment="1">
      <alignment horizontal="center" vertical="center"/>
    </xf>
    <xf numFmtId="0" fontId="4" fillId="0" borderId="3" xfId="0" applyFont="1" applyBorder="1" applyAlignment="1">
      <alignment horizontal="center" vertical="center" wrapText="1"/>
    </xf>
    <xf numFmtId="0" fontId="18" fillId="0" borderId="18" xfId="0" applyFont="1" applyBorder="1" applyAlignment="1">
      <alignment horizontal="center" vertical="center"/>
    </xf>
    <xf numFmtId="0" fontId="16" fillId="0" borderId="39" xfId="0" applyFont="1" applyBorder="1" applyAlignment="1">
      <alignment horizontal="center" vertical="center" wrapText="1"/>
    </xf>
    <xf numFmtId="0" fontId="32" fillId="0" borderId="9" xfId="0" applyFont="1" applyBorder="1" applyAlignment="1">
      <alignment horizontal="center" vertical="center"/>
    </xf>
    <xf numFmtId="18" fontId="0" fillId="0" borderId="0" xfId="0" applyNumberFormat="1"/>
    <xf numFmtId="0" fontId="0" fillId="0" borderId="15" xfId="0" applyBorder="1" applyAlignment="1">
      <alignment horizontal="center" vertical="center" wrapText="1"/>
    </xf>
    <xf numFmtId="0" fontId="41" fillId="0" borderId="0" xfId="0" applyFont="1"/>
    <xf numFmtId="0" fontId="32" fillId="0" borderId="9" xfId="0" applyFont="1" applyBorder="1" applyAlignment="1">
      <alignment horizontal="center" vertical="center" wrapText="1"/>
    </xf>
    <xf numFmtId="0" fontId="32" fillId="0" borderId="16" xfId="0" applyFont="1" applyBorder="1" applyAlignment="1">
      <alignment horizontal="center" vertical="center"/>
    </xf>
    <xf numFmtId="0" fontId="32" fillId="0" borderId="16" xfId="0" applyFont="1" applyBorder="1" applyAlignment="1">
      <alignment horizontal="center" vertical="center" wrapText="1"/>
    </xf>
    <xf numFmtId="0" fontId="0" fillId="0" borderId="6" xfId="0" applyBorder="1" applyAlignment="1">
      <alignment horizontal="center" vertical="center" wrapText="1"/>
    </xf>
    <xf numFmtId="0" fontId="17" fillId="0" borderId="16" xfId="0" applyFont="1" applyBorder="1" applyAlignment="1">
      <alignment horizontal="center" vertical="center" wrapText="1"/>
    </xf>
    <xf numFmtId="0" fontId="17" fillId="0" borderId="11" xfId="0" applyFont="1" applyBorder="1" applyAlignment="1">
      <alignment vertical="center" wrapText="1"/>
    </xf>
    <xf numFmtId="0" fontId="17" fillId="0" borderId="22" xfId="0" applyFont="1" applyBorder="1" applyAlignment="1">
      <alignment vertical="center" wrapText="1"/>
    </xf>
    <xf numFmtId="0" fontId="42" fillId="0" borderId="0" xfId="0" applyFont="1"/>
    <xf numFmtId="0" fontId="0" fillId="0" borderId="23" xfId="0" applyBorder="1" applyAlignment="1">
      <alignment horizontal="center" vertical="center" wrapText="1"/>
    </xf>
    <xf numFmtId="0" fontId="43" fillId="7" borderId="3" xfId="0" applyFont="1" applyFill="1" applyBorder="1" applyAlignment="1">
      <alignment horizontal="center" vertical="center"/>
    </xf>
    <xf numFmtId="0" fontId="43" fillId="7" borderId="31" xfId="0" applyFont="1" applyFill="1" applyBorder="1" applyAlignment="1">
      <alignment horizontal="center" vertical="center"/>
    </xf>
    <xf numFmtId="0" fontId="43" fillId="7" borderId="1" xfId="0" applyFont="1" applyFill="1" applyBorder="1" applyAlignment="1">
      <alignment horizontal="center" vertical="center"/>
    </xf>
    <xf numFmtId="0" fontId="43" fillId="7" borderId="27" xfId="0" applyFont="1" applyFill="1" applyBorder="1" applyAlignment="1">
      <alignment horizontal="center" vertical="center"/>
    </xf>
    <xf numFmtId="0" fontId="43" fillId="8" borderId="3" xfId="0" applyFont="1" applyFill="1" applyBorder="1" applyAlignment="1">
      <alignment horizontal="center" vertical="center"/>
    </xf>
    <xf numFmtId="0" fontId="43" fillId="8" borderId="31" xfId="0" applyFont="1" applyFill="1" applyBorder="1" applyAlignment="1">
      <alignment horizontal="center" vertical="center"/>
    </xf>
    <xf numFmtId="0" fontId="43" fillId="8" borderId="1" xfId="0" applyFont="1" applyFill="1" applyBorder="1" applyAlignment="1">
      <alignment horizontal="center" vertical="center"/>
    </xf>
    <xf numFmtId="0" fontId="43" fillId="8" borderId="27" xfId="0" applyFont="1" applyFill="1" applyBorder="1" applyAlignment="1">
      <alignment horizontal="center" vertical="center"/>
    </xf>
    <xf numFmtId="2" fontId="38" fillId="0" borderId="0" xfId="0" applyNumberFormat="1" applyFont="1" applyAlignment="1">
      <alignment horizontal="center"/>
    </xf>
    <xf numFmtId="2" fontId="38" fillId="0" borderId="0" xfId="0" applyNumberFormat="1" applyFont="1"/>
    <xf numFmtId="0" fontId="39" fillId="0" borderId="0" xfId="0" applyFont="1" applyAlignment="1">
      <alignment horizontal="center"/>
    </xf>
    <xf numFmtId="0" fontId="39" fillId="0" borderId="0" xfId="0" applyFont="1" applyAlignment="1">
      <alignment horizontal="left"/>
    </xf>
    <xf numFmtId="0" fontId="0" fillId="6" borderId="10" xfId="0" applyFill="1" applyBorder="1" applyAlignment="1">
      <alignment horizontal="center" vertical="center" wrapText="1"/>
    </xf>
    <xf numFmtId="0" fontId="28" fillId="0" borderId="0" xfId="0" applyFont="1"/>
    <xf numFmtId="0" fontId="44" fillId="0" borderId="0" xfId="0" applyFont="1"/>
    <xf numFmtId="0" fontId="45" fillId="0" borderId="0" xfId="0" applyFont="1"/>
    <xf numFmtId="0" fontId="44" fillId="0" borderId="0" xfId="2" applyFont="1" applyAlignment="1">
      <alignment horizontal="center" vertical="center"/>
    </xf>
    <xf numFmtId="0" fontId="45" fillId="0" borderId="0" xfId="2" applyFont="1" applyAlignment="1">
      <alignment horizontal="left" vertical="center"/>
    </xf>
    <xf numFmtId="0" fontId="45" fillId="0" borderId="0" xfId="2" applyFont="1" applyAlignment="1">
      <alignment vertical="center"/>
    </xf>
    <xf numFmtId="0" fontId="43" fillId="7" borderId="6" xfId="0" applyFont="1" applyFill="1" applyBorder="1" applyAlignment="1">
      <alignment horizontal="center" vertical="center"/>
    </xf>
    <xf numFmtId="0" fontId="43" fillId="8" borderId="6" xfId="0" applyFont="1" applyFill="1" applyBorder="1" applyAlignment="1">
      <alignment horizontal="center" vertical="center"/>
    </xf>
    <xf numFmtId="0" fontId="43" fillId="7" borderId="26" xfId="0" applyFont="1" applyFill="1" applyBorder="1" applyAlignment="1">
      <alignment horizontal="center" vertical="center"/>
    </xf>
    <xf numFmtId="0" fontId="43" fillId="8" borderId="26" xfId="0" applyFont="1" applyFill="1" applyBorder="1" applyAlignment="1">
      <alignment horizontal="center" vertical="center"/>
    </xf>
    <xf numFmtId="0" fontId="46" fillId="0" borderId="0" xfId="0" applyFont="1"/>
    <xf numFmtId="0" fontId="0" fillId="6" borderId="10" xfId="0" applyFill="1" applyBorder="1" applyAlignment="1">
      <alignment horizontal="center" vertical="center" wrapText="1"/>
    </xf>
    <xf numFmtId="0" fontId="32" fillId="0" borderId="38" xfId="0" applyFont="1" applyBorder="1" applyAlignment="1">
      <alignment horizontal="center" vertical="center" wrapText="1"/>
    </xf>
    <xf numFmtId="0" fontId="32" fillId="0" borderId="18" xfId="0" applyFont="1" applyBorder="1" applyAlignment="1">
      <alignment horizontal="center" vertical="center" wrapText="1"/>
    </xf>
    <xf numFmtId="0" fontId="32" fillId="0" borderId="17" xfId="0" applyFont="1" applyBorder="1" applyAlignment="1">
      <alignment horizontal="center" vertical="center" wrapText="1"/>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18" fillId="0" borderId="19"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7" xfId="0" applyFont="1" applyBorder="1" applyAlignment="1">
      <alignment horizontal="center" vertical="center" wrapText="1"/>
    </xf>
    <xf numFmtId="0" fontId="0" fillId="0" borderId="10" xfId="0" applyBorder="1" applyAlignment="1">
      <alignment horizontal="center" vertical="center" wrapText="1"/>
    </xf>
    <xf numFmtId="0" fontId="0" fillId="1" borderId="19" xfId="0" applyFill="1" applyBorder="1" applyAlignment="1">
      <alignment horizontal="center" vertical="center"/>
    </xf>
    <xf numFmtId="0" fontId="0" fillId="1" borderId="18" xfId="0" applyFill="1" applyBorder="1" applyAlignment="1">
      <alignment horizontal="center" vertical="center"/>
    </xf>
    <xf numFmtId="0" fontId="0" fillId="1" borderId="17" xfId="0" applyFill="1" applyBorder="1" applyAlignment="1">
      <alignment horizontal="center" vertical="center"/>
    </xf>
    <xf numFmtId="0" fontId="0" fillId="5" borderId="1" xfId="0" applyFill="1" applyBorder="1" applyAlignment="1">
      <alignment horizontal="center"/>
    </xf>
    <xf numFmtId="0" fontId="0" fillId="4" borderId="3" xfId="0" applyFill="1" applyBorder="1" applyAlignment="1">
      <alignment horizontal="center"/>
    </xf>
    <xf numFmtId="0" fontId="0" fillId="4" borderId="2" xfId="0" applyFill="1" applyBorder="1" applyAlignment="1">
      <alignment horizontal="center"/>
    </xf>
    <xf numFmtId="0" fontId="0" fillId="0" borderId="1"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0" fillId="0" borderId="14"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1" fillId="6" borderId="19" xfId="0" applyFont="1" applyFill="1" applyBorder="1" applyAlignment="1">
      <alignment horizontal="center" vertical="center" wrapText="1"/>
    </xf>
    <xf numFmtId="0" fontId="1" fillId="6" borderId="18" xfId="0" applyFont="1" applyFill="1" applyBorder="1" applyAlignment="1">
      <alignment horizontal="center" vertical="center" wrapText="1"/>
    </xf>
    <xf numFmtId="0" fontId="0" fillId="0" borderId="23" xfId="0" applyBorder="1" applyAlignment="1">
      <alignment horizontal="center"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38" xfId="0" applyBorder="1" applyAlignment="1">
      <alignment horizontal="center" vertical="center" wrapText="1"/>
    </xf>
    <xf numFmtId="0" fontId="0" fillId="0" borderId="18" xfId="0" applyBorder="1" applyAlignment="1">
      <alignment horizontal="center" vertical="center" wrapText="1"/>
    </xf>
    <xf numFmtId="0" fontId="0" fillId="4" borderId="1" xfId="0" applyFill="1" applyBorder="1" applyAlignment="1">
      <alignment horizontal="center"/>
    </xf>
    <xf numFmtId="0" fontId="0" fillId="4" borderId="7" xfId="0" applyFill="1" applyBorder="1" applyAlignment="1">
      <alignment horizontal="center"/>
    </xf>
    <xf numFmtId="0" fontId="0" fillId="5" borderId="7" xfId="0" applyFill="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0" fontId="0" fillId="5" borderId="23" xfId="0" applyFill="1" applyBorder="1" applyAlignment="1">
      <alignment horizontal="center"/>
    </xf>
    <xf numFmtId="0" fontId="0" fillId="4" borderId="13" xfId="0" applyFill="1" applyBorder="1" applyAlignment="1">
      <alignment horizontal="center"/>
    </xf>
    <xf numFmtId="0" fontId="0" fillId="4" borderId="12" xfId="0" applyFill="1" applyBorder="1" applyAlignment="1">
      <alignment horizontal="center"/>
    </xf>
    <xf numFmtId="0" fontId="0" fillId="4" borderId="6" xfId="0" applyFill="1" applyBorder="1" applyAlignment="1">
      <alignment horizontal="center"/>
    </xf>
    <xf numFmtId="0" fontId="17" fillId="0" borderId="19"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17" xfId="0" applyFont="1" applyBorder="1" applyAlignment="1">
      <alignment horizontal="center" vertical="center" wrapText="1"/>
    </xf>
    <xf numFmtId="0" fontId="0" fillId="0" borderId="9" xfId="0" applyBorder="1" applyAlignment="1">
      <alignment horizontal="center" vertical="center" wrapText="1"/>
    </xf>
    <xf numFmtId="0" fontId="0" fillId="0" borderId="25" xfId="0" applyBorder="1" applyAlignment="1">
      <alignment horizontal="center" vertical="center" wrapText="1"/>
    </xf>
    <xf numFmtId="0" fontId="0" fillId="0" borderId="16" xfId="0" applyBorder="1" applyAlignment="1">
      <alignment horizontal="center" vertical="center" wrapText="1"/>
    </xf>
    <xf numFmtId="0" fontId="0" fillId="0" borderId="33" xfId="0" applyBorder="1" applyAlignment="1">
      <alignment horizontal="center" vertical="center"/>
    </xf>
    <xf numFmtId="0" fontId="0" fillId="0" borderId="32" xfId="0" applyBorder="1" applyAlignment="1">
      <alignment horizontal="center" vertical="center"/>
    </xf>
    <xf numFmtId="0" fontId="0" fillId="1" borderId="13" xfId="0" applyFill="1" applyBorder="1" applyAlignment="1">
      <alignment horizontal="center" vertical="center" wrapText="1"/>
    </xf>
    <xf numFmtId="0" fontId="0" fillId="1" borderId="14" xfId="0" applyFill="1" applyBorder="1" applyAlignment="1">
      <alignment horizontal="center" vertical="center" wrapText="1"/>
    </xf>
    <xf numFmtId="0" fontId="0" fillId="1" borderId="8" xfId="0" applyFill="1" applyBorder="1" applyAlignment="1">
      <alignment horizontal="center" vertical="center" wrapText="1"/>
    </xf>
    <xf numFmtId="0" fontId="0" fillId="0" borderId="34" xfId="0" applyBorder="1" applyAlignment="1">
      <alignment horizontal="center" vertical="center" wrapText="1"/>
    </xf>
    <xf numFmtId="0" fontId="17" fillId="0" borderId="22" xfId="0" applyFont="1" applyBorder="1" applyAlignment="1">
      <alignment horizontal="center" vertical="center" wrapText="1"/>
    </xf>
    <xf numFmtId="0" fontId="0" fillId="1" borderId="24" xfId="0" applyFill="1" applyBorder="1" applyAlignment="1">
      <alignment horizontal="center" vertical="center" wrapText="1"/>
    </xf>
    <xf numFmtId="0" fontId="17" fillId="0" borderId="38" xfId="0" applyFont="1" applyBorder="1" applyAlignment="1">
      <alignment horizontal="center" vertical="center" wrapText="1"/>
    </xf>
    <xf numFmtId="0" fontId="39" fillId="0" borderId="0" xfId="0" applyFont="1" applyAlignment="1">
      <alignment horizontal="center" vertical="center" wrapText="1"/>
    </xf>
    <xf numFmtId="164" fontId="0" fillId="9" borderId="7" xfId="0" applyNumberFormat="1" applyFill="1" applyBorder="1" applyAlignment="1">
      <alignment horizontal="center" vertical="center" wrapText="1"/>
    </xf>
    <xf numFmtId="164" fontId="0" fillId="9" borderId="8" xfId="0" applyNumberFormat="1" applyFill="1" applyBorder="1" applyAlignment="1">
      <alignment horizontal="center" vertical="center" wrapText="1"/>
    </xf>
    <xf numFmtId="164" fontId="0" fillId="10" borderId="8" xfId="0" applyNumberFormat="1" applyFill="1" applyBorder="1" applyAlignment="1">
      <alignment horizontal="center" vertical="center" wrapText="1"/>
    </xf>
    <xf numFmtId="164" fontId="0" fillId="10" borderId="4" xfId="0" applyNumberFormat="1" applyFill="1" applyBorder="1" applyAlignment="1">
      <alignment horizontal="center" vertical="center" wrapText="1"/>
    </xf>
    <xf numFmtId="0" fontId="0" fillId="1" borderId="7" xfId="0" applyFill="1" applyBorder="1" applyAlignment="1">
      <alignment horizontal="center" vertical="center" wrapText="1"/>
    </xf>
    <xf numFmtId="0" fontId="0" fillId="1" borderId="4" xfId="0" applyFill="1" applyBorder="1" applyAlignment="1">
      <alignment horizontal="center" vertical="center" wrapText="1"/>
    </xf>
    <xf numFmtId="0" fontId="0" fillId="17" borderId="7" xfId="0" applyFill="1" applyBorder="1" applyAlignment="1">
      <alignment horizontal="center" vertical="center" wrapText="1"/>
    </xf>
    <xf numFmtId="0" fontId="0" fillId="17" borderId="8" xfId="0" applyFill="1" applyBorder="1" applyAlignment="1">
      <alignment horizontal="center" vertical="center" wrapText="1"/>
    </xf>
    <xf numFmtId="0" fontId="0" fillId="17" borderId="4" xfId="0" applyFill="1" applyBorder="1" applyAlignment="1">
      <alignment horizontal="center" vertical="center" wrapText="1"/>
    </xf>
    <xf numFmtId="0" fontId="0" fillId="5" borderId="6" xfId="0" applyFill="1" applyBorder="1" applyAlignment="1">
      <alignment horizontal="center"/>
    </xf>
    <xf numFmtId="0" fontId="35" fillId="1" borderId="28" xfId="0" applyFont="1" applyFill="1" applyBorder="1" applyAlignment="1">
      <alignment horizontal="center" vertical="center" wrapText="1"/>
    </xf>
    <xf numFmtId="0" fontId="35" fillId="1" borderId="29" xfId="0" applyFont="1" applyFill="1" applyBorder="1" applyAlignment="1">
      <alignment horizontal="center" vertical="center" wrapText="1"/>
    </xf>
    <xf numFmtId="0" fontId="35" fillId="1" borderId="30" xfId="0" applyFont="1" applyFill="1" applyBorder="1" applyAlignment="1">
      <alignment horizontal="center" vertical="center" wrapText="1"/>
    </xf>
    <xf numFmtId="0" fontId="34" fillId="11" borderId="0" xfId="2" applyFont="1" applyFill="1" applyAlignment="1">
      <alignment horizontal="center"/>
    </xf>
    <xf numFmtId="0" fontId="0" fillId="0" borderId="0" xfId="0" applyAlignment="1">
      <alignment horizontal="left" vertical="top" wrapText="1"/>
    </xf>
  </cellXfs>
  <cellStyles count="4">
    <cellStyle name="Hyperlink" xfId="1" builtinId="8"/>
    <cellStyle name="Normal" xfId="0" builtinId="0"/>
    <cellStyle name="Normal 2" xfId="2" xr:uid="{C8227E2F-68E8-48DE-A034-43876CB43AA5}"/>
    <cellStyle name="Normal 3" xfId="3" xr:uid="{A845A6EC-1DF1-401D-8425-552B5E2224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Wang, Alan (ahw9f)" id="{82226675-9F2B-4A07-B065-EB9670512250}" userId="S::ahw9f@virginia.edu::4e89eb0f-2a2f-437e-8bbf-c08a3bb1e14c" providerId="AD"/>
  <person displayName="Montalvo, Cesar P (cpm9w)" id="{29CFADFF-606B-4392-B35D-8075B7EAA0F2}" userId="S::cpm9w@virginia.edu::0ce3372b-42c1-4f52-b82a-75d41fa137b1" providerId="AD"/>
  <person displayName="Kattampallil, Neil Alexander (nak3t)" id="{651D7D1C-A98F-452B-96F5-8DF657FD3395}" userId="S::nak3t@virginia.edu::01c23410-8e1b-4762-aec1-566d946128f5" providerId="AD"/>
  <person displayName="Wu, Edward (utf8rm)" id="{6B095688-89F6-4D94-AC97-630CF670E2A6}" userId="S::utf8rm@virginia.edu::83208356-43a2-4b87-9c3c-ebff33a2287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D7" dT="2023-05-02T19:05:03.72" personId="{6B095688-89F6-4D94-AC97-630CF670E2A6}" id="{156464D8-34F3-4A2B-92A2-AFABF3F19782}">
    <text>Delete for now and make all further statistics topics TBD (i.e., depending on student interest and project direction)?</text>
  </threadedComment>
  <threadedComment ref="AD9" dT="2023-06-16T03:54:19.95" personId="{82226675-9F2B-4A07-B065-EB9670512250}" id="{532B8FC2-1B75-4BAF-ACD1-EBD42B89C53F}">
    <text>I'll cover jupyter on Friday</text>
  </threadedComment>
</ThreadedComments>
</file>

<file path=xl/threadedComments/threadedComment2.xml><?xml version="1.0" encoding="utf-8"?>
<ThreadedComments xmlns="http://schemas.microsoft.com/office/spreadsheetml/2018/threadedcomments" xmlns:x="http://schemas.openxmlformats.org/spreadsheetml/2006/main">
  <threadedComment ref="K113" dT="2023-03-15T14:52:29.06" personId="{651D7D1C-A98F-452B-96F5-8DF657FD3395}" id="{9FBED31D-341C-47D2-8027-099C49933ED3}">
    <text xml:space="preserve">Can we do Naming and Coding standards after the Git Intro? I would like them to internalize the weekly commit cycle process as part of a lab standard as well
</text>
  </threadedComment>
  <threadedComment ref="K113" dT="2023-03-20T20:10:33.93" personId="{29CFADFF-606B-4392-B35D-8075B7EAA0F2}" id="{0C00E690-275D-4AF6-B0C7-F9092E633C1B}" parentId="{9FBED31D-341C-47D2-8027-099C49933ED3}">
    <text>good point</text>
  </threadedComment>
  <threadedComment ref="I138" dT="2023-03-15T14:51:02.20" personId="{651D7D1C-A98F-452B-96F5-8DF657FD3395}" id="{69575C62-61BC-4CCC-9579-E3D953396428}">
    <text xml:space="preserve">Visualization Standards are very useful to learn, not just for graphs and charts, but the ideas are generally applicable to reports or powerpoints too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shallenbergers@carleton.edu" TargetMode="External"/><Relationship Id="rId3" Type="http://schemas.openxmlformats.org/officeDocument/2006/relationships/hyperlink" Target="mailto:jc2ry@virginia.edu" TargetMode="External"/><Relationship Id="rId7" Type="http://schemas.openxmlformats.org/officeDocument/2006/relationships/hyperlink" Target="mailto:mvandergeer0853@sdsu.edu" TargetMode="External"/><Relationship Id="rId2" Type="http://schemas.openxmlformats.org/officeDocument/2006/relationships/hyperlink" Target="mailto:frk5pa@virginia.edu" TargetMode="External"/><Relationship Id="rId1" Type="http://schemas.openxmlformats.org/officeDocument/2006/relationships/hyperlink" Target="mailto:wz8ry@virginia.edu" TargetMode="External"/><Relationship Id="rId6" Type="http://schemas.openxmlformats.org/officeDocument/2006/relationships/hyperlink" Target="mailto:mee5vc@virginia.edu" TargetMode="External"/><Relationship Id="rId5" Type="http://schemas.openxmlformats.org/officeDocument/2006/relationships/hyperlink" Target="mailto:jhj5dh@virginia.edu" TargetMode="External"/><Relationship Id="rId4" Type="http://schemas.openxmlformats.org/officeDocument/2006/relationships/hyperlink" Target="mailto:wfn7ad@virginia.edu"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linkedin.com/in/danbernstein94" TargetMode="Externa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E110F-1050-4FA1-B665-168A2DE54CFC}">
  <sheetPr>
    <outlinePr summaryBelow="0"/>
  </sheetPr>
  <dimension ref="A1:O61"/>
  <sheetViews>
    <sheetView tabSelected="1" zoomScale="115" zoomScaleNormal="115" workbookViewId="0">
      <pane xSplit="1" topLeftCell="B1" activePane="topRight" state="frozen"/>
      <selection pane="topRight" activeCell="E24" sqref="E24"/>
    </sheetView>
  </sheetViews>
  <sheetFormatPr defaultColWidth="8.69921875" defaultRowHeight="16.5" customHeight="1"/>
  <cols>
    <col min="1" max="1" width="16.69921875" style="22" customWidth="1"/>
    <col min="2" max="2" width="13.69921875" style="22" customWidth="1"/>
    <col min="3" max="3" width="11" style="22" customWidth="1"/>
    <col min="4" max="4" width="35.69921875" style="22" customWidth="1"/>
    <col min="5" max="5" width="31.19921875" style="22" bestFit="1" customWidth="1"/>
    <col min="6" max="6" width="12.19921875" style="22" bestFit="1" customWidth="1"/>
    <col min="7" max="7" width="28.69921875" style="22" bestFit="1" customWidth="1"/>
    <col min="8" max="8" width="28.69921875" style="22" customWidth="1"/>
    <col min="9" max="9" width="8.69921875" style="22"/>
    <col min="10" max="10" width="16" style="22" customWidth="1"/>
    <col min="11" max="11" width="15" style="22" customWidth="1"/>
    <col min="12" max="12" width="22" style="22" customWidth="1"/>
    <col min="13" max="13" width="8.19921875" style="22" bestFit="1" customWidth="1"/>
    <col min="14" max="14" width="14.5" style="22" customWidth="1"/>
    <col min="15" max="15" width="45.19921875" style="22" bestFit="1" customWidth="1"/>
    <col min="16" max="16" width="17.19921875" style="22" bestFit="1" customWidth="1"/>
    <col min="17" max="16384" width="8.69921875" style="22"/>
  </cols>
  <sheetData>
    <row r="1" spans="1:15" s="23" customFormat="1" ht="16.5" customHeight="1">
      <c r="A1" s="26" t="s">
        <v>0</v>
      </c>
      <c r="B1" s="26" t="s">
        <v>1</v>
      </c>
      <c r="C1" s="26" t="s">
        <v>2</v>
      </c>
      <c r="D1" s="26" t="s">
        <v>3</v>
      </c>
      <c r="E1" s="26" t="s">
        <v>4</v>
      </c>
      <c r="F1" s="26" t="s">
        <v>5</v>
      </c>
      <c r="G1" s="26" t="s">
        <v>6</v>
      </c>
      <c r="H1" s="26" t="s">
        <v>733</v>
      </c>
      <c r="I1" s="26" t="s">
        <v>7</v>
      </c>
      <c r="J1" s="26" t="s">
        <v>8</v>
      </c>
      <c r="K1" s="26" t="s">
        <v>9</v>
      </c>
      <c r="L1" s="26" t="s">
        <v>10</v>
      </c>
      <c r="M1" s="26" t="s">
        <v>11</v>
      </c>
      <c r="N1" s="26" t="s">
        <v>12</v>
      </c>
      <c r="O1" s="26" t="s">
        <v>13</v>
      </c>
    </row>
    <row r="2" spans="1:15" s="27" customFormat="1" ht="16.5" customHeight="1">
      <c r="A2" s="28" t="s">
        <v>14</v>
      </c>
      <c r="B2" s="28" t="s">
        <v>15</v>
      </c>
      <c r="C2" s="28" t="s">
        <v>16</v>
      </c>
      <c r="D2" s="28" t="s">
        <v>17</v>
      </c>
      <c r="E2" s="28" t="s">
        <v>18</v>
      </c>
      <c r="F2" s="28" t="s">
        <v>19</v>
      </c>
      <c r="G2" s="28" t="s">
        <v>20</v>
      </c>
      <c r="H2" s="28"/>
      <c r="I2" s="27" t="str">
        <f>LEFT(G2,(FIND("@",G2)-1))</f>
        <v>wfn7ad</v>
      </c>
      <c r="J2" s="27" t="s">
        <v>21</v>
      </c>
      <c r="K2" s="28" t="s">
        <v>22</v>
      </c>
      <c r="L2" s="27" t="s">
        <v>23</v>
      </c>
      <c r="M2" s="28" t="s">
        <v>24</v>
      </c>
      <c r="N2" s="27" t="s">
        <v>25</v>
      </c>
      <c r="O2" s="27" t="str">
        <f>_xlfn.CONCAT(A2, " ",B2)</f>
        <v>Anjali Mehta</v>
      </c>
    </row>
    <row r="3" spans="1:15" s="27" customFormat="1" ht="16.5" customHeight="1">
      <c r="A3" s="28" t="s">
        <v>26</v>
      </c>
      <c r="B3" s="28" t="s">
        <v>27</v>
      </c>
      <c r="C3" s="28" t="s">
        <v>28</v>
      </c>
      <c r="D3" s="28" t="s">
        <v>29</v>
      </c>
      <c r="E3" s="28" t="s">
        <v>30</v>
      </c>
      <c r="F3" s="28" t="s">
        <v>31</v>
      </c>
      <c r="G3" s="28" t="s">
        <v>735</v>
      </c>
      <c r="H3" s="28" t="s">
        <v>32</v>
      </c>
      <c r="I3" s="88" t="s">
        <v>33</v>
      </c>
      <c r="J3" s="27" t="s">
        <v>34</v>
      </c>
      <c r="K3" s="28" t="s">
        <v>35</v>
      </c>
      <c r="L3" s="27" t="s">
        <v>36</v>
      </c>
      <c r="M3" s="28" t="s">
        <v>24</v>
      </c>
      <c r="N3" s="27" t="s">
        <v>37</v>
      </c>
      <c r="O3" s="27" t="str">
        <f t="shared" ref="O3:O10" si="0">_xlfn.CONCAT(A3, " ",B3)</f>
        <v>Annie Xie</v>
      </c>
    </row>
    <row r="4" spans="1:15" s="27" customFormat="1" ht="16.5" customHeight="1">
      <c r="A4" s="28" t="s">
        <v>38</v>
      </c>
      <c r="B4" s="28" t="s">
        <v>39</v>
      </c>
      <c r="C4" s="28" t="s">
        <v>16</v>
      </c>
      <c r="D4" s="28" t="s">
        <v>40</v>
      </c>
      <c r="E4" s="28" t="s">
        <v>18</v>
      </c>
      <c r="F4" s="28" t="s">
        <v>41</v>
      </c>
      <c r="G4" s="28" t="s">
        <v>42</v>
      </c>
      <c r="H4" s="28"/>
      <c r="I4" s="27" t="str">
        <f>LEFT(G4,(FIND("@",G4)-1))</f>
        <v>jc2ry</v>
      </c>
      <c r="J4" s="27" t="s">
        <v>43</v>
      </c>
      <c r="K4" s="28" t="s">
        <v>44</v>
      </c>
      <c r="L4" s="27" t="s">
        <v>45</v>
      </c>
      <c r="M4" s="28" t="s">
        <v>24</v>
      </c>
      <c r="N4" s="27" t="s">
        <v>46</v>
      </c>
      <c r="O4" s="27" t="str">
        <f t="shared" si="0"/>
        <v>Jianing Cai</v>
      </c>
    </row>
    <row r="5" spans="1:15" s="27" customFormat="1" ht="16.5" customHeight="1">
      <c r="A5" s="28" t="s">
        <v>47</v>
      </c>
      <c r="B5" s="28" t="s">
        <v>48</v>
      </c>
      <c r="C5" s="28" t="s">
        <v>16</v>
      </c>
      <c r="D5" s="28" t="s">
        <v>49</v>
      </c>
      <c r="E5" s="28" t="s">
        <v>50</v>
      </c>
      <c r="F5" s="28" t="s">
        <v>51</v>
      </c>
      <c r="G5" s="28" t="s">
        <v>737</v>
      </c>
      <c r="H5" s="28" t="s">
        <v>52</v>
      </c>
      <c r="I5" s="27" t="s">
        <v>53</v>
      </c>
      <c r="J5" s="27" t="s">
        <v>54</v>
      </c>
      <c r="K5" s="28" t="s">
        <v>44</v>
      </c>
      <c r="L5" s="27" t="s">
        <v>45</v>
      </c>
      <c r="M5" s="28" t="s">
        <v>24</v>
      </c>
      <c r="N5" s="27" t="s">
        <v>55</v>
      </c>
      <c r="O5" s="27" t="str">
        <f t="shared" si="0"/>
        <v>Marijke van der Geer</v>
      </c>
    </row>
    <row r="6" spans="1:15" s="27" customFormat="1" ht="16.5" customHeight="1">
      <c r="A6" s="28" t="s">
        <v>56</v>
      </c>
      <c r="B6" s="28" t="s">
        <v>57</v>
      </c>
      <c r="C6" s="28" t="s">
        <v>28</v>
      </c>
      <c r="D6" s="28" t="s">
        <v>58</v>
      </c>
      <c r="E6" s="28" t="s">
        <v>18</v>
      </c>
      <c r="F6" s="28" t="s">
        <v>59</v>
      </c>
      <c r="G6" s="106" t="s">
        <v>60</v>
      </c>
      <c r="H6" s="106"/>
      <c r="I6" s="27" t="str">
        <f>LEFT(G6,(FIND("@",G6)-1))</f>
        <v>jhj5dh</v>
      </c>
      <c r="J6" s="27" t="s">
        <v>57</v>
      </c>
      <c r="K6" s="28" t="s">
        <v>61</v>
      </c>
      <c r="L6" s="27" t="s">
        <v>62</v>
      </c>
      <c r="M6" s="28" t="s">
        <v>24</v>
      </c>
      <c r="N6" s="27" t="s">
        <v>63</v>
      </c>
      <c r="O6" s="27" t="str">
        <f t="shared" si="0"/>
        <v>Nakshatra Yalagach</v>
      </c>
    </row>
    <row r="7" spans="1:15" s="27" customFormat="1" ht="16.5" customHeight="1">
      <c r="A7" s="28" t="s">
        <v>64</v>
      </c>
      <c r="B7" s="28" t="s">
        <v>65</v>
      </c>
      <c r="C7" s="28" t="s">
        <v>28</v>
      </c>
      <c r="D7" s="28" t="s">
        <v>58</v>
      </c>
      <c r="E7" s="28" t="s">
        <v>18</v>
      </c>
      <c r="F7" s="28" t="s">
        <v>66</v>
      </c>
      <c r="G7" s="106" t="s">
        <v>67</v>
      </c>
      <c r="H7" s="106"/>
      <c r="I7" s="27" t="str">
        <f>LEFT(G7,(FIND("@",G7)-1))</f>
        <v>frk5pa</v>
      </c>
      <c r="J7" s="27" t="s">
        <v>68</v>
      </c>
      <c r="K7" s="28" t="s">
        <v>22</v>
      </c>
      <c r="L7" s="27" t="s">
        <v>23</v>
      </c>
      <c r="M7" s="28" t="s">
        <v>24</v>
      </c>
      <c r="N7" s="27" t="s">
        <v>69</v>
      </c>
      <c r="O7" s="27" t="str">
        <f t="shared" si="0"/>
        <v>Prashanth Wagle</v>
      </c>
    </row>
    <row r="8" spans="1:15" s="27" customFormat="1" ht="16.5" customHeight="1">
      <c r="A8" s="28" t="s">
        <v>70</v>
      </c>
      <c r="B8" s="28" t="s">
        <v>71</v>
      </c>
      <c r="C8" s="28" t="s">
        <v>16</v>
      </c>
      <c r="D8" s="28" t="s">
        <v>72</v>
      </c>
      <c r="E8" s="28" t="s">
        <v>73</v>
      </c>
      <c r="F8" s="28" t="s">
        <v>74</v>
      </c>
      <c r="G8" s="28" t="s">
        <v>736</v>
      </c>
      <c r="H8" s="28" t="s">
        <v>75</v>
      </c>
      <c r="I8" s="27" t="s">
        <v>76</v>
      </c>
      <c r="J8" s="27" t="s">
        <v>77</v>
      </c>
      <c r="K8" s="28" t="s">
        <v>61</v>
      </c>
      <c r="L8" s="27" t="s">
        <v>62</v>
      </c>
      <c r="M8" s="28" t="s">
        <v>24</v>
      </c>
      <c r="N8" s="27" t="s">
        <v>78</v>
      </c>
      <c r="O8" s="27" t="str">
        <f t="shared" si="0"/>
        <v>Sara Shallenberger</v>
      </c>
    </row>
    <row r="9" spans="1:15" s="27" customFormat="1" ht="16.5" customHeight="1">
      <c r="A9" s="28" t="s">
        <v>79</v>
      </c>
      <c r="B9" s="28" t="s">
        <v>80</v>
      </c>
      <c r="C9" s="28" t="s">
        <v>16</v>
      </c>
      <c r="D9" s="28" t="s">
        <v>40</v>
      </c>
      <c r="E9" s="28" t="s">
        <v>18</v>
      </c>
      <c r="F9" s="28" t="s">
        <v>81</v>
      </c>
      <c r="G9" s="28" t="s">
        <v>82</v>
      </c>
      <c r="H9" s="28"/>
      <c r="I9" s="27" t="str">
        <f>LEFT(G9,(FIND("@",G9)-1))</f>
        <v>wz8ry</v>
      </c>
      <c r="K9" s="28" t="s">
        <v>35</v>
      </c>
      <c r="L9" s="27" t="s">
        <v>36</v>
      </c>
      <c r="M9" s="28" t="s">
        <v>24</v>
      </c>
      <c r="N9" s="27" t="s">
        <v>83</v>
      </c>
      <c r="O9" s="27" t="str">
        <f t="shared" si="0"/>
        <v>Steve Zhou</v>
      </c>
    </row>
    <row r="10" spans="1:15" s="27" customFormat="1" ht="16.5" customHeight="1">
      <c r="A10" s="28" t="s">
        <v>84</v>
      </c>
      <c r="B10" s="28" t="s">
        <v>85</v>
      </c>
      <c r="C10" s="28" t="s">
        <v>16</v>
      </c>
      <c r="D10" s="28" t="s">
        <v>86</v>
      </c>
      <c r="E10" s="28" t="s">
        <v>18</v>
      </c>
      <c r="F10" s="28" t="s">
        <v>87</v>
      </c>
      <c r="G10" s="28" t="s">
        <v>88</v>
      </c>
      <c r="H10" s="28"/>
      <c r="I10" s="27" t="str">
        <f>LEFT(G10,(FIND("@",G10)-1))</f>
        <v>huz2ph</v>
      </c>
      <c r="J10" s="27" t="s">
        <v>89</v>
      </c>
      <c r="K10" s="28" t="s">
        <v>22</v>
      </c>
      <c r="L10" s="27" t="s">
        <v>23</v>
      </c>
      <c r="M10" s="28" t="s">
        <v>24</v>
      </c>
      <c r="N10" s="27" t="s">
        <v>90</v>
      </c>
      <c r="O10" s="27" t="str">
        <f t="shared" si="0"/>
        <v>Trinity Chamblin</v>
      </c>
    </row>
    <row r="11" spans="1:15" s="23" customFormat="1" ht="16.5" customHeight="1">
      <c r="A11" s="28" t="s">
        <v>91</v>
      </c>
      <c r="B11" s="28" t="s">
        <v>92</v>
      </c>
      <c r="C11" s="28" t="s">
        <v>16</v>
      </c>
      <c r="D11" s="28" t="s">
        <v>93</v>
      </c>
      <c r="E11" s="28" t="s">
        <v>94</v>
      </c>
      <c r="F11" s="28"/>
      <c r="G11" s="106" t="s">
        <v>95</v>
      </c>
      <c r="H11" s="106" t="s">
        <v>734</v>
      </c>
      <c r="I11" s="27" t="str">
        <f>LEFT(G11,(FIND("@",G11)-1))</f>
        <v>mee5vc</v>
      </c>
      <c r="J11" s="27"/>
      <c r="K11" s="28" t="s">
        <v>22</v>
      </c>
      <c r="L11" s="27" t="s">
        <v>23</v>
      </c>
      <c r="M11" s="28" t="s">
        <v>24</v>
      </c>
      <c r="N11" s="27" t="s">
        <v>90</v>
      </c>
      <c r="O11" s="27" t="str">
        <f t="shared" ref="O11" si="1">_xlfn.CONCAT(A11, " ",B11)</f>
        <v>Kate Lanman</v>
      </c>
    </row>
    <row r="12" spans="1:15" s="23" customFormat="1" ht="16.5" customHeight="1">
      <c r="A12" s="25"/>
      <c r="B12" s="25"/>
      <c r="C12" s="24"/>
      <c r="D12" s="24"/>
      <c r="E12" s="24"/>
      <c r="F12" s="24"/>
      <c r="G12" s="22"/>
      <c r="H12" s="22"/>
      <c r="K12" s="22"/>
    </row>
    <row r="13" spans="1:15" s="23" customFormat="1" ht="16.5" customHeight="1">
      <c r="A13" s="26" t="s">
        <v>96</v>
      </c>
      <c r="B13" s="26" t="s">
        <v>97</v>
      </c>
      <c r="C13" s="26" t="s">
        <v>97</v>
      </c>
      <c r="D13" s="24"/>
      <c r="E13" s="24"/>
      <c r="F13" s="24"/>
      <c r="G13" s="22"/>
      <c r="H13" s="22"/>
      <c r="K13" s="22"/>
    </row>
    <row r="14" spans="1:15" s="23" customFormat="1" ht="16.5" customHeight="1">
      <c r="A14" s="24" t="s">
        <v>61</v>
      </c>
      <c r="B14" s="25" t="s">
        <v>69</v>
      </c>
      <c r="C14" s="25" t="s">
        <v>83</v>
      </c>
      <c r="D14" s="24"/>
      <c r="E14" s="24"/>
      <c r="F14" s="24"/>
      <c r="G14" s="22"/>
      <c r="H14" s="22"/>
      <c r="K14" s="22"/>
    </row>
    <row r="15" spans="1:15" s="23" customFormat="1" ht="16.5" customHeight="1">
      <c r="A15" s="24" t="s">
        <v>98</v>
      </c>
      <c r="B15" s="25" t="s">
        <v>63</v>
      </c>
      <c r="C15" s="25" t="s">
        <v>99</v>
      </c>
      <c r="D15" s="24"/>
      <c r="E15" s="24"/>
      <c r="F15" s="24"/>
      <c r="G15" s="22"/>
      <c r="H15" s="22"/>
      <c r="K15" s="22"/>
    </row>
    <row r="16" spans="1:15" s="23" customFormat="1" ht="16.5" customHeight="1">
      <c r="A16" s="24" t="s">
        <v>100</v>
      </c>
      <c r="B16" s="25" t="s">
        <v>55</v>
      </c>
      <c r="C16" s="25" t="s">
        <v>101</v>
      </c>
      <c r="D16" s="24"/>
      <c r="E16" s="24"/>
      <c r="F16" s="24"/>
      <c r="G16" s="22"/>
      <c r="H16" s="22"/>
      <c r="K16" s="22"/>
    </row>
    <row r="17" spans="1:11" s="23" customFormat="1" ht="16.5" customHeight="1">
      <c r="A17" s="24" t="s">
        <v>102</v>
      </c>
      <c r="B17" s="25" t="s">
        <v>103</v>
      </c>
      <c r="C17" s="25" t="s">
        <v>78</v>
      </c>
      <c r="D17" s="24"/>
      <c r="E17" s="24"/>
      <c r="F17" s="24"/>
      <c r="G17" s="22"/>
      <c r="H17" s="22"/>
      <c r="K17" s="22"/>
    </row>
    <row r="18" spans="1:11" s="23" customFormat="1" ht="16.5" customHeight="1">
      <c r="A18" s="29"/>
      <c r="B18" s="25"/>
      <c r="C18" s="25"/>
      <c r="D18" s="24"/>
      <c r="E18" s="24"/>
      <c r="F18" s="24"/>
      <c r="G18" s="22"/>
      <c r="H18" s="22"/>
      <c r="K18" s="22"/>
    </row>
    <row r="19" spans="1:11" s="23" customFormat="1" ht="16.5" customHeight="1">
      <c r="D19" s="24"/>
      <c r="E19" s="24"/>
      <c r="F19" s="24"/>
      <c r="G19" s="22"/>
      <c r="H19" s="22"/>
      <c r="K19" s="22"/>
    </row>
    <row r="20" spans="1:11" s="23" customFormat="1" ht="16.5" customHeight="1">
      <c r="A20" s="26" t="s">
        <v>104</v>
      </c>
      <c r="B20" s="25"/>
      <c r="C20" s="24"/>
      <c r="D20" s="24"/>
      <c r="E20" s="24"/>
      <c r="F20" s="24"/>
      <c r="G20" s="22"/>
      <c r="H20" s="22"/>
      <c r="K20" s="22"/>
    </row>
    <row r="21" spans="1:11" s="23" customFormat="1" ht="16.5" customHeight="1">
      <c r="A21" s="30" t="s">
        <v>24</v>
      </c>
      <c r="B21" s="25" t="s">
        <v>105</v>
      </c>
      <c r="C21" s="29" t="s">
        <v>106</v>
      </c>
      <c r="D21" s="24"/>
      <c r="E21" s="24"/>
      <c r="F21" s="24"/>
      <c r="G21" s="22"/>
      <c r="H21" s="22"/>
      <c r="K21" s="22"/>
    </row>
    <row r="22" spans="1:11" s="23" customFormat="1" ht="16.5" customHeight="1">
      <c r="A22" s="25"/>
      <c r="B22" s="25"/>
      <c r="C22" s="24"/>
      <c r="D22" s="24"/>
      <c r="E22" s="24"/>
      <c r="F22" s="24"/>
      <c r="G22" s="22"/>
      <c r="H22" s="22"/>
      <c r="K22" s="22"/>
    </row>
    <row r="23" spans="1:11" s="23" customFormat="1" ht="16.5" customHeight="1">
      <c r="A23" s="25"/>
      <c r="B23" s="25"/>
      <c r="C23" s="24"/>
      <c r="D23" s="24"/>
      <c r="E23" s="24"/>
      <c r="F23" s="24"/>
      <c r="G23" s="22"/>
      <c r="H23" s="22"/>
      <c r="K23" s="22"/>
    </row>
    <row r="24" spans="1:11" s="23" customFormat="1" ht="16.5" customHeight="1">
      <c r="A24" s="25"/>
      <c r="B24" s="25"/>
      <c r="C24" s="24"/>
      <c r="D24" s="24"/>
      <c r="E24" s="24"/>
      <c r="F24" s="24"/>
      <c r="G24" s="22"/>
      <c r="H24" s="22"/>
      <c r="K24" s="22"/>
    </row>
    <row r="25" spans="1:11" s="23" customFormat="1" ht="16.5" customHeight="1">
      <c r="A25" s="25"/>
      <c r="B25" s="25"/>
      <c r="C25" s="24"/>
      <c r="D25" s="24"/>
      <c r="E25" s="24"/>
      <c r="F25" s="24"/>
      <c r="G25" s="22"/>
      <c r="H25" s="22"/>
      <c r="K25" s="22"/>
    </row>
    <row r="26" spans="1:11" s="23" customFormat="1" ht="16.5" customHeight="1">
      <c r="A26" s="25"/>
      <c r="B26" s="25"/>
      <c r="C26" s="24"/>
      <c r="D26" s="24"/>
      <c r="E26" s="24"/>
      <c r="F26" s="24"/>
      <c r="G26" s="22"/>
      <c r="H26" s="22"/>
      <c r="K26" s="22"/>
    </row>
    <row r="27" spans="1:11" s="23" customFormat="1" ht="16.5" customHeight="1">
      <c r="A27" s="25"/>
      <c r="B27" s="25"/>
      <c r="C27" s="24"/>
      <c r="D27" s="24"/>
      <c r="E27" s="24"/>
      <c r="F27" s="24"/>
      <c r="G27" s="22"/>
      <c r="H27" s="22"/>
      <c r="K27" s="22"/>
    </row>
    <row r="28" spans="1:11" s="23" customFormat="1" ht="16.5" customHeight="1">
      <c r="A28" s="25"/>
      <c r="B28" s="25"/>
      <c r="C28" s="24"/>
      <c r="D28" s="24"/>
      <c r="E28" s="24"/>
      <c r="F28" s="24"/>
      <c r="G28" s="22"/>
      <c r="H28" s="22"/>
      <c r="K28" s="22"/>
    </row>
    <row r="29" spans="1:11" s="23" customFormat="1" ht="16.5" customHeight="1">
      <c r="A29" s="25"/>
      <c r="B29" s="25"/>
      <c r="C29" s="24"/>
      <c r="D29" s="24"/>
      <c r="E29" s="24"/>
      <c r="F29" s="24"/>
      <c r="G29" s="22"/>
      <c r="H29" s="22"/>
      <c r="K29" s="22"/>
    </row>
    <row r="30" spans="1:11" s="23" customFormat="1" ht="16.5" customHeight="1">
      <c r="A30" s="25"/>
      <c r="B30" s="25"/>
      <c r="C30" s="24"/>
      <c r="D30" s="24"/>
      <c r="E30" s="24"/>
      <c r="F30" s="24"/>
      <c r="G30" s="22"/>
      <c r="H30" s="22"/>
      <c r="K30" s="22"/>
    </row>
    <row r="31" spans="1:11" s="23" customFormat="1" ht="16.5" customHeight="1">
      <c r="A31" s="25"/>
      <c r="B31" s="25"/>
      <c r="C31" s="24"/>
      <c r="D31" s="24"/>
      <c r="E31" s="24"/>
      <c r="F31" s="24"/>
      <c r="G31" s="22"/>
      <c r="H31" s="22"/>
      <c r="K31" s="22"/>
    </row>
    <row r="32" spans="1:11" s="23" customFormat="1" ht="16.5" customHeight="1">
      <c r="A32" s="25"/>
      <c r="B32" s="25"/>
      <c r="C32" s="24"/>
      <c r="D32" s="24"/>
      <c r="E32" s="24"/>
      <c r="F32" s="24"/>
      <c r="G32" s="22"/>
      <c r="H32" s="22"/>
      <c r="K32" s="22"/>
    </row>
    <row r="33" spans="1:11" s="23" customFormat="1" ht="16.5" customHeight="1">
      <c r="A33" s="25"/>
      <c r="B33" s="25"/>
      <c r="C33" s="24"/>
      <c r="D33" s="24"/>
      <c r="E33" s="24"/>
      <c r="F33" s="24"/>
      <c r="G33" s="22"/>
      <c r="H33" s="22"/>
      <c r="K33" s="22"/>
    </row>
    <row r="34" spans="1:11" s="23" customFormat="1" ht="16.5" customHeight="1">
      <c r="A34" s="25"/>
      <c r="B34" s="25"/>
      <c r="C34" s="24"/>
      <c r="D34" s="24"/>
      <c r="E34" s="24"/>
      <c r="F34" s="24"/>
      <c r="G34" s="22"/>
      <c r="H34" s="22"/>
      <c r="K34" s="22"/>
    </row>
    <row r="35" spans="1:11" s="23" customFormat="1" ht="16.5" customHeight="1">
      <c r="A35" s="25"/>
      <c r="B35" s="25"/>
      <c r="C35" s="24"/>
      <c r="D35" s="24"/>
      <c r="E35" s="24"/>
      <c r="F35" s="24"/>
      <c r="G35" s="22"/>
      <c r="H35" s="22"/>
      <c r="K35" s="22"/>
    </row>
    <row r="36" spans="1:11" s="23" customFormat="1" ht="16.5" customHeight="1">
      <c r="A36" s="25"/>
      <c r="B36" s="25"/>
      <c r="C36" s="24"/>
      <c r="D36" s="24"/>
      <c r="E36" s="24"/>
      <c r="F36" s="24"/>
      <c r="G36" s="22"/>
      <c r="H36" s="22"/>
      <c r="K36" s="22"/>
    </row>
    <row r="37" spans="1:11" s="23" customFormat="1" ht="16.5" customHeight="1">
      <c r="A37" s="25"/>
      <c r="B37" s="25"/>
      <c r="C37" s="24"/>
      <c r="D37" s="24"/>
      <c r="E37" s="24"/>
      <c r="F37" s="24"/>
      <c r="G37" s="22"/>
      <c r="H37" s="22"/>
      <c r="K37" s="22"/>
    </row>
    <row r="38" spans="1:11" s="23" customFormat="1" ht="16.5" customHeight="1">
      <c r="A38" s="25"/>
      <c r="B38" s="25"/>
      <c r="C38" s="24"/>
      <c r="D38" s="24"/>
      <c r="E38" s="24"/>
      <c r="F38" s="24"/>
      <c r="G38" s="22"/>
      <c r="H38" s="22"/>
      <c r="K38" s="22"/>
    </row>
    <row r="39" spans="1:11" s="23" customFormat="1" ht="16.5" customHeight="1">
      <c r="A39" s="25"/>
      <c r="B39" s="25"/>
      <c r="C39" s="24"/>
      <c r="D39" s="24"/>
      <c r="E39" s="24"/>
      <c r="F39" s="24"/>
      <c r="G39" s="22"/>
      <c r="H39" s="22"/>
      <c r="K39" s="22"/>
    </row>
    <row r="40" spans="1:11" s="23" customFormat="1" ht="16.5" customHeight="1">
      <c r="A40" s="25"/>
      <c r="B40" s="25"/>
      <c r="C40" s="24"/>
      <c r="D40" s="24"/>
      <c r="E40" s="24"/>
      <c r="F40" s="24"/>
      <c r="G40" s="22"/>
      <c r="H40" s="22"/>
      <c r="K40" s="22"/>
    </row>
    <row r="41" spans="1:11" s="23" customFormat="1" ht="16.5" customHeight="1">
      <c r="A41" s="25"/>
      <c r="B41" s="25"/>
      <c r="C41" s="24"/>
      <c r="D41" s="24"/>
      <c r="E41" s="24"/>
      <c r="F41" s="24"/>
      <c r="G41" s="22"/>
      <c r="H41" s="22"/>
      <c r="K41" s="22"/>
    </row>
    <row r="42" spans="1:11" s="23" customFormat="1" ht="16.5" customHeight="1">
      <c r="A42" s="25"/>
      <c r="B42" s="25"/>
      <c r="C42" s="24"/>
      <c r="D42" s="24"/>
      <c r="E42" s="24"/>
      <c r="F42" s="24"/>
      <c r="G42" s="22"/>
      <c r="H42" s="22"/>
      <c r="K42" s="22"/>
    </row>
    <row r="43" spans="1:11" s="23" customFormat="1" ht="16.5" customHeight="1">
      <c r="A43" s="25"/>
      <c r="B43" s="25"/>
      <c r="C43" s="24"/>
      <c r="D43" s="24"/>
      <c r="E43" s="24"/>
      <c r="F43" s="24"/>
      <c r="G43" s="22"/>
      <c r="H43" s="22"/>
      <c r="K43" s="22"/>
    </row>
    <row r="44" spans="1:11" s="23" customFormat="1" ht="16.5" customHeight="1">
      <c r="A44" s="25"/>
      <c r="B44" s="25"/>
      <c r="C44" s="24"/>
      <c r="D44" s="24"/>
      <c r="E44" s="24"/>
      <c r="F44" s="24"/>
      <c r="G44" s="22"/>
      <c r="H44" s="22"/>
      <c r="K44" s="22"/>
    </row>
    <row r="45" spans="1:11" s="23" customFormat="1" ht="16.5" customHeight="1">
      <c r="A45" s="25"/>
      <c r="B45" s="25"/>
      <c r="C45" s="24"/>
      <c r="D45" s="24"/>
      <c r="E45" s="24"/>
      <c r="F45" s="24"/>
      <c r="G45" s="22"/>
      <c r="H45" s="22"/>
      <c r="K45" s="22"/>
    </row>
    <row r="46" spans="1:11" s="23" customFormat="1" ht="16.5" customHeight="1">
      <c r="A46" s="25"/>
      <c r="B46" s="25"/>
      <c r="C46" s="24"/>
      <c r="D46" s="24"/>
      <c r="E46" s="24"/>
      <c r="F46" s="24"/>
      <c r="G46" s="22"/>
      <c r="H46" s="22"/>
      <c r="K46" s="22"/>
    </row>
    <row r="47" spans="1:11" s="23" customFormat="1" ht="16.5" customHeight="1">
      <c r="A47" s="25"/>
      <c r="B47" s="25"/>
      <c r="C47" s="24"/>
      <c r="D47" s="24"/>
      <c r="E47" s="24"/>
      <c r="F47" s="24"/>
      <c r="G47" s="22"/>
      <c r="H47" s="22"/>
      <c r="K47" s="22"/>
    </row>
    <row r="48" spans="1:11" s="23" customFormat="1" ht="16.5" customHeight="1">
      <c r="A48" s="25"/>
      <c r="B48" s="25"/>
      <c r="C48" s="24"/>
      <c r="D48" s="24"/>
      <c r="E48" s="24"/>
      <c r="F48" s="24"/>
      <c r="G48" s="22"/>
      <c r="H48" s="22"/>
      <c r="K48" s="22"/>
    </row>
    <row r="49" spans="1:11" s="23" customFormat="1" ht="16.5" customHeight="1">
      <c r="A49" s="25"/>
      <c r="B49" s="25"/>
      <c r="C49" s="24"/>
      <c r="D49" s="24"/>
      <c r="E49" s="24"/>
      <c r="F49" s="24"/>
      <c r="G49" s="22"/>
      <c r="H49" s="22"/>
      <c r="K49" s="22"/>
    </row>
    <row r="50" spans="1:11" s="23" customFormat="1" ht="16.5" customHeight="1">
      <c r="A50" s="25"/>
      <c r="B50" s="25"/>
      <c r="C50" s="24"/>
      <c r="D50" s="24"/>
      <c r="E50" s="24"/>
      <c r="F50" s="24"/>
      <c r="G50" s="22"/>
      <c r="H50" s="22"/>
      <c r="K50" s="22"/>
    </row>
    <row r="51" spans="1:11" s="23" customFormat="1" ht="16.5" customHeight="1">
      <c r="A51" s="25"/>
      <c r="B51" s="25"/>
      <c r="C51" s="24"/>
      <c r="D51" s="24"/>
      <c r="E51" s="24"/>
      <c r="F51" s="24"/>
      <c r="G51" s="22"/>
      <c r="H51" s="22"/>
      <c r="K51" s="22"/>
    </row>
    <row r="52" spans="1:11" s="23" customFormat="1" ht="16.5" customHeight="1">
      <c r="A52" s="25"/>
      <c r="B52" s="25"/>
      <c r="C52" s="24"/>
      <c r="D52" s="24"/>
      <c r="E52" s="24"/>
      <c r="F52" s="24"/>
      <c r="G52" s="22"/>
      <c r="H52" s="22"/>
      <c r="K52" s="22"/>
    </row>
    <row r="53" spans="1:11" s="23" customFormat="1" ht="16.5" customHeight="1">
      <c r="A53" s="25"/>
      <c r="B53" s="25"/>
      <c r="C53" s="24"/>
      <c r="D53" s="24"/>
      <c r="E53" s="24"/>
      <c r="F53" s="24"/>
      <c r="G53" s="22"/>
      <c r="H53" s="22"/>
      <c r="K53" s="22"/>
    </row>
    <row r="54" spans="1:11" s="23" customFormat="1" ht="16.5" customHeight="1">
      <c r="A54" s="25"/>
      <c r="B54" s="25"/>
      <c r="C54" s="24"/>
      <c r="D54" s="24"/>
      <c r="E54" s="24"/>
      <c r="F54" s="24"/>
      <c r="G54" s="22"/>
      <c r="H54" s="22"/>
      <c r="K54" s="22"/>
    </row>
    <row r="55" spans="1:11" s="23" customFormat="1" ht="16.5" customHeight="1">
      <c r="A55" s="25"/>
      <c r="B55" s="25"/>
      <c r="C55" s="24"/>
      <c r="D55" s="24"/>
      <c r="E55" s="24"/>
      <c r="F55" s="24"/>
      <c r="G55" s="22"/>
      <c r="H55" s="22"/>
      <c r="K55" s="22"/>
    </row>
    <row r="56" spans="1:11" s="23" customFormat="1" ht="16.5" customHeight="1">
      <c r="A56" s="25"/>
      <c r="B56" s="25"/>
      <c r="C56" s="24"/>
      <c r="D56" s="24"/>
      <c r="E56" s="24"/>
      <c r="F56" s="24"/>
      <c r="G56" s="22"/>
      <c r="H56" s="22"/>
      <c r="K56" s="22"/>
    </row>
    <row r="57" spans="1:11" s="23" customFormat="1" ht="16.5" customHeight="1">
      <c r="A57" s="25"/>
      <c r="B57" s="25"/>
      <c r="C57" s="24"/>
      <c r="D57" s="24"/>
      <c r="E57" s="24"/>
      <c r="F57" s="24"/>
      <c r="G57" s="22"/>
      <c r="H57" s="22"/>
      <c r="K57" s="22"/>
    </row>
    <row r="58" spans="1:11" s="23" customFormat="1" ht="16.5" customHeight="1">
      <c r="A58" s="25"/>
      <c r="B58" s="25"/>
      <c r="C58" s="24"/>
      <c r="D58" s="24"/>
      <c r="E58" s="24"/>
      <c r="F58" s="24"/>
      <c r="G58" s="22"/>
      <c r="H58" s="22"/>
      <c r="K58" s="22"/>
    </row>
    <row r="59" spans="1:11" s="23" customFormat="1" ht="16.5" customHeight="1">
      <c r="A59" s="25"/>
      <c r="B59" s="25"/>
      <c r="C59" s="24"/>
      <c r="D59" s="24"/>
      <c r="E59" s="24"/>
      <c r="F59" s="24"/>
      <c r="G59" s="22"/>
      <c r="H59" s="22"/>
      <c r="K59" s="22"/>
    </row>
    <row r="60" spans="1:11" s="23" customFormat="1" ht="16.5" customHeight="1">
      <c r="A60" s="25"/>
      <c r="B60" s="25"/>
      <c r="C60" s="24"/>
      <c r="D60" s="24"/>
      <c r="E60" s="24"/>
      <c r="F60" s="24"/>
      <c r="G60" s="22"/>
      <c r="H60" s="22"/>
      <c r="K60" s="22"/>
    </row>
    <row r="61" spans="1:11" s="23" customFormat="1" ht="16.5" customHeight="1">
      <c r="A61" s="25"/>
      <c r="B61" s="25"/>
      <c r="C61" s="24"/>
      <c r="D61" s="24"/>
      <c r="E61" s="24"/>
      <c r="F61" s="24"/>
      <c r="G61" s="22"/>
      <c r="H61" s="22"/>
      <c r="K61" s="22"/>
    </row>
  </sheetData>
  <sortState xmlns:xlrd2="http://schemas.microsoft.com/office/spreadsheetml/2017/richdata2" ref="A2:O10">
    <sortCondition ref="A2:A10"/>
  </sortState>
  <hyperlinks>
    <hyperlink ref="G9" r:id="rId1" xr:uid="{F6D8D13F-E31C-4E91-9CF8-81BB9848A823}"/>
    <hyperlink ref="G7" r:id="rId2" xr:uid="{E98A860C-5A09-4816-AB80-DD02557E681E}"/>
    <hyperlink ref="G4" r:id="rId3" xr:uid="{8BAD0F4E-A2D8-454F-AFD2-B4C3B4224BEA}"/>
    <hyperlink ref="G2" r:id="rId4" xr:uid="{A466C3D7-A272-4C6A-A51D-187585BA6B1D}"/>
    <hyperlink ref="G6" r:id="rId5" xr:uid="{FA2AE0A3-4CD0-4E9D-BDA9-32C6752A7369}"/>
    <hyperlink ref="G11" r:id="rId6" xr:uid="{AAF30FB6-BFBC-45E3-B323-E54D53E37925}"/>
    <hyperlink ref="H5" r:id="rId7" xr:uid="{5B48B5B0-E491-4270-8E61-2F85F31D1C01}"/>
    <hyperlink ref="H8" r:id="rId8" xr:uid="{F3335BBA-57C4-4B22-AEA9-B8DD8C346DF9}"/>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60DAC-8F1D-0D4E-A020-F866CA0943D9}">
  <dimension ref="A1:AE42"/>
  <sheetViews>
    <sheetView zoomScale="85" zoomScaleNormal="85" workbookViewId="0">
      <pane xSplit="1" topLeftCell="G1" activePane="topRight" state="frozen"/>
      <selection activeCell="A15" sqref="A15"/>
      <selection pane="topRight" activeCell="T30" sqref="T30"/>
    </sheetView>
  </sheetViews>
  <sheetFormatPr defaultColWidth="11" defaultRowHeight="15.6"/>
  <cols>
    <col min="1" max="1" width="9" bestFit="1" customWidth="1"/>
    <col min="2" max="2" width="14.5" customWidth="1"/>
    <col min="3" max="3" width="17" customWidth="1"/>
    <col min="4" max="4" width="19.19921875" customWidth="1"/>
    <col min="5" max="5" width="20.69921875" customWidth="1"/>
    <col min="6" max="6" width="17.5" customWidth="1"/>
    <col min="7" max="7" width="16.69921875" customWidth="1"/>
    <col min="8" max="8" width="15" customWidth="1"/>
    <col min="9" max="10" width="14.5" customWidth="1"/>
    <col min="11" max="11" width="22.19921875" customWidth="1"/>
    <col min="12" max="12" width="16.69921875" customWidth="1"/>
    <col min="13" max="13" width="17.69921875" customWidth="1"/>
    <col min="16" max="16" width="17.69921875" customWidth="1"/>
    <col min="17" max="18" width="15.5" customWidth="1"/>
    <col min="19" max="19" width="21.69921875" customWidth="1"/>
    <col min="20" max="20" width="20" customWidth="1"/>
    <col min="23" max="23" width="16.5" customWidth="1"/>
    <col min="24" max="24" width="15.5" customWidth="1"/>
    <col min="25" max="26" width="17.19921875" customWidth="1"/>
    <col min="27" max="27" width="19.19921875" customWidth="1"/>
    <col min="30" max="30" width="26.69921875" customWidth="1"/>
  </cols>
  <sheetData>
    <row r="1" spans="1:31" ht="46.8">
      <c r="A1" s="54" t="s">
        <v>107</v>
      </c>
      <c r="B1" s="53" t="s">
        <v>108</v>
      </c>
      <c r="C1" s="55" t="s">
        <v>109</v>
      </c>
      <c r="D1" s="56" t="s">
        <v>110</v>
      </c>
      <c r="E1" s="58" t="s">
        <v>111</v>
      </c>
      <c r="F1" s="57" t="s">
        <v>112</v>
      </c>
      <c r="G1" s="94" t="s">
        <v>113</v>
      </c>
      <c r="H1" s="78"/>
      <c r="I1" s="79">
        <f>(COUNTIF(5:42,"project time")+43-15)/9</f>
        <v>21.555555555555557</v>
      </c>
      <c r="J1" s="78" t="s">
        <v>114</v>
      </c>
    </row>
    <row r="2" spans="1:31" s="1" customFormat="1">
      <c r="B2" s="2" t="s">
        <v>115</v>
      </c>
      <c r="C2" s="2" t="s">
        <v>116</v>
      </c>
      <c r="D2" s="2" t="s">
        <v>117</v>
      </c>
      <c r="E2" s="2" t="s">
        <v>118</v>
      </c>
      <c r="F2" s="2" t="s">
        <v>119</v>
      </c>
      <c r="G2" s="2" t="s">
        <v>120</v>
      </c>
      <c r="H2" s="2" t="s">
        <v>121</v>
      </c>
      <c r="I2" s="3" t="s">
        <v>115</v>
      </c>
      <c r="J2" s="3" t="s">
        <v>116</v>
      </c>
      <c r="K2" s="3" t="s">
        <v>117</v>
      </c>
      <c r="L2" s="3" t="s">
        <v>118</v>
      </c>
      <c r="M2" s="3" t="s">
        <v>119</v>
      </c>
      <c r="N2" s="3" t="s">
        <v>120</v>
      </c>
      <c r="O2" s="3" t="s">
        <v>121</v>
      </c>
      <c r="P2" s="2" t="s">
        <v>115</v>
      </c>
      <c r="Q2" s="2" t="s">
        <v>116</v>
      </c>
      <c r="R2" s="2" t="s">
        <v>117</v>
      </c>
      <c r="S2" s="2" t="s">
        <v>118</v>
      </c>
      <c r="T2" s="2" t="s">
        <v>119</v>
      </c>
      <c r="U2" s="2" t="s">
        <v>120</v>
      </c>
      <c r="V2" s="2" t="s">
        <v>121</v>
      </c>
      <c r="W2" s="3" t="s">
        <v>115</v>
      </c>
      <c r="X2" s="3" t="s">
        <v>116</v>
      </c>
      <c r="Y2" s="3" t="s">
        <v>117</v>
      </c>
      <c r="Z2" s="3" t="s">
        <v>118</v>
      </c>
      <c r="AA2" s="3" t="s">
        <v>119</v>
      </c>
      <c r="AB2" s="3" t="s">
        <v>120</v>
      </c>
      <c r="AC2" s="3" t="s">
        <v>121</v>
      </c>
      <c r="AD2" s="12" t="s">
        <v>122</v>
      </c>
    </row>
    <row r="3" spans="1:31" s="1" customFormat="1">
      <c r="B3" s="2">
        <v>29</v>
      </c>
      <c r="C3" s="2">
        <v>30</v>
      </c>
      <c r="D3" s="2">
        <v>31</v>
      </c>
      <c r="E3" s="2">
        <v>1</v>
      </c>
      <c r="F3" s="2">
        <v>2</v>
      </c>
      <c r="G3" s="2">
        <v>3</v>
      </c>
      <c r="H3" s="2">
        <v>4</v>
      </c>
      <c r="I3" s="3">
        <v>5</v>
      </c>
      <c r="J3" s="3">
        <v>6</v>
      </c>
      <c r="K3" s="3">
        <v>7</v>
      </c>
      <c r="L3" s="3">
        <v>8</v>
      </c>
      <c r="M3" s="3">
        <v>9</v>
      </c>
      <c r="N3" s="3">
        <v>10</v>
      </c>
      <c r="O3" s="3">
        <v>11</v>
      </c>
      <c r="P3" s="2">
        <v>12</v>
      </c>
      <c r="Q3" s="2">
        <v>13</v>
      </c>
      <c r="R3" s="2">
        <v>14</v>
      </c>
      <c r="S3" s="2">
        <v>15</v>
      </c>
      <c r="T3" s="2">
        <v>16</v>
      </c>
      <c r="U3" s="2">
        <v>17</v>
      </c>
      <c r="V3" s="2">
        <v>18</v>
      </c>
      <c r="W3" s="3">
        <v>19</v>
      </c>
      <c r="X3" s="3">
        <v>20</v>
      </c>
      <c r="Y3" s="3">
        <v>21</v>
      </c>
      <c r="Z3" s="3">
        <v>22</v>
      </c>
      <c r="AA3" s="3">
        <v>23</v>
      </c>
      <c r="AB3" s="3">
        <v>24</v>
      </c>
      <c r="AC3" s="3">
        <v>25</v>
      </c>
    </row>
    <row r="4" spans="1:31" s="1" customFormat="1">
      <c r="B4" s="202" t="s">
        <v>123</v>
      </c>
      <c r="C4" s="203"/>
      <c r="D4" s="203"/>
      <c r="E4" s="204" t="s">
        <v>124</v>
      </c>
      <c r="F4" s="204"/>
      <c r="G4" s="204"/>
      <c r="H4" s="185"/>
      <c r="I4" s="204"/>
      <c r="J4" s="204"/>
      <c r="K4" s="204"/>
      <c r="L4" s="204"/>
      <c r="M4" s="204"/>
      <c r="N4" s="185"/>
      <c r="O4" s="185"/>
      <c r="P4" s="204"/>
      <c r="Q4" s="204"/>
      <c r="R4" s="204"/>
      <c r="S4" s="204"/>
      <c r="T4" s="204"/>
      <c r="U4" s="185"/>
      <c r="V4" s="185"/>
      <c r="W4" s="185"/>
      <c r="X4" s="204"/>
      <c r="Y4" s="204"/>
      <c r="Z4" s="204"/>
      <c r="AA4" s="204"/>
      <c r="AB4" s="185"/>
      <c r="AC4" s="185"/>
    </row>
    <row r="5" spans="1:31" ht="124.8">
      <c r="A5" s="21">
        <v>9.375</v>
      </c>
      <c r="B5" s="219" t="s">
        <v>125</v>
      </c>
      <c r="C5" s="86" t="s">
        <v>126</v>
      </c>
      <c r="D5" s="35" t="s">
        <v>127</v>
      </c>
      <c r="E5" s="77" t="s">
        <v>128</v>
      </c>
      <c r="F5" s="77" t="s">
        <v>128</v>
      </c>
      <c r="G5" s="68"/>
      <c r="I5" s="64" t="s">
        <v>129</v>
      </c>
      <c r="J5" s="77" t="s">
        <v>128</v>
      </c>
      <c r="K5" s="77" t="s">
        <v>128</v>
      </c>
      <c r="L5" s="43" t="s">
        <v>130</v>
      </c>
      <c r="M5" s="77" t="s">
        <v>128</v>
      </c>
      <c r="N5" s="211" t="s">
        <v>131</v>
      </c>
      <c r="P5" s="64" t="s">
        <v>132</v>
      </c>
      <c r="Q5" s="92" t="s">
        <v>133</v>
      </c>
      <c r="R5" s="14" t="s">
        <v>134</v>
      </c>
      <c r="S5" s="77" t="s">
        <v>128</v>
      </c>
      <c r="T5" s="77" t="s">
        <v>128</v>
      </c>
      <c r="W5" s="219" t="s">
        <v>135</v>
      </c>
      <c r="X5" s="92" t="s">
        <v>133</v>
      </c>
      <c r="Y5" s="14" t="s">
        <v>136</v>
      </c>
      <c r="Z5" s="77" t="s">
        <v>128</v>
      </c>
      <c r="AA5" s="77" t="s">
        <v>128</v>
      </c>
      <c r="AB5" s="211" t="s">
        <v>137</v>
      </c>
      <c r="AD5" s="47" t="s">
        <v>138</v>
      </c>
      <c r="AE5" s="132" t="s">
        <v>139</v>
      </c>
    </row>
    <row r="6" spans="1:31" ht="66.75" customHeight="1">
      <c r="A6" s="21">
        <v>9.4166666666666696</v>
      </c>
      <c r="B6" s="220"/>
      <c r="C6" s="35" t="s">
        <v>140</v>
      </c>
      <c r="D6" s="14" t="s">
        <v>141</v>
      </c>
      <c r="E6" s="14" t="s">
        <v>142</v>
      </c>
      <c r="F6" s="14" t="s">
        <v>143</v>
      </c>
      <c r="I6" s="38" t="s">
        <v>144</v>
      </c>
      <c r="J6" s="50" t="s">
        <v>145</v>
      </c>
      <c r="K6" s="77" t="s">
        <v>128</v>
      </c>
      <c r="L6" s="43" t="s">
        <v>146</v>
      </c>
      <c r="M6" s="14" t="s">
        <v>147</v>
      </c>
      <c r="N6" s="212"/>
      <c r="P6" s="44" t="s">
        <v>148</v>
      </c>
      <c r="Q6" s="14" t="s">
        <v>149</v>
      </c>
      <c r="R6" s="92" t="s">
        <v>150</v>
      </c>
      <c r="S6" s="92" t="s">
        <v>151</v>
      </c>
      <c r="T6" s="14" t="s">
        <v>152</v>
      </c>
      <c r="W6" s="221"/>
      <c r="X6" s="77" t="s">
        <v>128</v>
      </c>
      <c r="Y6" s="77" t="s">
        <v>128</v>
      </c>
      <c r="Z6" s="77" t="s">
        <v>128</v>
      </c>
      <c r="AA6" s="44" t="s">
        <v>153</v>
      </c>
      <c r="AB6" s="212"/>
      <c r="AD6" s="47" t="s">
        <v>154</v>
      </c>
      <c r="AE6" s="132" t="s">
        <v>155</v>
      </c>
    </row>
    <row r="7" spans="1:31" ht="55.5" customHeight="1">
      <c r="A7" s="21">
        <v>9.4583333333333304</v>
      </c>
      <c r="B7" s="220"/>
      <c r="C7" s="35" t="s">
        <v>156</v>
      </c>
      <c r="D7" s="35" t="s">
        <v>157</v>
      </c>
      <c r="E7" s="14" t="s">
        <v>158</v>
      </c>
      <c r="F7" s="14" t="s">
        <v>143</v>
      </c>
      <c r="I7" s="40" t="s">
        <v>144</v>
      </c>
      <c r="J7" s="77" t="s">
        <v>128</v>
      </c>
      <c r="K7" s="77" t="s">
        <v>128</v>
      </c>
      <c r="L7" s="92" t="s">
        <v>159</v>
      </c>
      <c r="M7" s="14" t="s">
        <v>147</v>
      </c>
      <c r="N7" s="212"/>
      <c r="P7" s="44" t="s">
        <v>148</v>
      </c>
      <c r="Q7" s="14" t="s">
        <v>149</v>
      </c>
      <c r="R7" s="77" t="s">
        <v>128</v>
      </c>
      <c r="S7" s="92" t="s">
        <v>150</v>
      </c>
      <c r="T7" s="14" t="s">
        <v>160</v>
      </c>
      <c r="W7" s="221"/>
      <c r="X7" s="77" t="s">
        <v>128</v>
      </c>
      <c r="Y7" s="77" t="s">
        <v>128</v>
      </c>
      <c r="Z7" s="77" t="s">
        <v>128</v>
      </c>
      <c r="AA7" s="44" t="s">
        <v>153</v>
      </c>
      <c r="AB7" s="212"/>
      <c r="AD7" s="47" t="s">
        <v>161</v>
      </c>
      <c r="AE7" s="132" t="s">
        <v>162</v>
      </c>
    </row>
    <row r="8" spans="1:31" ht="49.5" customHeight="1">
      <c r="A8" s="21">
        <v>9.5</v>
      </c>
      <c r="B8" s="220"/>
      <c r="C8" s="35" t="s">
        <v>156</v>
      </c>
      <c r="D8" s="35" t="s">
        <v>157</v>
      </c>
      <c r="E8" s="77" t="s">
        <v>128</v>
      </c>
      <c r="F8" s="14" t="s">
        <v>143</v>
      </c>
      <c r="I8" s="35" t="s">
        <v>163</v>
      </c>
      <c r="J8" s="77" t="s">
        <v>128</v>
      </c>
      <c r="K8" s="77" t="s">
        <v>164</v>
      </c>
      <c r="L8" s="50" t="s">
        <v>165</v>
      </c>
      <c r="M8" s="34" t="s">
        <v>166</v>
      </c>
      <c r="N8" s="212"/>
      <c r="P8" s="77" t="s">
        <v>128</v>
      </c>
      <c r="Q8" s="93" t="s">
        <v>167</v>
      </c>
      <c r="R8" s="77" t="s">
        <v>128</v>
      </c>
      <c r="S8" s="92" t="s">
        <v>168</v>
      </c>
      <c r="T8" s="96" t="s">
        <v>128</v>
      </c>
      <c r="W8" s="221"/>
      <c r="X8" s="77" t="s">
        <v>128</v>
      </c>
      <c r="Y8" s="77" t="s">
        <v>128</v>
      </c>
      <c r="Z8" s="130" t="s">
        <v>169</v>
      </c>
      <c r="AA8" s="77" t="s">
        <v>128</v>
      </c>
      <c r="AB8" s="212"/>
      <c r="AD8" s="47" t="s">
        <v>170</v>
      </c>
      <c r="AE8" s="47" t="s">
        <v>171</v>
      </c>
    </row>
    <row r="9" spans="1:31" ht="46.8">
      <c r="A9" s="21">
        <v>9.5416666666666696</v>
      </c>
      <c r="B9" s="221"/>
      <c r="C9" s="64" t="s">
        <v>172</v>
      </c>
      <c r="D9" s="193" t="s">
        <v>173</v>
      </c>
      <c r="E9" s="193"/>
      <c r="F9" s="194"/>
      <c r="H9" s="67" t="s">
        <v>174</v>
      </c>
      <c r="I9" s="214" t="s">
        <v>173</v>
      </c>
      <c r="J9" s="215"/>
      <c r="K9" s="215"/>
      <c r="L9" s="216"/>
      <c r="M9" s="34" t="s">
        <v>166</v>
      </c>
      <c r="N9" s="213"/>
      <c r="P9" s="214" t="s">
        <v>173</v>
      </c>
      <c r="Q9" s="215"/>
      <c r="R9" s="222"/>
      <c r="S9" s="46" t="s">
        <v>175</v>
      </c>
      <c r="T9" s="46" t="s">
        <v>173</v>
      </c>
      <c r="W9" s="221"/>
      <c r="X9" s="217" t="s">
        <v>173</v>
      </c>
      <c r="Y9" s="218"/>
      <c r="Z9" s="20" t="s">
        <v>176</v>
      </c>
      <c r="AA9" s="46" t="s">
        <v>173</v>
      </c>
      <c r="AB9" s="213"/>
      <c r="AD9" s="47" t="s">
        <v>177</v>
      </c>
      <c r="AE9" s="47" t="s">
        <v>178</v>
      </c>
    </row>
    <row r="10" spans="1:31" s="1" customFormat="1" ht="66.75" customHeight="1">
      <c r="A10" s="21">
        <v>9.5833333333333393</v>
      </c>
      <c r="B10" s="220"/>
      <c r="C10" s="64" t="s">
        <v>179</v>
      </c>
      <c r="D10" s="36" t="s">
        <v>180</v>
      </c>
      <c r="E10" s="91" t="s">
        <v>181</v>
      </c>
      <c r="F10" s="39" t="s">
        <v>182</v>
      </c>
      <c r="H10" s="67" t="s">
        <v>183</v>
      </c>
      <c r="I10" s="44" t="s">
        <v>184</v>
      </c>
      <c r="J10" s="45" t="s">
        <v>185</v>
      </c>
      <c r="K10" s="44" t="s">
        <v>186</v>
      </c>
      <c r="L10" s="45" t="s">
        <v>187</v>
      </c>
      <c r="M10" s="46" t="s">
        <v>188</v>
      </c>
      <c r="P10" s="77" t="s">
        <v>128</v>
      </c>
      <c r="Q10" s="93" t="s">
        <v>189</v>
      </c>
      <c r="R10" s="77" t="s">
        <v>128</v>
      </c>
      <c r="S10" s="93" t="s">
        <v>190</v>
      </c>
      <c r="T10" s="46" t="s">
        <v>188</v>
      </c>
      <c r="W10" s="220"/>
      <c r="X10" s="77" t="s">
        <v>128</v>
      </c>
      <c r="Y10" s="92" t="s">
        <v>151</v>
      </c>
      <c r="Z10" s="77" t="s">
        <v>128</v>
      </c>
      <c r="AA10" s="46" t="s">
        <v>188</v>
      </c>
      <c r="AD10" s="47" t="s">
        <v>191</v>
      </c>
      <c r="AE10" s="132" t="s">
        <v>192</v>
      </c>
    </row>
    <row r="11" spans="1:31" s="1" customFormat="1" ht="60.45" customHeight="1">
      <c r="A11" s="21">
        <v>9.6250000000000107</v>
      </c>
      <c r="B11" s="220"/>
      <c r="C11" s="37" t="s">
        <v>193</v>
      </c>
      <c r="D11" s="18"/>
      <c r="E11" s="77" t="s">
        <v>128</v>
      </c>
      <c r="F11" s="41" t="s">
        <v>194</v>
      </c>
      <c r="H11" s="67" t="s">
        <v>183</v>
      </c>
      <c r="I11" s="77" t="s">
        <v>128</v>
      </c>
      <c r="J11" s="77" t="s">
        <v>128</v>
      </c>
      <c r="K11" s="44" t="s">
        <v>186</v>
      </c>
      <c r="L11" s="92" t="s">
        <v>151</v>
      </c>
      <c r="M11" s="46" t="s">
        <v>188</v>
      </c>
      <c r="P11" s="77" t="s">
        <v>128</v>
      </c>
      <c r="Q11" s="93" t="s">
        <v>189</v>
      </c>
      <c r="R11" s="77" t="s">
        <v>128</v>
      </c>
      <c r="S11" s="93" t="s">
        <v>190</v>
      </c>
      <c r="T11" s="46" t="s">
        <v>188</v>
      </c>
      <c r="W11" s="221"/>
      <c r="X11" s="77" t="s">
        <v>128</v>
      </c>
      <c r="Y11" s="77" t="s">
        <v>128</v>
      </c>
      <c r="Z11" s="77" t="s">
        <v>128</v>
      </c>
      <c r="AA11" s="46" t="s">
        <v>195</v>
      </c>
      <c r="AD11" s="47" t="s">
        <v>196</v>
      </c>
    </row>
    <row r="12" spans="1:31" s="1" customFormat="1" ht="67.5" customHeight="1">
      <c r="A12" s="21">
        <v>9.6666666666666803</v>
      </c>
      <c r="B12" s="221"/>
      <c r="C12" s="37"/>
      <c r="D12" s="34" t="s">
        <v>197</v>
      </c>
      <c r="E12" s="50" t="s">
        <v>198</v>
      </c>
      <c r="F12" s="34" t="s">
        <v>199</v>
      </c>
      <c r="I12" s="71" t="s">
        <v>200</v>
      </c>
      <c r="J12" s="77" t="s">
        <v>128</v>
      </c>
      <c r="K12" s="34" t="s">
        <v>197</v>
      </c>
      <c r="L12" s="77" t="s">
        <v>128</v>
      </c>
      <c r="M12" s="34" t="s">
        <v>201</v>
      </c>
      <c r="P12" s="77" t="s">
        <v>128</v>
      </c>
      <c r="Q12" s="77" t="s">
        <v>128</v>
      </c>
      <c r="R12" s="34" t="s">
        <v>202</v>
      </c>
      <c r="S12" s="77" t="s">
        <v>128</v>
      </c>
      <c r="T12" s="34" t="s">
        <v>203</v>
      </c>
      <c r="W12" s="224"/>
      <c r="X12" s="77" t="s">
        <v>128</v>
      </c>
      <c r="Y12" s="34" t="s">
        <v>197</v>
      </c>
      <c r="Z12" s="77" t="s">
        <v>128</v>
      </c>
      <c r="AA12" s="34" t="s">
        <v>204</v>
      </c>
    </row>
    <row r="13" spans="1:31" s="73" customFormat="1" ht="46.8">
      <c r="C13" s="16" t="s">
        <v>205</v>
      </c>
      <c r="D13" s="16" t="s">
        <v>205</v>
      </c>
      <c r="E13" s="16" t="s">
        <v>205</v>
      </c>
      <c r="F13" s="16" t="s">
        <v>205</v>
      </c>
      <c r="I13" s="16" t="s">
        <v>206</v>
      </c>
      <c r="J13" s="17"/>
      <c r="K13" s="17"/>
      <c r="L13" s="17" t="s">
        <v>207</v>
      </c>
      <c r="M13" s="17" t="s">
        <v>207</v>
      </c>
      <c r="N13" s="74" t="s">
        <v>207</v>
      </c>
      <c r="P13" s="75" t="s">
        <v>208</v>
      </c>
      <c r="Q13" s="75" t="s">
        <v>208</v>
      </c>
      <c r="R13" s="34" t="s">
        <v>202</v>
      </c>
      <c r="S13" s="75" t="s">
        <v>208</v>
      </c>
      <c r="T13" s="75" t="s">
        <v>208</v>
      </c>
      <c r="W13" s="75" t="s">
        <v>208</v>
      </c>
      <c r="X13" s="75" t="s">
        <v>208</v>
      </c>
      <c r="Y13" s="75" t="s">
        <v>208</v>
      </c>
      <c r="AA13" s="59" t="s">
        <v>209</v>
      </c>
    </row>
    <row r="14" spans="1:31" ht="93.6">
      <c r="C14" s="16" t="s">
        <v>210</v>
      </c>
      <c r="D14" s="16" t="s">
        <v>210</v>
      </c>
      <c r="E14" s="16" t="s">
        <v>211</v>
      </c>
      <c r="F14" s="16" t="s">
        <v>211</v>
      </c>
      <c r="I14" s="16" t="s">
        <v>211</v>
      </c>
      <c r="J14" s="16" t="s">
        <v>211</v>
      </c>
      <c r="K14" s="16" t="s">
        <v>211</v>
      </c>
      <c r="L14" s="16" t="s">
        <v>211</v>
      </c>
      <c r="M14" s="16" t="s">
        <v>211</v>
      </c>
      <c r="N14" s="69" t="s">
        <v>212</v>
      </c>
      <c r="P14" s="70" t="s">
        <v>213</v>
      </c>
      <c r="R14" s="34" t="s">
        <v>197</v>
      </c>
      <c r="T14" s="75" t="s">
        <v>214</v>
      </c>
      <c r="W14" s="70" t="s">
        <v>215</v>
      </c>
      <c r="X14" s="75" t="s">
        <v>216</v>
      </c>
    </row>
    <row r="15" spans="1:31" ht="30" customHeight="1">
      <c r="C15" s="66" t="s">
        <v>217</v>
      </c>
      <c r="E15" s="16" t="s">
        <v>210</v>
      </c>
      <c r="F15" s="16" t="s">
        <v>210</v>
      </c>
      <c r="I15" s="72" t="s">
        <v>208</v>
      </c>
      <c r="J15" s="72" t="s">
        <v>208</v>
      </c>
      <c r="K15" s="72" t="s">
        <v>208</v>
      </c>
      <c r="L15" s="72" t="s">
        <v>208</v>
      </c>
      <c r="M15" s="72" t="s">
        <v>208</v>
      </c>
      <c r="R15" s="75" t="s">
        <v>208</v>
      </c>
    </row>
    <row r="16" spans="1:31">
      <c r="C16" s="72" t="s">
        <v>208</v>
      </c>
      <c r="D16" s="72" t="s">
        <v>208</v>
      </c>
      <c r="E16" s="72" t="s">
        <v>208</v>
      </c>
      <c r="F16" s="72" t="s">
        <v>208</v>
      </c>
      <c r="R16" s="75"/>
    </row>
    <row r="17" spans="1:29" s="1" customFormat="1">
      <c r="B17" s="2" t="s">
        <v>115</v>
      </c>
      <c r="C17" s="2" t="s">
        <v>116</v>
      </c>
      <c r="D17" s="2" t="s">
        <v>117</v>
      </c>
      <c r="E17" s="2" t="s">
        <v>118</v>
      </c>
      <c r="F17" s="2" t="s">
        <v>119</v>
      </c>
      <c r="G17" s="2" t="s">
        <v>120</v>
      </c>
      <c r="H17" s="2" t="s">
        <v>121</v>
      </c>
      <c r="I17" s="3" t="s">
        <v>115</v>
      </c>
      <c r="J17" s="3" t="s">
        <v>116</v>
      </c>
      <c r="K17" s="3" t="s">
        <v>117</v>
      </c>
      <c r="L17" s="3" t="s">
        <v>118</v>
      </c>
      <c r="M17" s="3" t="s">
        <v>119</v>
      </c>
      <c r="N17" s="3" t="s">
        <v>120</v>
      </c>
      <c r="O17" s="3" t="s">
        <v>121</v>
      </c>
      <c r="P17" s="2" t="s">
        <v>115</v>
      </c>
      <c r="Q17" s="2" t="s">
        <v>116</v>
      </c>
      <c r="R17" s="2" t="s">
        <v>117</v>
      </c>
      <c r="S17" s="2" t="s">
        <v>118</v>
      </c>
      <c r="T17" s="2" t="s">
        <v>119</v>
      </c>
      <c r="U17" s="2" t="s">
        <v>120</v>
      </c>
      <c r="V17" s="2" t="s">
        <v>121</v>
      </c>
      <c r="W17" s="3" t="s">
        <v>115</v>
      </c>
      <c r="X17" s="3" t="s">
        <v>116</v>
      </c>
      <c r="Y17" s="3" t="s">
        <v>117</v>
      </c>
      <c r="Z17" s="3" t="s">
        <v>118</v>
      </c>
      <c r="AA17" s="3" t="s">
        <v>119</v>
      </c>
      <c r="AB17" s="3" t="s">
        <v>120</v>
      </c>
      <c r="AC17" s="3" t="s">
        <v>121</v>
      </c>
    </row>
    <row r="18" spans="1:29" s="1" customFormat="1">
      <c r="B18" s="2">
        <v>26</v>
      </c>
      <c r="C18" s="2">
        <v>27</v>
      </c>
      <c r="D18" s="2">
        <v>28</v>
      </c>
      <c r="E18" s="2">
        <v>29</v>
      </c>
      <c r="F18" s="2">
        <v>30</v>
      </c>
      <c r="G18" s="2">
        <v>1</v>
      </c>
      <c r="H18" s="2">
        <v>2</v>
      </c>
      <c r="I18" s="3">
        <v>3</v>
      </c>
      <c r="J18" s="3">
        <v>4</v>
      </c>
      <c r="K18" s="3">
        <v>5</v>
      </c>
      <c r="L18" s="3">
        <v>6</v>
      </c>
      <c r="M18" s="3">
        <v>7</v>
      </c>
      <c r="N18" s="3">
        <v>8</v>
      </c>
      <c r="O18" s="3">
        <v>9</v>
      </c>
      <c r="P18" s="2">
        <v>10</v>
      </c>
      <c r="Q18" s="2">
        <v>11</v>
      </c>
      <c r="R18" s="2">
        <v>12</v>
      </c>
      <c r="S18" s="2">
        <v>13</v>
      </c>
      <c r="T18" s="2">
        <v>14</v>
      </c>
      <c r="U18" s="2">
        <v>15</v>
      </c>
      <c r="V18" s="2">
        <v>16</v>
      </c>
      <c r="W18" s="3">
        <v>17</v>
      </c>
      <c r="X18" s="3">
        <v>18</v>
      </c>
      <c r="Y18" s="3">
        <v>19</v>
      </c>
      <c r="Z18" s="3">
        <v>20</v>
      </c>
      <c r="AA18" s="3">
        <v>21</v>
      </c>
      <c r="AB18" s="3">
        <v>22</v>
      </c>
      <c r="AC18" s="3">
        <v>23</v>
      </c>
    </row>
    <row r="19" spans="1:29" s="1" customFormat="1">
      <c r="B19" s="205" t="s">
        <v>124</v>
      </c>
      <c r="C19" s="206"/>
      <c r="D19" s="206"/>
      <c r="E19" s="206"/>
      <c r="F19" s="207"/>
      <c r="G19" s="208" t="s">
        <v>218</v>
      </c>
      <c r="H19" s="187"/>
      <c r="I19" s="187"/>
      <c r="J19" s="209"/>
      <c r="K19" s="187"/>
      <c r="L19" s="187"/>
      <c r="M19" s="187"/>
      <c r="N19" s="187"/>
      <c r="O19" s="187"/>
      <c r="P19" s="187"/>
      <c r="Q19" s="187"/>
      <c r="R19" s="187"/>
      <c r="S19" s="187"/>
      <c r="T19" s="187"/>
      <c r="U19" s="187"/>
      <c r="V19" s="187"/>
      <c r="W19" s="187"/>
      <c r="X19" s="187"/>
      <c r="Y19" s="187"/>
      <c r="Z19" s="187"/>
      <c r="AA19" s="187"/>
      <c r="AB19" s="187"/>
      <c r="AC19" s="210"/>
    </row>
    <row r="20" spans="1:29" ht="62.7" customHeight="1">
      <c r="A20" s="21">
        <v>9.375</v>
      </c>
      <c r="B20" s="34" t="s">
        <v>132</v>
      </c>
      <c r="C20" s="92" t="s">
        <v>219</v>
      </c>
      <c r="D20" s="77" t="s">
        <v>128</v>
      </c>
      <c r="E20" s="77" t="s">
        <v>128</v>
      </c>
      <c r="F20" s="195" t="s">
        <v>220</v>
      </c>
      <c r="I20" s="137" t="s">
        <v>128</v>
      </c>
      <c r="J20" s="182" t="s">
        <v>221</v>
      </c>
      <c r="K20" s="138" t="s">
        <v>128</v>
      </c>
      <c r="L20" s="133" t="s">
        <v>128</v>
      </c>
      <c r="M20" s="189" t="s">
        <v>222</v>
      </c>
      <c r="P20" s="34" t="s">
        <v>132</v>
      </c>
      <c r="Q20" s="200" t="s">
        <v>223</v>
      </c>
      <c r="R20" s="171" t="s">
        <v>224</v>
      </c>
      <c r="S20" s="45" t="s">
        <v>225</v>
      </c>
      <c r="T20" s="45" t="s">
        <v>225</v>
      </c>
      <c r="U20" s="225" t="s">
        <v>226</v>
      </c>
      <c r="W20" s="77" t="s">
        <v>128</v>
      </c>
      <c r="X20" s="77" t="s">
        <v>128</v>
      </c>
      <c r="Y20" s="77" t="s">
        <v>128</v>
      </c>
      <c r="Z20" s="77" t="s">
        <v>128</v>
      </c>
      <c r="AA20" s="77" t="s">
        <v>128</v>
      </c>
      <c r="AB20" s="211" t="s">
        <v>227</v>
      </c>
    </row>
    <row r="21" spans="1:29" ht="47.25" customHeight="1">
      <c r="A21" s="21">
        <v>9.4166666666666696</v>
      </c>
      <c r="B21" s="77" t="s">
        <v>128</v>
      </c>
      <c r="C21" s="77" t="s">
        <v>128</v>
      </c>
      <c r="D21" s="77" t="s">
        <v>128</v>
      </c>
      <c r="E21" s="77" t="s">
        <v>128</v>
      </c>
      <c r="F21" s="196"/>
      <c r="G21" s="142"/>
      <c r="I21" s="137" t="s">
        <v>128</v>
      </c>
      <c r="J21" s="183"/>
      <c r="K21" s="139" t="s">
        <v>150</v>
      </c>
      <c r="L21" s="133" t="s">
        <v>128</v>
      </c>
      <c r="M21" s="190"/>
      <c r="P21" s="77" t="s">
        <v>128</v>
      </c>
      <c r="Q21" s="201"/>
      <c r="R21" s="172"/>
      <c r="S21" s="45" t="s">
        <v>228</v>
      </c>
      <c r="T21" s="45" t="s">
        <v>228</v>
      </c>
      <c r="U21" s="212"/>
      <c r="W21" s="77" t="s">
        <v>128</v>
      </c>
      <c r="X21" s="77" t="s">
        <v>128</v>
      </c>
      <c r="Y21" s="77" t="s">
        <v>128</v>
      </c>
      <c r="Z21" s="77" t="s">
        <v>128</v>
      </c>
      <c r="AA21" s="49" t="s">
        <v>195</v>
      </c>
      <c r="AB21" s="212"/>
    </row>
    <row r="22" spans="1:29" ht="51" customHeight="1">
      <c r="A22" s="21">
        <v>9.4583333333333304</v>
      </c>
      <c r="B22" s="50" t="s">
        <v>229</v>
      </c>
      <c r="C22" s="35" t="s">
        <v>230</v>
      </c>
      <c r="D22" s="77" t="s">
        <v>128</v>
      </c>
      <c r="E22" s="92" t="s">
        <v>150</v>
      </c>
      <c r="F22" s="77" t="s">
        <v>128</v>
      </c>
      <c r="G22" s="142"/>
      <c r="I22" s="137" t="s">
        <v>128</v>
      </c>
      <c r="J22" s="183"/>
      <c r="K22" s="138" t="s">
        <v>128</v>
      </c>
      <c r="L22" s="139" t="s">
        <v>150</v>
      </c>
      <c r="M22" s="190"/>
      <c r="P22" s="77" t="s">
        <v>128</v>
      </c>
      <c r="Q22" s="201"/>
      <c r="R22" s="173"/>
      <c r="S22" s="45" t="s">
        <v>228</v>
      </c>
      <c r="T22" s="45" t="s">
        <v>228</v>
      </c>
      <c r="U22" s="212"/>
      <c r="W22" s="77" t="s">
        <v>128</v>
      </c>
      <c r="X22" s="77" t="s">
        <v>128</v>
      </c>
      <c r="Y22" s="42" t="s">
        <v>231</v>
      </c>
      <c r="Z22" s="77" t="s">
        <v>128</v>
      </c>
      <c r="AA22" s="77" t="s">
        <v>128</v>
      </c>
      <c r="AB22" s="212"/>
    </row>
    <row r="23" spans="1:29" ht="58.5" customHeight="1">
      <c r="A23" s="21">
        <v>9.5</v>
      </c>
      <c r="B23" s="50" t="s">
        <v>232</v>
      </c>
      <c r="C23" s="35" t="s">
        <v>230</v>
      </c>
      <c r="D23" s="77" t="s">
        <v>128</v>
      </c>
      <c r="E23" s="77" t="s">
        <v>128</v>
      </c>
      <c r="F23" s="77" t="s">
        <v>128</v>
      </c>
      <c r="G23" s="142"/>
      <c r="I23" s="137" t="s">
        <v>128</v>
      </c>
      <c r="J23" s="183"/>
      <c r="K23" s="138" t="s">
        <v>128</v>
      </c>
      <c r="L23" s="133" t="s">
        <v>128</v>
      </c>
      <c r="M23" s="190"/>
      <c r="P23" s="77" t="s">
        <v>128</v>
      </c>
      <c r="Q23" s="135" t="s">
        <v>233</v>
      </c>
      <c r="R23" s="77" t="s">
        <v>128</v>
      </c>
      <c r="S23" s="45" t="s">
        <v>228</v>
      </c>
      <c r="T23" s="45" t="s">
        <v>228</v>
      </c>
      <c r="U23" s="212"/>
      <c r="W23" s="77" t="s">
        <v>128</v>
      </c>
      <c r="X23" s="77" t="s">
        <v>128</v>
      </c>
      <c r="Y23" s="48" t="s">
        <v>234</v>
      </c>
      <c r="Z23" s="77" t="s">
        <v>128</v>
      </c>
      <c r="AA23" s="77" t="s">
        <v>128</v>
      </c>
      <c r="AB23" s="212"/>
    </row>
    <row r="24" spans="1:29" ht="32.25" customHeight="1">
      <c r="A24" s="21">
        <v>9.5416666666666696</v>
      </c>
      <c r="B24" s="192" t="s">
        <v>173</v>
      </c>
      <c r="C24" s="193"/>
      <c r="D24" s="193"/>
      <c r="E24" s="193"/>
      <c r="F24" s="194"/>
      <c r="G24" s="143"/>
      <c r="I24" s="137" t="s">
        <v>128</v>
      </c>
      <c r="J24" s="183"/>
      <c r="K24" s="140" t="s">
        <v>173</v>
      </c>
      <c r="L24" s="197" t="s">
        <v>235</v>
      </c>
      <c r="M24" s="190"/>
      <c r="P24" s="76" t="s">
        <v>173</v>
      </c>
      <c r="Q24" s="178" t="s">
        <v>236</v>
      </c>
      <c r="R24" s="76" t="s">
        <v>173</v>
      </c>
      <c r="S24" s="45" t="s">
        <v>237</v>
      </c>
      <c r="T24" s="45" t="s">
        <v>237</v>
      </c>
      <c r="U24" s="213"/>
      <c r="W24" s="176" t="s">
        <v>173</v>
      </c>
      <c r="X24" s="177"/>
      <c r="Y24" s="77" t="s">
        <v>128</v>
      </c>
      <c r="Z24" s="176" t="s">
        <v>173</v>
      </c>
      <c r="AA24" s="177"/>
      <c r="AB24" s="223"/>
    </row>
    <row r="25" spans="1:29" s="1" customFormat="1" ht="61.5" customHeight="1">
      <c r="A25" s="21">
        <v>9.5833333333333393</v>
      </c>
      <c r="B25" s="77" t="s">
        <v>128</v>
      </c>
      <c r="C25" s="77" t="s">
        <v>128</v>
      </c>
      <c r="D25" s="35" t="s">
        <v>238</v>
      </c>
      <c r="E25" s="77" t="s">
        <v>128</v>
      </c>
      <c r="F25" s="52" t="s">
        <v>239</v>
      </c>
      <c r="I25" s="137" t="s">
        <v>128</v>
      </c>
      <c r="J25" s="183"/>
      <c r="K25" s="51" t="s">
        <v>240</v>
      </c>
      <c r="L25" s="198"/>
      <c r="M25" s="190"/>
      <c r="P25" s="77" t="s">
        <v>128</v>
      </c>
      <c r="Q25" s="179"/>
      <c r="R25" s="77" t="s">
        <v>128</v>
      </c>
      <c r="S25" s="77" t="s">
        <v>128</v>
      </c>
      <c r="T25" s="46" t="s">
        <v>241</v>
      </c>
      <c r="U25" s="33"/>
      <c r="W25" s="77" t="s">
        <v>128</v>
      </c>
      <c r="X25" s="77" t="s">
        <v>128</v>
      </c>
      <c r="Y25" s="77" t="s">
        <v>128</v>
      </c>
      <c r="Z25" s="77" t="s">
        <v>128</v>
      </c>
      <c r="AA25" s="46" t="s">
        <v>241</v>
      </c>
    </row>
    <row r="26" spans="1:29" s="1" customFormat="1" ht="77.25" customHeight="1">
      <c r="A26" s="21">
        <v>9.6250000000000107</v>
      </c>
      <c r="B26" s="77" t="s">
        <v>128</v>
      </c>
      <c r="C26" s="77" t="s">
        <v>128</v>
      </c>
      <c r="D26" s="77" t="s">
        <v>128</v>
      </c>
      <c r="E26" s="77" t="s">
        <v>128</v>
      </c>
      <c r="F26" s="46" t="s">
        <v>242</v>
      </c>
      <c r="I26" s="137" t="s">
        <v>128</v>
      </c>
      <c r="J26" s="183"/>
      <c r="K26" s="138" t="s">
        <v>128</v>
      </c>
      <c r="L26" s="198"/>
      <c r="M26" s="190"/>
      <c r="P26" s="77" t="s">
        <v>128</v>
      </c>
      <c r="Q26" s="179"/>
      <c r="R26" s="77" t="s">
        <v>128</v>
      </c>
      <c r="S26" s="77" t="s">
        <v>128</v>
      </c>
      <c r="T26" s="49" t="s">
        <v>195</v>
      </c>
      <c r="W26" s="77" t="s">
        <v>128</v>
      </c>
      <c r="X26" s="77" t="s">
        <v>128</v>
      </c>
      <c r="Y26" s="77" t="s">
        <v>128</v>
      </c>
      <c r="Z26" s="77" t="s">
        <v>128</v>
      </c>
      <c r="AA26" s="77" t="s">
        <v>128</v>
      </c>
    </row>
    <row r="27" spans="1:29" s="1" customFormat="1" ht="93.45" customHeight="1">
      <c r="A27" s="21">
        <v>9.6666666666666803</v>
      </c>
      <c r="B27" s="77" t="s">
        <v>128</v>
      </c>
      <c r="C27" s="77" t="s">
        <v>128</v>
      </c>
      <c r="D27" s="34" t="s">
        <v>197</v>
      </c>
      <c r="E27" s="77" t="s">
        <v>128</v>
      </c>
      <c r="F27" s="77" t="s">
        <v>128</v>
      </c>
      <c r="I27" s="137" t="s">
        <v>128</v>
      </c>
      <c r="J27" s="184"/>
      <c r="K27" s="141" t="s">
        <v>243</v>
      </c>
      <c r="L27" s="199"/>
      <c r="M27" s="191"/>
      <c r="P27" s="77" t="s">
        <v>128</v>
      </c>
      <c r="Q27" s="180"/>
      <c r="R27" s="34" t="s">
        <v>243</v>
      </c>
      <c r="S27" s="77" t="s">
        <v>128</v>
      </c>
      <c r="T27" s="77"/>
      <c r="W27" s="77" t="s">
        <v>128</v>
      </c>
      <c r="X27" s="77" t="s">
        <v>128</v>
      </c>
      <c r="Y27" s="34" t="s">
        <v>243</v>
      </c>
      <c r="Z27" s="77" t="s">
        <v>128</v>
      </c>
      <c r="AA27" s="77" t="s">
        <v>128</v>
      </c>
    </row>
    <row r="28" spans="1:29" ht="109.2">
      <c r="A28" t="s">
        <v>8</v>
      </c>
      <c r="B28" s="71" t="s">
        <v>244</v>
      </c>
      <c r="F28" s="46" t="s">
        <v>245</v>
      </c>
      <c r="I28" s="90" t="s">
        <v>246</v>
      </c>
      <c r="Z28" s="90" t="s">
        <v>247</v>
      </c>
      <c r="AA28" s="90" t="s">
        <v>248</v>
      </c>
    </row>
    <row r="29" spans="1:29">
      <c r="B29" s="131" t="s">
        <v>249</v>
      </c>
      <c r="D29" t="s">
        <v>205</v>
      </c>
      <c r="E29" t="s">
        <v>205</v>
      </c>
      <c r="F29" t="s">
        <v>205</v>
      </c>
      <c r="I29" t="s">
        <v>250</v>
      </c>
      <c r="J29" t="s">
        <v>250</v>
      </c>
      <c r="K29" t="s">
        <v>250</v>
      </c>
      <c r="L29" t="s">
        <v>250</v>
      </c>
      <c r="M29" t="s">
        <v>250</v>
      </c>
      <c r="N29" t="s">
        <v>250</v>
      </c>
      <c r="O29" t="s">
        <v>250</v>
      </c>
      <c r="P29" t="s">
        <v>250</v>
      </c>
      <c r="Q29" t="s">
        <v>250</v>
      </c>
      <c r="R29" t="s">
        <v>250</v>
      </c>
      <c r="S29" t="s">
        <v>250</v>
      </c>
      <c r="T29" t="s">
        <v>250</v>
      </c>
      <c r="U29" t="s">
        <v>250</v>
      </c>
      <c r="V29" t="s">
        <v>250</v>
      </c>
    </row>
    <row r="30" spans="1:29">
      <c r="I30" t="s">
        <v>251</v>
      </c>
      <c r="J30" t="s">
        <v>251</v>
      </c>
      <c r="K30" t="s">
        <v>251</v>
      </c>
      <c r="L30" t="s">
        <v>251</v>
      </c>
      <c r="M30" t="s">
        <v>251</v>
      </c>
    </row>
    <row r="31" spans="1:29" s="1" customFormat="1">
      <c r="B31" s="2" t="s">
        <v>115</v>
      </c>
      <c r="C31" s="2" t="s">
        <v>116</v>
      </c>
      <c r="D31" s="2" t="s">
        <v>117</v>
      </c>
      <c r="E31" s="2" t="s">
        <v>118</v>
      </c>
      <c r="F31" s="2" t="s">
        <v>119</v>
      </c>
      <c r="G31" s="2" t="s">
        <v>120</v>
      </c>
      <c r="H31" s="2" t="s">
        <v>121</v>
      </c>
      <c r="I31" s="3" t="s">
        <v>115</v>
      </c>
      <c r="J31" s="3" t="s">
        <v>116</v>
      </c>
      <c r="K31" s="3" t="s">
        <v>117</v>
      </c>
      <c r="L31" s="3" t="s">
        <v>118</v>
      </c>
      <c r="M31" s="3" t="s">
        <v>119</v>
      </c>
      <c r="N31" s="3" t="s">
        <v>120</v>
      </c>
      <c r="O31" s="3" t="s">
        <v>121</v>
      </c>
    </row>
    <row r="32" spans="1:29" s="1" customFormat="1">
      <c r="B32" s="2">
        <v>24</v>
      </c>
      <c r="C32" s="2">
        <v>25</v>
      </c>
      <c r="D32" s="2">
        <v>26</v>
      </c>
      <c r="E32" s="2">
        <v>27</v>
      </c>
      <c r="F32" s="2">
        <v>28</v>
      </c>
      <c r="G32" s="2">
        <v>29</v>
      </c>
      <c r="H32" s="2">
        <v>30</v>
      </c>
      <c r="I32" s="3">
        <v>31</v>
      </c>
      <c r="J32" s="3">
        <v>1</v>
      </c>
      <c r="K32" s="3">
        <v>2</v>
      </c>
      <c r="L32" s="3">
        <v>3</v>
      </c>
      <c r="M32" s="3">
        <v>4</v>
      </c>
      <c r="N32" s="3">
        <v>5</v>
      </c>
      <c r="O32" s="3"/>
    </row>
    <row r="33" spans="1:15" s="1" customFormat="1">
      <c r="B33" s="186" t="s">
        <v>218</v>
      </c>
      <c r="C33" s="187"/>
      <c r="D33" s="187"/>
      <c r="E33" s="187"/>
      <c r="F33" s="187"/>
      <c r="G33" s="187"/>
      <c r="H33" s="187"/>
      <c r="I33" s="6"/>
      <c r="J33" s="185" t="s">
        <v>252</v>
      </c>
      <c r="K33" s="185"/>
      <c r="L33" s="185"/>
      <c r="M33" s="185"/>
      <c r="N33" s="3"/>
      <c r="O33" s="3"/>
    </row>
    <row r="34" spans="1:15" ht="42" customHeight="1">
      <c r="A34" s="21">
        <v>9.375</v>
      </c>
      <c r="B34" s="77" t="s">
        <v>128</v>
      </c>
      <c r="C34" s="77" t="s">
        <v>128</v>
      </c>
      <c r="D34" s="77" t="s">
        <v>128</v>
      </c>
      <c r="E34" s="77" t="s">
        <v>128</v>
      </c>
      <c r="F34" s="77" t="s">
        <v>128</v>
      </c>
      <c r="I34" s="77" t="s">
        <v>128</v>
      </c>
      <c r="J34" s="77" t="s">
        <v>128</v>
      </c>
      <c r="K34" s="77" t="s">
        <v>128</v>
      </c>
      <c r="L34" s="158" t="s">
        <v>253</v>
      </c>
      <c r="M34" s="189" t="s">
        <v>254</v>
      </c>
      <c r="N34" s="181" t="s">
        <v>255</v>
      </c>
    </row>
    <row r="35" spans="1:15" ht="39" customHeight="1">
      <c r="A35" s="21">
        <v>9.4166666666666696</v>
      </c>
      <c r="B35" s="77" t="s">
        <v>128</v>
      </c>
      <c r="C35" s="77" t="s">
        <v>128</v>
      </c>
      <c r="D35" s="77" t="s">
        <v>128</v>
      </c>
      <c r="E35" s="77" t="s">
        <v>128</v>
      </c>
      <c r="F35" s="77" t="s">
        <v>128</v>
      </c>
      <c r="I35" s="77" t="s">
        <v>128</v>
      </c>
      <c r="J35" s="42" t="s">
        <v>256</v>
      </c>
      <c r="K35" s="77" t="s">
        <v>128</v>
      </c>
      <c r="L35" s="158"/>
      <c r="M35" s="190"/>
      <c r="N35" s="181"/>
    </row>
    <row r="36" spans="1:15" ht="39" customHeight="1">
      <c r="A36" s="21">
        <v>9.4583333333333304</v>
      </c>
      <c r="B36" s="77" t="s">
        <v>128</v>
      </c>
      <c r="C36" s="42" t="s">
        <v>257</v>
      </c>
      <c r="D36" s="77" t="s">
        <v>128</v>
      </c>
      <c r="E36" s="92" t="s">
        <v>150</v>
      </c>
      <c r="F36" s="35" t="s">
        <v>258</v>
      </c>
      <c r="I36" s="77" t="s">
        <v>128</v>
      </c>
      <c r="J36" s="145" t="s">
        <v>259</v>
      </c>
      <c r="K36" s="77" t="s">
        <v>128</v>
      </c>
      <c r="L36" s="158" t="s">
        <v>260</v>
      </c>
      <c r="M36" s="190"/>
      <c r="N36" s="181"/>
    </row>
    <row r="37" spans="1:15" ht="39" customHeight="1">
      <c r="A37" s="21">
        <v>9.5</v>
      </c>
      <c r="B37" s="77" t="s">
        <v>128</v>
      </c>
      <c r="C37" s="42" t="s">
        <v>261</v>
      </c>
      <c r="D37" s="77" t="s">
        <v>128</v>
      </c>
      <c r="E37" s="77" t="s">
        <v>128</v>
      </c>
      <c r="F37" s="15" t="s">
        <v>262</v>
      </c>
      <c r="I37" s="77" t="s">
        <v>128</v>
      </c>
      <c r="J37" s="145" t="s">
        <v>259</v>
      </c>
      <c r="K37" s="77" t="s">
        <v>128</v>
      </c>
      <c r="L37" s="158" t="s">
        <v>263</v>
      </c>
      <c r="M37" s="191"/>
      <c r="N37" s="181"/>
    </row>
    <row r="38" spans="1:15" ht="39" customHeight="1">
      <c r="A38" s="21">
        <v>9.5416666666666696</v>
      </c>
      <c r="B38" s="46" t="s">
        <v>264</v>
      </c>
      <c r="C38" s="174" t="s">
        <v>173</v>
      </c>
      <c r="D38" s="175"/>
      <c r="E38" s="46" t="s">
        <v>265</v>
      </c>
      <c r="F38" s="46" t="s">
        <v>173</v>
      </c>
      <c r="I38" s="188" t="s">
        <v>173</v>
      </c>
      <c r="J38" s="188"/>
      <c r="K38" s="188"/>
      <c r="L38" s="158" t="s">
        <v>266</v>
      </c>
      <c r="M38" s="19" t="s">
        <v>173</v>
      </c>
      <c r="N38" s="181"/>
    </row>
    <row r="39" spans="1:15" ht="39" customHeight="1">
      <c r="A39" s="21">
        <v>9.5833333333333393</v>
      </c>
      <c r="B39" s="35" t="s">
        <v>267</v>
      </c>
      <c r="C39" s="77" t="s">
        <v>128</v>
      </c>
      <c r="D39" s="77" t="s">
        <v>128</v>
      </c>
      <c r="E39" s="77" t="s">
        <v>128</v>
      </c>
      <c r="F39" s="46" t="s">
        <v>241</v>
      </c>
      <c r="I39" s="77" t="s">
        <v>128</v>
      </c>
      <c r="J39" s="145" t="s">
        <v>259</v>
      </c>
      <c r="K39" s="77" t="s">
        <v>128</v>
      </c>
      <c r="L39" s="170" t="s">
        <v>268</v>
      </c>
      <c r="M39" s="4"/>
      <c r="N39" s="181"/>
    </row>
    <row r="40" spans="1:15" ht="46.8">
      <c r="A40" s="21">
        <v>9.6250000000000107</v>
      </c>
      <c r="B40" s="35" t="s">
        <v>267</v>
      </c>
      <c r="C40" s="77" t="s">
        <v>128</v>
      </c>
      <c r="D40" s="77" t="s">
        <v>128</v>
      </c>
      <c r="E40" s="77" t="s">
        <v>128</v>
      </c>
      <c r="F40" s="46" t="s">
        <v>195</v>
      </c>
      <c r="I40" s="77" t="s">
        <v>128</v>
      </c>
      <c r="J40" s="77" t="s">
        <v>128</v>
      </c>
      <c r="K40" s="77" t="s">
        <v>128</v>
      </c>
      <c r="L40" s="170"/>
      <c r="M40" s="4"/>
      <c r="N40" s="181"/>
    </row>
    <row r="41" spans="1:15" ht="62.4">
      <c r="A41" s="21">
        <v>9.6666666666666803</v>
      </c>
      <c r="B41" s="77" t="s">
        <v>128</v>
      </c>
      <c r="C41" s="77" t="s">
        <v>128</v>
      </c>
      <c r="D41" s="34" t="s">
        <v>243</v>
      </c>
      <c r="E41" s="77" t="s">
        <v>128</v>
      </c>
      <c r="F41" s="34" t="s">
        <v>269</v>
      </c>
      <c r="I41" s="77" t="s">
        <v>128</v>
      </c>
      <c r="J41" s="77" t="s">
        <v>128</v>
      </c>
      <c r="K41" s="34" t="s">
        <v>197</v>
      </c>
      <c r="L41" s="158"/>
      <c r="M41" s="4"/>
      <c r="N41" s="181"/>
    </row>
    <row r="42" spans="1:15">
      <c r="B42" s="90" t="s">
        <v>247</v>
      </c>
      <c r="C42" s="1"/>
      <c r="D42" s="1"/>
      <c r="E42" s="1" t="s">
        <v>270</v>
      </c>
      <c r="F42" s="1" t="s">
        <v>271</v>
      </c>
    </row>
  </sheetData>
  <mergeCells count="31">
    <mergeCell ref="AB20:AB24"/>
    <mergeCell ref="W5:W12"/>
    <mergeCell ref="AB5:AB9"/>
    <mergeCell ref="U20:U24"/>
    <mergeCell ref="W24:X24"/>
    <mergeCell ref="B4:D4"/>
    <mergeCell ref="E4:AC4"/>
    <mergeCell ref="B19:F19"/>
    <mergeCell ref="G19:AC19"/>
    <mergeCell ref="N5:N9"/>
    <mergeCell ref="I9:L9"/>
    <mergeCell ref="X9:Y9"/>
    <mergeCell ref="B5:B12"/>
    <mergeCell ref="D9:F9"/>
    <mergeCell ref="P9:R9"/>
    <mergeCell ref="L39:L40"/>
    <mergeCell ref="R20:R22"/>
    <mergeCell ref="C38:D38"/>
    <mergeCell ref="Z24:AA24"/>
    <mergeCell ref="Q24:Q27"/>
    <mergeCell ref="N34:N41"/>
    <mergeCell ref="J20:J27"/>
    <mergeCell ref="J33:M33"/>
    <mergeCell ref="B33:H33"/>
    <mergeCell ref="I38:K38"/>
    <mergeCell ref="M34:M37"/>
    <mergeCell ref="B24:F24"/>
    <mergeCell ref="F20:F21"/>
    <mergeCell ref="M20:M27"/>
    <mergeCell ref="L24:L27"/>
    <mergeCell ref="Q20:Q22"/>
  </mergeCells>
  <phoneticPr fontId="3"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C244C-A5F3-404F-B8D8-8429E47D78EE}">
  <dimension ref="A1:F19"/>
  <sheetViews>
    <sheetView workbookViewId="0"/>
  </sheetViews>
  <sheetFormatPr defaultColWidth="8.69921875" defaultRowHeight="15.6"/>
  <cols>
    <col min="1" max="1" width="15.19921875" customWidth="1"/>
    <col min="2" max="2" width="20.19921875" bestFit="1" customWidth="1"/>
    <col min="3" max="3" width="33.69921875" customWidth="1"/>
  </cols>
  <sheetData>
    <row r="1" spans="1:6">
      <c r="A1" s="95" t="s">
        <v>725</v>
      </c>
    </row>
    <row r="2" spans="1:6" s="1" customFormat="1">
      <c r="A2" s="12" t="s">
        <v>272</v>
      </c>
      <c r="B2" s="12" t="s">
        <v>273</v>
      </c>
      <c r="C2" s="12" t="s">
        <v>274</v>
      </c>
      <c r="E2" s="95" t="s">
        <v>283</v>
      </c>
      <c r="F2"/>
    </row>
    <row r="3" spans="1:6">
      <c r="A3" s="1" t="s">
        <v>69</v>
      </c>
      <c r="B3" s="1" t="s">
        <v>723</v>
      </c>
    </row>
    <row r="4" spans="1:6">
      <c r="A4" t="s">
        <v>84</v>
      </c>
      <c r="B4" t="s">
        <v>275</v>
      </c>
      <c r="F4" t="s">
        <v>285</v>
      </c>
    </row>
    <row r="5" spans="1:6">
      <c r="A5" t="s">
        <v>56</v>
      </c>
      <c r="B5" t="s">
        <v>276</v>
      </c>
      <c r="F5" t="s">
        <v>286</v>
      </c>
    </row>
    <row r="6" spans="1:6">
      <c r="A6" t="s">
        <v>47</v>
      </c>
      <c r="B6" t="s">
        <v>277</v>
      </c>
      <c r="F6" t="s">
        <v>727</v>
      </c>
    </row>
    <row r="7" spans="1:6">
      <c r="A7" t="s">
        <v>70</v>
      </c>
      <c r="B7" t="s">
        <v>278</v>
      </c>
    </row>
    <row r="8" spans="1:6">
      <c r="A8" t="s">
        <v>83</v>
      </c>
      <c r="B8" t="s">
        <v>279</v>
      </c>
    </row>
    <row r="9" spans="1:6">
      <c r="A9" t="s">
        <v>79</v>
      </c>
      <c r="C9" t="s">
        <v>280</v>
      </c>
    </row>
    <row r="10" spans="1:6">
      <c r="A10" t="s">
        <v>64</v>
      </c>
      <c r="B10" t="s">
        <v>281</v>
      </c>
    </row>
    <row r="11" spans="1:6">
      <c r="A11" t="s">
        <v>26</v>
      </c>
      <c r="B11" t="s">
        <v>282</v>
      </c>
    </row>
    <row r="12" spans="1:6">
      <c r="A12" t="s">
        <v>38</v>
      </c>
      <c r="B12" t="s">
        <v>732</v>
      </c>
    </row>
    <row r="13" spans="1:6">
      <c r="A13" t="s">
        <v>78</v>
      </c>
    </row>
    <row r="14" spans="1:6">
      <c r="A14" t="s">
        <v>25</v>
      </c>
    </row>
    <row r="15" spans="1:6">
      <c r="A15" t="s">
        <v>37</v>
      </c>
      <c r="B15" t="s">
        <v>724</v>
      </c>
    </row>
    <row r="16" spans="1:6">
      <c r="A16" t="s">
        <v>91</v>
      </c>
      <c r="B16" t="s">
        <v>726</v>
      </c>
    </row>
    <row r="17" spans="1:3">
      <c r="A17" t="s">
        <v>728</v>
      </c>
      <c r="C17" s="169" t="s">
        <v>729</v>
      </c>
    </row>
    <row r="18" spans="1:3">
      <c r="A18" t="s">
        <v>730</v>
      </c>
      <c r="B18" t="s">
        <v>731</v>
      </c>
    </row>
    <row r="19" spans="1:3">
      <c r="A19" t="s">
        <v>320</v>
      </c>
      <c r="B19" t="s">
        <v>284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93616-855E-4E73-BA70-52CFAE0B0971}">
  <dimension ref="A1:C6"/>
  <sheetViews>
    <sheetView zoomScale="175" zoomScaleNormal="175" workbookViewId="0">
      <selection activeCell="C2" sqref="C2"/>
    </sheetView>
  </sheetViews>
  <sheetFormatPr defaultColWidth="8.69921875" defaultRowHeight="15.6"/>
  <cols>
    <col min="1" max="1" width="14.69921875" bestFit="1" customWidth="1"/>
    <col min="2" max="2" width="16.19921875" customWidth="1"/>
  </cols>
  <sheetData>
    <row r="1" spans="1:3" s="73" customFormat="1" ht="32.700000000000003" customHeight="1">
      <c r="A1" s="226" t="s">
        <v>287</v>
      </c>
      <c r="B1" s="226"/>
      <c r="C1" s="73" t="s">
        <v>288</v>
      </c>
    </row>
    <row r="2" spans="1:3">
      <c r="A2" s="12" t="s">
        <v>289</v>
      </c>
      <c r="B2" s="12" t="s">
        <v>290</v>
      </c>
    </row>
    <row r="3" spans="1:3">
      <c r="A3" t="s">
        <v>70</v>
      </c>
      <c r="B3" t="s">
        <v>70</v>
      </c>
    </row>
    <row r="4" spans="1:3">
      <c r="A4" t="s">
        <v>69</v>
      </c>
      <c r="B4" s="144" t="s">
        <v>56</v>
      </c>
    </row>
    <row r="5" spans="1:3">
      <c r="A5" t="s">
        <v>83</v>
      </c>
    </row>
    <row r="6" spans="1:3">
      <c r="A6" t="s">
        <v>291</v>
      </c>
    </row>
  </sheetData>
  <mergeCells count="1">
    <mergeCell ref="A1:B1"/>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B136D-88F3-4DC0-957E-BF1808FD3D89}">
  <dimension ref="A1:E10"/>
  <sheetViews>
    <sheetView workbookViewId="0">
      <selection activeCell="E4" sqref="E4"/>
    </sheetView>
  </sheetViews>
  <sheetFormatPr defaultColWidth="8.69921875" defaultRowHeight="18"/>
  <cols>
    <col min="1" max="1" width="10.19921875" style="111" bestFit="1" customWidth="1"/>
    <col min="2" max="2" width="13.19921875" style="111" bestFit="1" customWidth="1"/>
    <col min="3" max="3" width="8.69921875" style="111"/>
    <col min="4" max="4" width="8.69921875" style="111" bestFit="1" customWidth="1"/>
    <col min="5" max="5" width="56.69921875" style="111" bestFit="1" customWidth="1"/>
    <col min="6" max="16384" width="8.69921875" style="111"/>
  </cols>
  <sheetData>
    <row r="1" spans="1:5" s="156" customFormat="1">
      <c r="A1" s="156" t="s">
        <v>292</v>
      </c>
      <c r="D1" s="156" t="s">
        <v>293</v>
      </c>
    </row>
    <row r="2" spans="1:5">
      <c r="A2" s="154">
        <f>SUM(A3:A9)</f>
        <v>2522</v>
      </c>
      <c r="B2" s="157" t="s">
        <v>294</v>
      </c>
      <c r="D2" s="154">
        <f>SUM(D4:D10)</f>
        <v>2102.25</v>
      </c>
      <c r="E2" s="157" t="s">
        <v>294</v>
      </c>
    </row>
    <row r="3" spans="1:5">
      <c r="A3" s="155">
        <v>430</v>
      </c>
      <c r="B3" s="111" t="s">
        <v>295</v>
      </c>
      <c r="D3" s="154">
        <f>A2-D2</f>
        <v>419.75</v>
      </c>
      <c r="E3" s="157" t="s">
        <v>296</v>
      </c>
    </row>
    <row r="4" spans="1:5">
      <c r="A4" s="155">
        <v>592</v>
      </c>
      <c r="B4" s="111" t="s">
        <v>297</v>
      </c>
      <c r="D4" s="155">
        <v>531.59</v>
      </c>
      <c r="E4" s="111" t="s">
        <v>295</v>
      </c>
    </row>
    <row r="5" spans="1:5">
      <c r="A5" s="155">
        <v>1500</v>
      </c>
      <c r="B5" s="111" t="s">
        <v>298</v>
      </c>
      <c r="D5" s="155">
        <v>204</v>
      </c>
      <c r="E5" s="111" t="s">
        <v>299</v>
      </c>
    </row>
    <row r="6" spans="1:5">
      <c r="D6" s="155">
        <v>289.61</v>
      </c>
      <c r="E6" s="111" t="s">
        <v>300</v>
      </c>
    </row>
    <row r="7" spans="1:5">
      <c r="D7" s="155">
        <v>234.46</v>
      </c>
      <c r="E7" s="111" t="s">
        <v>301</v>
      </c>
    </row>
    <row r="8" spans="1:5">
      <c r="D8" s="155">
        <v>328.1</v>
      </c>
      <c r="E8" s="111" t="s">
        <v>302</v>
      </c>
    </row>
    <row r="9" spans="1:5">
      <c r="D9" s="155">
        <v>98.57</v>
      </c>
      <c r="E9" s="111" t="s">
        <v>303</v>
      </c>
    </row>
    <row r="10" spans="1:5">
      <c r="D10" s="155">
        <v>415.92</v>
      </c>
      <c r="E10" s="111" t="s">
        <v>304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EED9C-121C-4CC0-A99A-1CFEBED4584D}">
  <dimension ref="A1:H20"/>
  <sheetViews>
    <sheetView workbookViewId="0">
      <selection activeCell="O15" sqref="O15"/>
    </sheetView>
  </sheetViews>
  <sheetFormatPr defaultColWidth="8.69921875" defaultRowHeight="15.6"/>
  <sheetData>
    <row r="1" spans="1:8">
      <c r="A1" s="95" t="s">
        <v>305</v>
      </c>
    </row>
    <row r="2" spans="1:8">
      <c r="A2" s="26" t="s">
        <v>306</v>
      </c>
      <c r="B2" s="26" t="s">
        <v>12</v>
      </c>
      <c r="C2" s="26" t="s">
        <v>306</v>
      </c>
      <c r="D2" s="26" t="s">
        <v>12</v>
      </c>
      <c r="E2" s="26" t="s">
        <v>306</v>
      </c>
      <c r="F2" s="26" t="s">
        <v>12</v>
      </c>
      <c r="G2" s="26"/>
      <c r="H2" s="26"/>
    </row>
    <row r="3" spans="1:8">
      <c r="A3" s="28" t="s">
        <v>64</v>
      </c>
      <c r="B3" s="27" t="s">
        <v>25</v>
      </c>
      <c r="C3" s="28" t="s">
        <v>56</v>
      </c>
      <c r="D3" s="27" t="s">
        <v>63</v>
      </c>
      <c r="E3" s="28" t="s">
        <v>84</v>
      </c>
      <c r="F3" s="27" t="s">
        <v>90</v>
      </c>
      <c r="G3" s="28"/>
      <c r="H3" s="27"/>
    </row>
    <row r="4" spans="1:8">
      <c r="A4" s="28" t="s">
        <v>26</v>
      </c>
      <c r="B4" s="27" t="s">
        <v>37</v>
      </c>
      <c r="C4" s="28" t="s">
        <v>14</v>
      </c>
      <c r="D4" s="27" t="s">
        <v>69</v>
      </c>
      <c r="E4" s="28"/>
      <c r="F4" s="28"/>
      <c r="G4" s="28"/>
      <c r="H4" s="88"/>
    </row>
    <row r="5" spans="1:8">
      <c r="A5" s="28" t="s">
        <v>38</v>
      </c>
      <c r="B5" s="27" t="s">
        <v>46</v>
      </c>
      <c r="C5" s="28" t="s">
        <v>70</v>
      </c>
      <c r="D5" s="27" t="s">
        <v>78</v>
      </c>
      <c r="E5" s="28"/>
      <c r="F5" s="28"/>
      <c r="G5" s="28"/>
      <c r="H5" s="27"/>
    </row>
    <row r="6" spans="1:8">
      <c r="A6" s="28" t="s">
        <v>47</v>
      </c>
      <c r="B6" s="27" t="s">
        <v>55</v>
      </c>
      <c r="C6" s="28" t="s">
        <v>79</v>
      </c>
      <c r="D6" s="27" t="s">
        <v>83</v>
      </c>
      <c r="E6" s="28"/>
      <c r="F6" s="28"/>
      <c r="G6" s="28"/>
      <c r="H6" s="27"/>
    </row>
    <row r="7" spans="1:8">
      <c r="E7" s="28"/>
      <c r="F7" s="28"/>
      <c r="G7" s="28"/>
      <c r="H7" s="27"/>
    </row>
    <row r="8" spans="1:8">
      <c r="A8" s="160" t="s">
        <v>307</v>
      </c>
      <c r="B8" s="161"/>
      <c r="C8" s="161"/>
      <c r="D8" s="161"/>
      <c r="E8" s="161"/>
      <c r="F8" s="161"/>
      <c r="G8" s="28"/>
      <c r="H8" s="27"/>
    </row>
    <row r="9" spans="1:8">
      <c r="A9" s="162" t="s">
        <v>306</v>
      </c>
      <c r="B9" s="162" t="s">
        <v>12</v>
      </c>
      <c r="C9" s="162" t="s">
        <v>306</v>
      </c>
      <c r="D9" s="162" t="s">
        <v>12</v>
      </c>
      <c r="E9" s="162" t="s">
        <v>306</v>
      </c>
      <c r="F9" s="162" t="s">
        <v>12</v>
      </c>
      <c r="G9" s="28"/>
      <c r="H9" s="27"/>
    </row>
    <row r="10" spans="1:8">
      <c r="A10" s="163" t="s">
        <v>64</v>
      </c>
      <c r="B10" s="164" t="s">
        <v>308</v>
      </c>
      <c r="C10" s="163" t="s">
        <v>70</v>
      </c>
      <c r="D10" s="164" t="s">
        <v>78</v>
      </c>
      <c r="E10" s="161"/>
      <c r="F10" s="161"/>
      <c r="G10" s="28"/>
      <c r="H10" s="27"/>
    </row>
    <row r="11" spans="1:8">
      <c r="A11" s="163" t="s">
        <v>26</v>
      </c>
      <c r="B11" s="164" t="s">
        <v>309</v>
      </c>
      <c r="C11" s="163" t="s">
        <v>79</v>
      </c>
      <c r="D11" s="164" t="s">
        <v>83</v>
      </c>
      <c r="E11" s="161"/>
      <c r="F11" s="161"/>
      <c r="G11" s="28"/>
      <c r="H11" s="27"/>
    </row>
    <row r="12" spans="1:8">
      <c r="A12" s="163" t="s">
        <v>38</v>
      </c>
      <c r="B12" s="164" t="s">
        <v>46</v>
      </c>
      <c r="C12" s="163" t="s">
        <v>84</v>
      </c>
      <c r="D12" s="164" t="s">
        <v>90</v>
      </c>
      <c r="E12" s="161"/>
      <c r="F12" s="161"/>
    </row>
    <row r="13" spans="1:8">
      <c r="A13" s="163" t="s">
        <v>47</v>
      </c>
      <c r="B13" s="164" t="s">
        <v>55</v>
      </c>
      <c r="C13" s="163" t="s">
        <v>14</v>
      </c>
      <c r="D13" s="164" t="s">
        <v>69</v>
      </c>
      <c r="E13" s="163" t="s">
        <v>56</v>
      </c>
      <c r="F13" s="164" t="s">
        <v>63</v>
      </c>
    </row>
    <row r="14" spans="1:8">
      <c r="A14" s="161"/>
      <c r="B14" s="161"/>
      <c r="C14" s="161"/>
      <c r="D14" s="161"/>
      <c r="E14" s="161"/>
      <c r="F14" s="161"/>
    </row>
    <row r="15" spans="1:8">
      <c r="A15" s="160" t="s">
        <v>310</v>
      </c>
      <c r="B15" s="161"/>
      <c r="C15" s="161"/>
      <c r="D15" s="161"/>
      <c r="E15" s="161"/>
      <c r="F15" s="161"/>
    </row>
    <row r="16" spans="1:8">
      <c r="A16" s="162" t="s">
        <v>306</v>
      </c>
      <c r="B16" s="162" t="s">
        <v>12</v>
      </c>
      <c r="C16" s="162" t="s">
        <v>306</v>
      </c>
      <c r="D16" s="162" t="s">
        <v>12</v>
      </c>
      <c r="E16" s="162" t="s">
        <v>306</v>
      </c>
      <c r="F16" s="162" t="s">
        <v>12</v>
      </c>
    </row>
    <row r="17" spans="1:6">
      <c r="A17" s="163" t="s">
        <v>64</v>
      </c>
      <c r="B17" s="164" t="s">
        <v>25</v>
      </c>
      <c r="C17" s="163" t="s">
        <v>14</v>
      </c>
      <c r="D17" s="164" t="s">
        <v>69</v>
      </c>
      <c r="E17" s="163" t="s">
        <v>79</v>
      </c>
      <c r="F17" s="164" t="s">
        <v>83</v>
      </c>
    </row>
    <row r="18" spans="1:6">
      <c r="A18" s="163" t="s">
        <v>26</v>
      </c>
      <c r="B18" s="164" t="s">
        <v>37</v>
      </c>
      <c r="C18" s="163" t="s">
        <v>70</v>
      </c>
      <c r="D18" s="164" t="s">
        <v>78</v>
      </c>
      <c r="E18" s="161"/>
      <c r="F18" s="161"/>
    </row>
    <row r="19" spans="1:6">
      <c r="A19" s="163" t="s">
        <v>38</v>
      </c>
      <c r="B19" s="164" t="s">
        <v>46</v>
      </c>
      <c r="C19" s="163" t="s">
        <v>56</v>
      </c>
      <c r="D19" s="164" t="s">
        <v>63</v>
      </c>
      <c r="E19" s="161"/>
      <c r="F19" s="161"/>
    </row>
    <row r="20" spans="1:6">
      <c r="A20" s="163" t="s">
        <v>47</v>
      </c>
      <c r="B20" s="164" t="s">
        <v>55</v>
      </c>
      <c r="C20" s="163" t="s">
        <v>84</v>
      </c>
      <c r="D20" s="164" t="s">
        <v>90</v>
      </c>
      <c r="E20" s="161"/>
      <c r="F20" s="16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317B5-1A08-45D9-8D72-4CE1B1BC4FCA}">
  <dimension ref="A1:Z23"/>
  <sheetViews>
    <sheetView topLeftCell="H5" zoomScale="85" zoomScaleNormal="85" workbookViewId="0">
      <selection activeCell="Q15" sqref="Q15:U20"/>
    </sheetView>
  </sheetViews>
  <sheetFormatPr defaultColWidth="11" defaultRowHeight="15.6"/>
  <cols>
    <col min="1" max="1" width="9.19921875" bestFit="1" customWidth="1"/>
    <col min="2" max="16" width="11.69921875" customWidth="1"/>
    <col min="17" max="17" width="12" customWidth="1"/>
    <col min="18" max="26" width="10.19921875" customWidth="1"/>
  </cols>
  <sheetData>
    <row r="1" spans="1:26" ht="21">
      <c r="A1" s="65" t="s">
        <v>311</v>
      </c>
    </row>
    <row r="2" spans="1:26" s="1" customFormat="1">
      <c r="B2" s="2" t="s">
        <v>115</v>
      </c>
      <c r="C2" s="2" t="s">
        <v>116</v>
      </c>
      <c r="D2" s="2" t="s">
        <v>117</v>
      </c>
      <c r="E2" s="2" t="s">
        <v>118</v>
      </c>
      <c r="F2" s="2" t="s">
        <v>119</v>
      </c>
      <c r="G2" s="3" t="s">
        <v>115</v>
      </c>
      <c r="H2" s="3" t="s">
        <v>116</v>
      </c>
      <c r="I2" s="3" t="s">
        <v>117</v>
      </c>
      <c r="J2" s="3" t="s">
        <v>118</v>
      </c>
      <c r="K2" s="3" t="s">
        <v>119</v>
      </c>
      <c r="L2" s="2" t="s">
        <v>115</v>
      </c>
      <c r="M2" s="2" t="s">
        <v>116</v>
      </c>
      <c r="N2" s="2" t="s">
        <v>117</v>
      </c>
      <c r="O2" s="2" t="s">
        <v>118</v>
      </c>
      <c r="P2" s="2" t="s">
        <v>119</v>
      </c>
      <c r="Q2" s="3" t="s">
        <v>115</v>
      </c>
      <c r="R2" s="3" t="s">
        <v>116</v>
      </c>
      <c r="S2" s="3" t="s">
        <v>117</v>
      </c>
      <c r="T2" s="3" t="s">
        <v>118</v>
      </c>
      <c r="U2" s="3" t="s">
        <v>119</v>
      </c>
      <c r="V2" s="2" t="s">
        <v>115</v>
      </c>
      <c r="W2" s="2" t="s">
        <v>116</v>
      </c>
      <c r="X2" s="2" t="s">
        <v>117</v>
      </c>
      <c r="Y2" s="2" t="s">
        <v>118</v>
      </c>
      <c r="Z2" s="2" t="s">
        <v>119</v>
      </c>
    </row>
    <row r="3" spans="1:26" s="1" customFormat="1">
      <c r="B3" s="2">
        <v>29</v>
      </c>
      <c r="C3" s="2">
        <v>30</v>
      </c>
      <c r="D3" s="2">
        <v>31</v>
      </c>
      <c r="E3" s="2">
        <v>1</v>
      </c>
      <c r="F3" s="2">
        <v>2</v>
      </c>
      <c r="G3" s="3">
        <v>5</v>
      </c>
      <c r="H3" s="3">
        <v>6</v>
      </c>
      <c r="I3" s="3">
        <v>7</v>
      </c>
      <c r="J3" s="3">
        <v>8</v>
      </c>
      <c r="K3" s="3">
        <v>9</v>
      </c>
      <c r="L3" s="2">
        <v>12</v>
      </c>
      <c r="M3" s="2">
        <v>13</v>
      </c>
      <c r="N3" s="2">
        <v>14</v>
      </c>
      <c r="O3" s="2">
        <v>15</v>
      </c>
      <c r="P3" s="2">
        <v>16</v>
      </c>
      <c r="Q3" s="3">
        <v>19</v>
      </c>
      <c r="R3" s="3">
        <v>20</v>
      </c>
      <c r="S3" s="3">
        <v>21</v>
      </c>
      <c r="T3" s="3">
        <v>22</v>
      </c>
      <c r="U3" s="3">
        <v>23</v>
      </c>
      <c r="V3" s="2">
        <v>26</v>
      </c>
      <c r="W3" s="2">
        <v>27</v>
      </c>
      <c r="X3" s="2">
        <v>28</v>
      </c>
      <c r="Y3" s="2">
        <v>29</v>
      </c>
      <c r="Z3" s="2">
        <v>30</v>
      </c>
    </row>
    <row r="4" spans="1:26" s="1" customFormat="1">
      <c r="B4" s="202" t="s">
        <v>123</v>
      </c>
      <c r="C4" s="202"/>
      <c r="D4" s="202"/>
      <c r="E4" s="205" t="s">
        <v>124</v>
      </c>
      <c r="F4" s="206"/>
      <c r="G4" s="206"/>
      <c r="H4" s="206"/>
      <c r="I4" s="206"/>
      <c r="J4" s="206"/>
      <c r="K4" s="206"/>
      <c r="L4" s="206"/>
      <c r="M4" s="206"/>
      <c r="N4" s="206"/>
      <c r="O4" s="206"/>
      <c r="P4" s="206"/>
      <c r="Q4" s="206"/>
      <c r="R4" s="206"/>
      <c r="S4" s="206"/>
      <c r="T4" s="206"/>
      <c r="U4" s="206"/>
      <c r="V4" s="206"/>
      <c r="W4" s="206"/>
      <c r="X4" s="206"/>
      <c r="Y4" s="206"/>
      <c r="Z4" s="236"/>
    </row>
    <row r="5" spans="1:26" ht="33" customHeight="1">
      <c r="A5" s="227" t="s">
        <v>312</v>
      </c>
      <c r="B5" s="231" t="s">
        <v>125</v>
      </c>
      <c r="C5" s="97" t="s">
        <v>83</v>
      </c>
      <c r="D5" s="97" t="s">
        <v>83</v>
      </c>
      <c r="E5" s="97" t="s">
        <v>90</v>
      </c>
      <c r="F5" s="98" t="s">
        <v>83</v>
      </c>
      <c r="G5" s="99" t="s">
        <v>313</v>
      </c>
      <c r="H5" s="97" t="s">
        <v>313</v>
      </c>
      <c r="I5" s="97" t="s">
        <v>313</v>
      </c>
      <c r="J5" s="97" t="s">
        <v>313</v>
      </c>
      <c r="K5" s="100" t="s">
        <v>313</v>
      </c>
      <c r="L5" s="124" t="s">
        <v>63</v>
      </c>
      <c r="M5" s="125" t="s">
        <v>63</v>
      </c>
      <c r="N5" s="125" t="s">
        <v>63</v>
      </c>
      <c r="O5" s="125" t="s">
        <v>63</v>
      </c>
      <c r="P5" s="126" t="s">
        <v>90</v>
      </c>
      <c r="Q5" s="237" t="s">
        <v>135</v>
      </c>
      <c r="R5" s="98" t="s">
        <v>63</v>
      </c>
      <c r="S5" s="98" t="s">
        <v>63</v>
      </c>
      <c r="T5" s="98" t="s">
        <v>90</v>
      </c>
      <c r="U5" s="100" t="s">
        <v>313</v>
      </c>
      <c r="V5" s="62" t="s">
        <v>63</v>
      </c>
      <c r="W5" s="60" t="s">
        <v>63</v>
      </c>
      <c r="X5" s="60" t="s">
        <v>63</v>
      </c>
      <c r="Y5" s="60" t="s">
        <v>63</v>
      </c>
      <c r="Z5" s="60" t="s">
        <v>63</v>
      </c>
    </row>
    <row r="6" spans="1:26" ht="33" customHeight="1">
      <c r="A6" s="228"/>
      <c r="B6" s="221"/>
      <c r="C6" s="97" t="s">
        <v>69</v>
      </c>
      <c r="D6" s="97" t="s">
        <v>69</v>
      </c>
      <c r="E6" s="97" t="s">
        <v>69</v>
      </c>
      <c r="F6" s="98" t="s">
        <v>69</v>
      </c>
      <c r="G6" s="99" t="s">
        <v>37</v>
      </c>
      <c r="H6" s="97" t="s">
        <v>37</v>
      </c>
      <c r="I6" s="97" t="s">
        <v>37</v>
      </c>
      <c r="J6" s="97" t="s">
        <v>37</v>
      </c>
      <c r="K6" s="100" t="s">
        <v>37</v>
      </c>
      <c r="L6" s="124" t="s">
        <v>90</v>
      </c>
      <c r="M6" s="125" t="s">
        <v>313</v>
      </c>
      <c r="N6" s="125" t="s">
        <v>314</v>
      </c>
      <c r="O6" s="125" t="s">
        <v>314</v>
      </c>
      <c r="P6" s="126"/>
      <c r="Q6" s="238"/>
      <c r="R6" s="98" t="s">
        <v>313</v>
      </c>
      <c r="S6" s="98" t="s">
        <v>69</v>
      </c>
      <c r="T6" s="98" t="s">
        <v>313</v>
      </c>
      <c r="U6" s="100" t="s">
        <v>90</v>
      </c>
      <c r="V6" s="62" t="s">
        <v>83</v>
      </c>
      <c r="W6" s="60" t="s">
        <v>313</v>
      </c>
      <c r="X6" s="60" t="s">
        <v>90</v>
      </c>
      <c r="Y6" s="60" t="s">
        <v>313</v>
      </c>
      <c r="Z6" s="60" t="s">
        <v>313</v>
      </c>
    </row>
    <row r="7" spans="1:26" ht="33" customHeight="1">
      <c r="A7" s="228"/>
      <c r="B7" s="221"/>
      <c r="C7" s="97" t="s">
        <v>90</v>
      </c>
      <c r="D7" s="97" t="s">
        <v>90</v>
      </c>
      <c r="E7" s="97"/>
      <c r="F7" s="98" t="s">
        <v>90</v>
      </c>
      <c r="G7" s="99" t="s">
        <v>90</v>
      </c>
      <c r="H7" s="97" t="s">
        <v>90</v>
      </c>
      <c r="I7" s="97" t="s">
        <v>90</v>
      </c>
      <c r="J7" s="97" t="s">
        <v>90</v>
      </c>
      <c r="K7" s="100" t="s">
        <v>90</v>
      </c>
      <c r="L7" s="124"/>
      <c r="M7" s="125" t="s">
        <v>69</v>
      </c>
      <c r="N7" s="125" t="s">
        <v>69</v>
      </c>
      <c r="O7" s="125" t="s">
        <v>69</v>
      </c>
      <c r="P7" s="126"/>
      <c r="Q7" s="238"/>
      <c r="R7" s="98" t="s">
        <v>90</v>
      </c>
      <c r="S7" s="98" t="s">
        <v>90</v>
      </c>
      <c r="T7" s="98"/>
      <c r="U7" s="100"/>
      <c r="V7" s="62" t="s">
        <v>90</v>
      </c>
      <c r="W7" s="60" t="s">
        <v>90</v>
      </c>
      <c r="X7" s="60"/>
      <c r="Y7" s="60" t="s">
        <v>90</v>
      </c>
      <c r="Z7" s="60" t="s">
        <v>83</v>
      </c>
    </row>
    <row r="8" spans="1:26" ht="33" customHeight="1">
      <c r="A8" s="229" t="s">
        <v>315</v>
      </c>
      <c r="B8" s="221"/>
      <c r="C8" s="101" t="s">
        <v>25</v>
      </c>
      <c r="D8" s="101" t="s">
        <v>25</v>
      </c>
      <c r="E8" s="101" t="s">
        <v>83</v>
      </c>
      <c r="F8" s="102" t="s">
        <v>83</v>
      </c>
      <c r="G8" s="103" t="s">
        <v>69</v>
      </c>
      <c r="H8" s="101" t="s">
        <v>46</v>
      </c>
      <c r="I8" s="101" t="s">
        <v>78</v>
      </c>
      <c r="J8" s="101" t="s">
        <v>83</v>
      </c>
      <c r="K8" s="104" t="s">
        <v>83</v>
      </c>
      <c r="L8" s="127" t="s">
        <v>83</v>
      </c>
      <c r="M8" s="128" t="s">
        <v>83</v>
      </c>
      <c r="N8" s="128" t="s">
        <v>83</v>
      </c>
      <c r="O8" s="128" t="s">
        <v>83</v>
      </c>
      <c r="P8" s="128" t="s">
        <v>83</v>
      </c>
      <c r="Q8" s="238"/>
      <c r="R8" s="102" t="s">
        <v>103</v>
      </c>
      <c r="S8" s="102" t="s">
        <v>25</v>
      </c>
      <c r="T8" s="102" t="s">
        <v>25</v>
      </c>
      <c r="U8" s="104" t="s">
        <v>83</v>
      </c>
      <c r="V8" s="63" t="s">
        <v>83</v>
      </c>
      <c r="W8" s="61" t="s">
        <v>83</v>
      </c>
      <c r="X8" s="61" t="s">
        <v>83</v>
      </c>
      <c r="Y8" s="61" t="s">
        <v>83</v>
      </c>
      <c r="Z8" s="61" t="s">
        <v>83</v>
      </c>
    </row>
    <row r="9" spans="1:26" ht="33" customHeight="1">
      <c r="A9" s="229"/>
      <c r="B9" s="221"/>
      <c r="C9" s="101" t="s">
        <v>83</v>
      </c>
      <c r="D9" s="101" t="s">
        <v>83</v>
      </c>
      <c r="E9" s="101" t="s">
        <v>90</v>
      </c>
      <c r="F9" s="102" t="s">
        <v>90</v>
      </c>
      <c r="G9" s="103" t="s">
        <v>78</v>
      </c>
      <c r="H9" s="101" t="s">
        <v>25</v>
      </c>
      <c r="I9" s="101" t="s">
        <v>25</v>
      </c>
      <c r="J9" s="101"/>
      <c r="K9" s="104"/>
      <c r="L9" s="127" t="s">
        <v>90</v>
      </c>
      <c r="M9" s="128" t="s">
        <v>25</v>
      </c>
      <c r="N9" s="128" t="s">
        <v>25</v>
      </c>
      <c r="O9" s="128" t="s">
        <v>103</v>
      </c>
      <c r="P9" s="129" t="s">
        <v>103</v>
      </c>
      <c r="Q9" s="238"/>
      <c r="R9" s="102" t="s">
        <v>90</v>
      </c>
      <c r="S9" s="102" t="s">
        <v>83</v>
      </c>
      <c r="T9" s="102" t="s">
        <v>63</v>
      </c>
      <c r="U9" s="104" t="s">
        <v>90</v>
      </c>
      <c r="V9" s="63" t="s">
        <v>90</v>
      </c>
      <c r="W9" s="61" t="s">
        <v>90</v>
      </c>
      <c r="X9" s="61" t="s">
        <v>90</v>
      </c>
      <c r="Y9" s="61" t="s">
        <v>90</v>
      </c>
      <c r="Z9" s="61" t="s">
        <v>90</v>
      </c>
    </row>
    <row r="10" spans="1:26" ht="33" customHeight="1">
      <c r="A10" s="230"/>
      <c r="B10" s="232"/>
      <c r="C10" s="101" t="s">
        <v>90</v>
      </c>
      <c r="D10" s="101" t="s">
        <v>90</v>
      </c>
      <c r="E10" s="101" t="s">
        <v>78</v>
      </c>
      <c r="F10" s="102" t="s">
        <v>78</v>
      </c>
      <c r="G10" s="103"/>
      <c r="H10" s="101" t="s">
        <v>69</v>
      </c>
      <c r="I10" s="101" t="s">
        <v>83</v>
      </c>
      <c r="J10" s="101"/>
      <c r="K10" s="104"/>
      <c r="L10" s="127"/>
      <c r="M10" s="128" t="s">
        <v>90</v>
      </c>
      <c r="N10" s="128" t="s">
        <v>90</v>
      </c>
      <c r="O10" s="128" t="s">
        <v>25</v>
      </c>
      <c r="P10" s="129" t="s">
        <v>90</v>
      </c>
      <c r="Q10" s="239"/>
      <c r="R10" s="102"/>
      <c r="S10" s="102" t="s">
        <v>90</v>
      </c>
      <c r="T10" s="102" t="s">
        <v>90</v>
      </c>
      <c r="U10" s="104"/>
      <c r="V10" s="63"/>
      <c r="W10" s="61"/>
      <c r="X10" s="61"/>
      <c r="Y10" s="61"/>
      <c r="Z10" s="61"/>
    </row>
    <row r="11" spans="1:26">
      <c r="R11" s="1" t="s">
        <v>216</v>
      </c>
    </row>
    <row r="12" spans="1:26">
      <c r="B12" s="3" t="s">
        <v>115</v>
      </c>
      <c r="C12" s="3" t="s">
        <v>116</v>
      </c>
      <c r="D12" s="3" t="s">
        <v>117</v>
      </c>
      <c r="E12" s="3" t="s">
        <v>118</v>
      </c>
      <c r="F12" s="3" t="s">
        <v>119</v>
      </c>
      <c r="G12" s="2" t="s">
        <v>115</v>
      </c>
      <c r="H12" s="2" t="s">
        <v>116</v>
      </c>
      <c r="I12" s="2" t="s">
        <v>117</v>
      </c>
      <c r="J12" s="2" t="s">
        <v>118</v>
      </c>
      <c r="K12" s="2" t="s">
        <v>119</v>
      </c>
      <c r="L12" s="3" t="s">
        <v>115</v>
      </c>
      <c r="M12" s="3" t="s">
        <v>116</v>
      </c>
      <c r="N12" s="3" t="s">
        <v>117</v>
      </c>
      <c r="O12" s="3" t="s">
        <v>118</v>
      </c>
      <c r="P12" s="3" t="s">
        <v>119</v>
      </c>
      <c r="Q12" s="2" t="s">
        <v>115</v>
      </c>
      <c r="R12" s="2" t="s">
        <v>116</v>
      </c>
      <c r="S12" s="2" t="s">
        <v>117</v>
      </c>
      <c r="T12" s="2" t="s">
        <v>118</v>
      </c>
      <c r="U12" s="2" t="s">
        <v>119</v>
      </c>
      <c r="V12" s="3" t="s">
        <v>115</v>
      </c>
      <c r="W12" s="3" t="s">
        <v>116</v>
      </c>
      <c r="X12" s="3" t="s">
        <v>117</v>
      </c>
      <c r="Y12" s="3" t="s">
        <v>118</v>
      </c>
      <c r="Z12" s="3" t="s">
        <v>119</v>
      </c>
    </row>
    <row r="13" spans="1:26">
      <c r="B13" s="3">
        <v>3</v>
      </c>
      <c r="C13" s="3">
        <v>4</v>
      </c>
      <c r="D13" s="3">
        <v>5</v>
      </c>
      <c r="E13" s="3">
        <v>6</v>
      </c>
      <c r="F13" s="3">
        <v>7</v>
      </c>
      <c r="G13" s="2">
        <v>10</v>
      </c>
      <c r="H13" s="2">
        <v>11</v>
      </c>
      <c r="I13" s="2">
        <v>12</v>
      </c>
      <c r="J13" s="2">
        <v>13</v>
      </c>
      <c r="K13" s="2">
        <v>14</v>
      </c>
      <c r="L13" s="3">
        <v>17</v>
      </c>
      <c r="M13" s="3">
        <v>18</v>
      </c>
      <c r="N13" s="3">
        <v>19</v>
      </c>
      <c r="O13" s="3">
        <v>20</v>
      </c>
      <c r="P13" s="3">
        <v>21</v>
      </c>
      <c r="Q13" s="2">
        <v>24</v>
      </c>
      <c r="R13" s="2">
        <v>25</v>
      </c>
      <c r="S13" s="2">
        <v>26</v>
      </c>
      <c r="T13" s="2">
        <v>27</v>
      </c>
      <c r="U13" s="2">
        <v>28</v>
      </c>
      <c r="V13" s="3">
        <v>31</v>
      </c>
      <c r="W13" s="3">
        <v>1</v>
      </c>
      <c r="X13" s="3">
        <v>2</v>
      </c>
      <c r="Y13" s="3">
        <v>3</v>
      </c>
      <c r="Z13" s="3">
        <v>4</v>
      </c>
    </row>
    <row r="14" spans="1:26" ht="16.2" customHeight="1">
      <c r="B14" s="187" t="s">
        <v>218</v>
      </c>
      <c r="C14" s="187"/>
      <c r="D14" s="187"/>
      <c r="E14" s="187"/>
      <c r="F14" s="187"/>
      <c r="G14" s="187"/>
      <c r="H14" s="187"/>
      <c r="I14" s="187"/>
      <c r="J14" s="187"/>
      <c r="K14" s="187"/>
      <c r="L14" s="187"/>
      <c r="M14" s="187"/>
      <c r="N14" s="187"/>
      <c r="O14" s="187"/>
      <c r="P14" s="187"/>
      <c r="Q14" s="187"/>
      <c r="R14" s="187"/>
      <c r="S14" s="187"/>
      <c r="T14" s="187"/>
      <c r="U14" s="187"/>
      <c r="V14" s="210"/>
      <c r="W14" s="205" t="s">
        <v>252</v>
      </c>
      <c r="X14" s="206"/>
      <c r="Y14" s="206"/>
      <c r="Z14" s="236"/>
    </row>
    <row r="15" spans="1:26" ht="30.45" customHeight="1">
      <c r="A15" s="227" t="s">
        <v>312</v>
      </c>
      <c r="B15" s="233" t="s">
        <v>316</v>
      </c>
      <c r="C15" s="231" t="s">
        <v>317</v>
      </c>
      <c r="D15" s="146" t="s">
        <v>90</v>
      </c>
      <c r="E15" s="146" t="s">
        <v>90</v>
      </c>
      <c r="F15" s="146" t="s">
        <v>90</v>
      </c>
      <c r="G15" s="147" t="s">
        <v>63</v>
      </c>
      <c r="H15" s="148" t="s">
        <v>63</v>
      </c>
      <c r="I15" s="148" t="s">
        <v>63</v>
      </c>
      <c r="J15" s="148" t="s">
        <v>63</v>
      </c>
      <c r="K15" s="149" t="s">
        <v>63</v>
      </c>
      <c r="L15" s="165" t="s">
        <v>90</v>
      </c>
      <c r="M15" s="148" t="s">
        <v>63</v>
      </c>
      <c r="N15" s="148" t="s">
        <v>90</v>
      </c>
      <c r="O15" s="148" t="s">
        <v>90</v>
      </c>
      <c r="P15" s="146" t="s">
        <v>90</v>
      </c>
      <c r="Q15" s="167" t="s">
        <v>318</v>
      </c>
      <c r="R15" s="148" t="s">
        <v>63</v>
      </c>
      <c r="S15" s="148" t="s">
        <v>318</v>
      </c>
      <c r="T15" s="148" t="s">
        <v>318</v>
      </c>
      <c r="U15" s="149" t="s">
        <v>63</v>
      </c>
      <c r="V15" s="62" t="s">
        <v>90</v>
      </c>
      <c r="W15" s="31" t="s">
        <v>90</v>
      </c>
      <c r="X15" s="31" t="s">
        <v>90</v>
      </c>
      <c r="Y15" s="31" t="s">
        <v>90</v>
      </c>
      <c r="Z15" s="31" t="s">
        <v>90</v>
      </c>
    </row>
    <row r="16" spans="1:26" ht="30.45" customHeight="1">
      <c r="A16" s="228"/>
      <c r="B16" s="234"/>
      <c r="C16" s="221"/>
      <c r="D16" s="146" t="s">
        <v>103</v>
      </c>
      <c r="E16" s="146" t="s">
        <v>313</v>
      </c>
      <c r="F16" s="146" t="s">
        <v>313</v>
      </c>
      <c r="G16" s="147" t="s">
        <v>90</v>
      </c>
      <c r="H16" s="148" t="s">
        <v>83</v>
      </c>
      <c r="I16" s="148" t="s">
        <v>90</v>
      </c>
      <c r="J16" s="148" t="s">
        <v>313</v>
      </c>
      <c r="K16" s="149" t="s">
        <v>313</v>
      </c>
      <c r="L16" s="165"/>
      <c r="M16" s="148" t="s">
        <v>90</v>
      </c>
      <c r="N16" s="148"/>
      <c r="O16" s="148" t="s">
        <v>314</v>
      </c>
      <c r="P16" s="146"/>
      <c r="Q16" s="167" t="s">
        <v>90</v>
      </c>
      <c r="R16" s="148" t="s">
        <v>90</v>
      </c>
      <c r="S16" s="148" t="s">
        <v>90</v>
      </c>
      <c r="T16" s="148" t="s">
        <v>90</v>
      </c>
      <c r="U16" s="149" t="s">
        <v>90</v>
      </c>
      <c r="V16" s="62"/>
      <c r="W16" s="31" t="s">
        <v>313</v>
      </c>
      <c r="X16" s="31"/>
      <c r="Y16" s="31" t="s">
        <v>83</v>
      </c>
      <c r="Z16" s="31" t="s">
        <v>83</v>
      </c>
    </row>
    <row r="17" spans="1:26" ht="30.45" customHeight="1">
      <c r="A17" s="228"/>
      <c r="B17" s="234"/>
      <c r="C17" s="221"/>
      <c r="D17" s="146"/>
      <c r="E17" s="146"/>
      <c r="F17" s="146" t="s">
        <v>83</v>
      </c>
      <c r="G17" s="147" t="s">
        <v>83</v>
      </c>
      <c r="H17" s="148" t="s">
        <v>90</v>
      </c>
      <c r="I17" s="148"/>
      <c r="J17" s="148" t="s">
        <v>90</v>
      </c>
      <c r="K17" s="149" t="s">
        <v>90</v>
      </c>
      <c r="L17" s="165"/>
      <c r="M17" s="148"/>
      <c r="N17" s="148"/>
      <c r="O17" s="148"/>
      <c r="P17" s="146"/>
      <c r="Q17" s="167"/>
      <c r="R17" s="148"/>
      <c r="S17" s="148"/>
      <c r="T17" s="148"/>
      <c r="U17" s="149"/>
      <c r="V17" s="62"/>
      <c r="W17" s="31"/>
      <c r="X17" s="31"/>
      <c r="Y17" s="31"/>
      <c r="Z17" s="31"/>
    </row>
    <row r="18" spans="1:26" ht="30.45" customHeight="1">
      <c r="A18" s="229" t="s">
        <v>315</v>
      </c>
      <c r="B18" s="234"/>
      <c r="C18" s="221"/>
      <c r="D18" s="150" t="s">
        <v>90</v>
      </c>
      <c r="E18" s="150" t="s">
        <v>90</v>
      </c>
      <c r="F18" s="150" t="s">
        <v>90</v>
      </c>
      <c r="G18" s="151" t="s">
        <v>90</v>
      </c>
      <c r="H18" s="152" t="s">
        <v>83</v>
      </c>
      <c r="I18" s="152" t="s">
        <v>90</v>
      </c>
      <c r="J18" s="152" t="s">
        <v>90</v>
      </c>
      <c r="K18" s="153" t="s">
        <v>90</v>
      </c>
      <c r="L18" s="166" t="s">
        <v>90</v>
      </c>
      <c r="M18" s="152" t="s">
        <v>90</v>
      </c>
      <c r="N18" s="152" t="s">
        <v>90</v>
      </c>
      <c r="O18" s="152" t="s">
        <v>90</v>
      </c>
      <c r="P18" s="150" t="s">
        <v>90</v>
      </c>
      <c r="Q18" s="168" t="s">
        <v>90</v>
      </c>
      <c r="R18" s="152" t="s">
        <v>90</v>
      </c>
      <c r="S18" s="152" t="s">
        <v>90</v>
      </c>
      <c r="T18" s="152" t="s">
        <v>90</v>
      </c>
      <c r="U18" s="153" t="s">
        <v>90</v>
      </c>
      <c r="V18" s="63" t="s">
        <v>90</v>
      </c>
      <c r="W18" s="32" t="s">
        <v>90</v>
      </c>
      <c r="X18" s="32" t="s">
        <v>90</v>
      </c>
      <c r="Y18" s="32" t="s">
        <v>90</v>
      </c>
      <c r="Z18" s="32" t="s">
        <v>90</v>
      </c>
    </row>
    <row r="19" spans="1:26" ht="30.45" customHeight="1">
      <c r="A19" s="229"/>
      <c r="B19" s="234"/>
      <c r="C19" s="221"/>
      <c r="D19" s="150" t="s">
        <v>83</v>
      </c>
      <c r="E19" s="150" t="s">
        <v>83</v>
      </c>
      <c r="F19" s="150" t="s">
        <v>83</v>
      </c>
      <c r="G19" s="151" t="s">
        <v>83</v>
      </c>
      <c r="H19" s="152" t="s">
        <v>90</v>
      </c>
      <c r="I19" s="152" t="s">
        <v>83</v>
      </c>
      <c r="J19" s="152" t="s">
        <v>83</v>
      </c>
      <c r="K19" s="153" t="s">
        <v>83</v>
      </c>
      <c r="L19" s="166" t="s">
        <v>83</v>
      </c>
      <c r="M19" s="152" t="s">
        <v>83</v>
      </c>
      <c r="N19" s="152" t="s">
        <v>83</v>
      </c>
      <c r="O19" s="152" t="s">
        <v>83</v>
      </c>
      <c r="P19" s="150" t="s">
        <v>83</v>
      </c>
      <c r="Q19" s="168" t="s">
        <v>83</v>
      </c>
      <c r="R19" s="152" t="s">
        <v>83</v>
      </c>
      <c r="S19" s="152" t="s">
        <v>83</v>
      </c>
      <c r="T19" s="152" t="s">
        <v>83</v>
      </c>
      <c r="U19" s="153" t="s">
        <v>83</v>
      </c>
      <c r="V19" s="63" t="s">
        <v>83</v>
      </c>
      <c r="W19" s="32" t="s">
        <v>83</v>
      </c>
      <c r="X19" s="32" t="s">
        <v>83</v>
      </c>
      <c r="Y19" s="32" t="s">
        <v>83</v>
      </c>
      <c r="Z19" s="32" t="s">
        <v>83</v>
      </c>
    </row>
    <row r="20" spans="1:26" ht="30.45" customHeight="1">
      <c r="A20" s="230"/>
      <c r="B20" s="235"/>
      <c r="C20" s="232"/>
      <c r="D20" s="150"/>
      <c r="E20" s="150"/>
      <c r="F20" s="150"/>
      <c r="G20" s="151"/>
      <c r="H20" s="152"/>
      <c r="I20" s="152"/>
      <c r="J20" s="152" t="s">
        <v>103</v>
      </c>
      <c r="K20" s="153" t="s">
        <v>103</v>
      </c>
      <c r="L20" s="166"/>
      <c r="M20" s="152"/>
      <c r="N20" s="152"/>
      <c r="O20" s="152"/>
      <c r="P20" s="150"/>
      <c r="Q20" s="168"/>
      <c r="R20" s="152"/>
      <c r="S20" s="152"/>
      <c r="T20" s="152"/>
      <c r="U20" s="153"/>
      <c r="V20" s="63"/>
      <c r="W20" s="32"/>
      <c r="X20" s="32"/>
      <c r="Y20" s="32"/>
      <c r="Z20" s="32"/>
    </row>
    <row r="22" spans="1:26">
      <c r="B22" s="12" t="s">
        <v>90</v>
      </c>
      <c r="C22" s="12" t="s">
        <v>83</v>
      </c>
      <c r="D22" s="12" t="s">
        <v>99</v>
      </c>
      <c r="E22" s="12" t="s">
        <v>101</v>
      </c>
      <c r="F22" s="12" t="s">
        <v>63</v>
      </c>
      <c r="G22" s="12" t="s">
        <v>103</v>
      </c>
      <c r="H22" s="12" t="s">
        <v>25</v>
      </c>
      <c r="I22" s="12" t="s">
        <v>78</v>
      </c>
      <c r="J22" s="12" t="s">
        <v>69</v>
      </c>
      <c r="K22" s="12" t="s">
        <v>46</v>
      </c>
      <c r="L22" s="12" t="s">
        <v>319</v>
      </c>
      <c r="M22" s="12" t="s">
        <v>55</v>
      </c>
      <c r="N22" s="12" t="s">
        <v>320</v>
      </c>
      <c r="O22" s="12" t="s">
        <v>37</v>
      </c>
    </row>
    <row r="23" spans="1:26">
      <c r="B23" s="1">
        <f>COUNTIF($B$5:$Z$20,B22)</f>
        <v>82</v>
      </c>
      <c r="C23" s="1">
        <f t="shared" ref="C23:O23" si="0">COUNTIF($B$5:$Z$20,C22)</f>
        <v>52</v>
      </c>
      <c r="D23" s="1">
        <f t="shared" si="0"/>
        <v>0</v>
      </c>
      <c r="E23" s="1">
        <f t="shared" si="0"/>
        <v>0</v>
      </c>
      <c r="F23" s="1">
        <f t="shared" si="0"/>
        <v>20</v>
      </c>
      <c r="G23" s="1">
        <f t="shared" si="0"/>
        <v>6</v>
      </c>
      <c r="H23" s="1">
        <f t="shared" si="0"/>
        <v>9</v>
      </c>
      <c r="I23" s="1">
        <f t="shared" si="0"/>
        <v>4</v>
      </c>
      <c r="J23" s="1">
        <f t="shared" si="0"/>
        <v>10</v>
      </c>
      <c r="K23" s="1">
        <f t="shared" si="0"/>
        <v>1</v>
      </c>
      <c r="L23" s="1">
        <f t="shared" si="0"/>
        <v>0</v>
      </c>
      <c r="M23" s="1">
        <f t="shared" si="0"/>
        <v>0</v>
      </c>
      <c r="N23" s="1">
        <f t="shared" si="0"/>
        <v>0</v>
      </c>
      <c r="O23" s="1">
        <f t="shared" si="0"/>
        <v>5</v>
      </c>
    </row>
  </sheetData>
  <sortState xmlns:xlrd2="http://schemas.microsoft.com/office/spreadsheetml/2017/richdata2" ref="B22:O22">
    <sortCondition descending="1" ref="B22"/>
  </sortState>
  <mergeCells count="12">
    <mergeCell ref="W14:Z14"/>
    <mergeCell ref="E4:Z4"/>
    <mergeCell ref="B4:D4"/>
    <mergeCell ref="Q5:Q10"/>
    <mergeCell ref="B5:B10"/>
    <mergeCell ref="A5:A7"/>
    <mergeCell ref="A8:A10"/>
    <mergeCell ref="A15:A17"/>
    <mergeCell ref="A18:A20"/>
    <mergeCell ref="B14:V14"/>
    <mergeCell ref="C15:C20"/>
    <mergeCell ref="B15:B20"/>
  </mergeCells>
  <phoneticPr fontId="3"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200E-4648-4BDD-9EE7-5FE4B5D8DEDE}">
  <dimension ref="A1:W995"/>
  <sheetViews>
    <sheetView topLeftCell="C1" workbookViewId="0">
      <selection activeCell="C14" sqref="C14"/>
    </sheetView>
  </sheetViews>
  <sheetFormatPr defaultColWidth="8.69921875" defaultRowHeight="15.6"/>
  <cols>
    <col min="3" max="3" width="92.19921875" customWidth="1"/>
    <col min="4" max="4" width="16.69921875" customWidth="1"/>
    <col min="5" max="5" width="43.69921875" customWidth="1"/>
    <col min="6" max="6" width="13.69921875" customWidth="1"/>
    <col min="7" max="7" width="19.19921875" bestFit="1" customWidth="1"/>
    <col min="8" max="8" width="18.5" bestFit="1" customWidth="1"/>
    <col min="9" max="10" width="15.19921875" bestFit="1" customWidth="1"/>
  </cols>
  <sheetData>
    <row r="1" spans="1:23" ht="17.399999999999999">
      <c r="A1" s="107" t="s">
        <v>321</v>
      </c>
      <c r="B1" s="108"/>
      <c r="C1" s="108"/>
      <c r="D1" s="108"/>
      <c r="E1" s="108"/>
      <c r="F1" s="108"/>
      <c r="G1" s="108"/>
      <c r="H1" s="108"/>
      <c r="I1" s="108"/>
      <c r="J1" s="108"/>
      <c r="K1" s="108"/>
      <c r="L1" s="108"/>
      <c r="M1" s="108"/>
      <c r="N1" s="108"/>
      <c r="O1" s="108"/>
      <c r="P1" s="108"/>
      <c r="Q1" s="108"/>
      <c r="R1" s="108"/>
      <c r="S1" s="108"/>
      <c r="T1" s="108"/>
      <c r="U1" s="108"/>
      <c r="V1" s="108"/>
      <c r="W1" s="108"/>
    </row>
    <row r="2" spans="1:23" ht="17.399999999999999">
      <c r="A2" s="107" t="s">
        <v>322</v>
      </c>
      <c r="B2" s="108"/>
      <c r="C2" s="108"/>
      <c r="D2" s="108"/>
      <c r="E2" s="108"/>
      <c r="F2" s="108"/>
      <c r="G2" s="108"/>
      <c r="H2" s="108"/>
      <c r="I2" s="108"/>
      <c r="J2" s="108"/>
      <c r="K2" s="108"/>
      <c r="L2" s="108"/>
      <c r="M2" s="108"/>
      <c r="N2" s="108"/>
      <c r="O2" s="108"/>
      <c r="P2" s="108"/>
      <c r="Q2" s="108"/>
      <c r="R2" s="108"/>
      <c r="S2" s="108"/>
      <c r="T2" s="108"/>
      <c r="U2" s="108"/>
      <c r="V2" s="108"/>
      <c r="W2" s="108"/>
    </row>
    <row r="3" spans="1:23" s="111" customFormat="1" ht="18"/>
    <row r="4" spans="1:23" s="111" customFormat="1" ht="18.600000000000001" thickBot="1">
      <c r="A4" s="112" t="s">
        <v>323</v>
      </c>
      <c r="B4" s="112" t="s">
        <v>324</v>
      </c>
      <c r="C4" s="112" t="s">
        <v>325</v>
      </c>
      <c r="D4" s="112" t="s">
        <v>326</v>
      </c>
      <c r="E4" s="112" t="s">
        <v>327</v>
      </c>
      <c r="F4" s="112" t="s">
        <v>328</v>
      </c>
      <c r="G4" s="112" t="s">
        <v>329</v>
      </c>
      <c r="H4" s="112" t="s">
        <v>330</v>
      </c>
      <c r="I4" s="112" t="s">
        <v>331</v>
      </c>
      <c r="J4" s="112" t="s">
        <v>331</v>
      </c>
    </row>
    <row r="5" spans="1:23" s="116" customFormat="1" ht="18">
      <c r="A5" s="113"/>
      <c r="B5" s="114">
        <v>0.35416666666666669</v>
      </c>
      <c r="C5" s="115" t="s">
        <v>332</v>
      </c>
      <c r="D5" s="113"/>
      <c r="E5" s="113"/>
      <c r="F5" s="113"/>
      <c r="G5" s="113"/>
      <c r="H5" s="113"/>
      <c r="I5" s="113"/>
      <c r="J5" s="113"/>
    </row>
    <row r="6" spans="1:23" s="116" customFormat="1" ht="18">
      <c r="A6" s="113" t="s">
        <v>333</v>
      </c>
      <c r="B6" s="114">
        <v>0.36458333333333331</v>
      </c>
      <c r="C6" s="115" t="s">
        <v>334</v>
      </c>
      <c r="D6" s="113" t="s">
        <v>335</v>
      </c>
      <c r="E6" s="113" t="s">
        <v>336</v>
      </c>
      <c r="F6" s="113" t="s">
        <v>337</v>
      </c>
      <c r="G6" s="113" t="s">
        <v>338</v>
      </c>
      <c r="H6" s="113" t="s">
        <v>339</v>
      </c>
      <c r="I6" s="113" t="s">
        <v>340</v>
      </c>
      <c r="J6" s="113" t="s">
        <v>340</v>
      </c>
    </row>
    <row r="7" spans="1:23" s="116" customFormat="1" ht="18">
      <c r="A7" s="117" t="s">
        <v>341</v>
      </c>
      <c r="B7" s="118">
        <v>0.375</v>
      </c>
      <c r="C7" s="119" t="s">
        <v>342</v>
      </c>
      <c r="D7" s="120" t="s">
        <v>343</v>
      </c>
      <c r="E7" s="120" t="s">
        <v>291</v>
      </c>
      <c r="F7" s="120"/>
      <c r="G7" s="120" t="s">
        <v>344</v>
      </c>
      <c r="H7" s="120"/>
      <c r="I7" s="120"/>
      <c r="J7" s="120"/>
    </row>
    <row r="8" spans="1:23" s="116" customFormat="1" ht="18">
      <c r="A8" s="113" t="s">
        <v>333</v>
      </c>
      <c r="B8" s="114">
        <v>0.38541666666666669</v>
      </c>
      <c r="C8" s="115" t="s">
        <v>345</v>
      </c>
      <c r="D8" s="113" t="s">
        <v>335</v>
      </c>
      <c r="E8" s="113" t="s">
        <v>346</v>
      </c>
      <c r="F8" s="113"/>
      <c r="G8" s="113" t="s">
        <v>347</v>
      </c>
      <c r="H8" s="113" t="s">
        <v>348</v>
      </c>
      <c r="I8" s="113" t="s">
        <v>349</v>
      </c>
      <c r="J8" s="113" t="s">
        <v>349</v>
      </c>
    </row>
    <row r="9" spans="1:23" s="116" customFormat="1" ht="18">
      <c r="A9" s="117" t="s">
        <v>341</v>
      </c>
      <c r="B9" s="118">
        <v>0.39583333333333331</v>
      </c>
      <c r="C9" s="119" t="s">
        <v>350</v>
      </c>
      <c r="D9" s="120" t="s">
        <v>351</v>
      </c>
      <c r="E9" s="120"/>
      <c r="F9" s="120"/>
      <c r="G9" s="120" t="s">
        <v>352</v>
      </c>
      <c r="H9" s="120" t="s">
        <v>353</v>
      </c>
      <c r="I9" s="120"/>
      <c r="J9" s="120"/>
    </row>
    <row r="10" spans="1:23" s="116" customFormat="1" ht="18">
      <c r="A10" s="113" t="s">
        <v>333</v>
      </c>
      <c r="B10" s="114">
        <v>0.40625</v>
      </c>
      <c r="C10" s="115" t="s">
        <v>354</v>
      </c>
      <c r="D10" s="113" t="s">
        <v>355</v>
      </c>
      <c r="E10" s="113" t="s">
        <v>356</v>
      </c>
      <c r="F10" s="113"/>
      <c r="G10" s="113" t="s">
        <v>357</v>
      </c>
      <c r="H10" s="113" t="s">
        <v>358</v>
      </c>
      <c r="I10" s="113"/>
      <c r="J10" s="113"/>
    </row>
    <row r="11" spans="1:23" s="116" customFormat="1" ht="18">
      <c r="A11" s="121" t="s">
        <v>359</v>
      </c>
      <c r="B11" s="122">
        <v>0.41666666666666669</v>
      </c>
      <c r="C11" s="123" t="s">
        <v>359</v>
      </c>
      <c r="D11" s="121" t="s">
        <v>359</v>
      </c>
      <c r="E11" s="121" t="s">
        <v>359</v>
      </c>
      <c r="F11" s="121" t="s">
        <v>359</v>
      </c>
      <c r="G11" s="121" t="s">
        <v>359</v>
      </c>
      <c r="H11" s="121" t="s">
        <v>359</v>
      </c>
      <c r="I11" s="121" t="s">
        <v>359</v>
      </c>
      <c r="J11" s="121" t="s">
        <v>359</v>
      </c>
    </row>
    <row r="12" spans="1:23" s="116" customFormat="1" ht="36">
      <c r="A12" s="117" t="s">
        <v>341</v>
      </c>
      <c r="B12" s="118">
        <v>0.42708333333333331</v>
      </c>
      <c r="C12" s="119" t="s">
        <v>360</v>
      </c>
      <c r="D12" s="120" t="s">
        <v>361</v>
      </c>
      <c r="E12" s="120" t="s">
        <v>362</v>
      </c>
      <c r="F12" s="120"/>
      <c r="G12" s="120" t="s">
        <v>363</v>
      </c>
      <c r="H12" s="120" t="s">
        <v>364</v>
      </c>
      <c r="I12" s="120"/>
      <c r="J12" s="120"/>
    </row>
    <row r="13" spans="1:23" s="116" customFormat="1" ht="36">
      <c r="A13" s="117" t="s">
        <v>341</v>
      </c>
      <c r="B13" s="118">
        <v>0.4375</v>
      </c>
      <c r="C13" s="119" t="s">
        <v>365</v>
      </c>
      <c r="D13" s="120" t="s">
        <v>366</v>
      </c>
      <c r="E13" s="120" t="s">
        <v>367</v>
      </c>
      <c r="F13" s="120"/>
      <c r="G13" s="120"/>
      <c r="H13" s="120" t="s">
        <v>368</v>
      </c>
      <c r="I13" s="120"/>
      <c r="J13" s="120"/>
    </row>
    <row r="14" spans="1:23" s="116" customFormat="1" ht="18">
      <c r="A14" s="117" t="s">
        <v>341</v>
      </c>
      <c r="B14" s="118">
        <v>0.44791666666666669</v>
      </c>
      <c r="C14" s="119" t="s">
        <v>369</v>
      </c>
      <c r="D14" s="120"/>
      <c r="E14" s="120"/>
      <c r="F14" s="120"/>
      <c r="G14" s="120"/>
      <c r="H14" s="120"/>
      <c r="I14" s="120"/>
      <c r="J14" s="120"/>
    </row>
    <row r="15" spans="1:23">
      <c r="A15" s="108"/>
      <c r="B15" s="108"/>
      <c r="C15" s="108"/>
      <c r="D15" s="109"/>
      <c r="E15" s="108"/>
      <c r="F15" s="108"/>
      <c r="G15" s="108"/>
      <c r="H15" s="108"/>
      <c r="I15" s="108"/>
      <c r="J15" s="108"/>
      <c r="K15" s="108"/>
      <c r="L15" s="108"/>
      <c r="M15" s="108"/>
      <c r="N15" s="108"/>
      <c r="O15" s="108"/>
      <c r="P15" s="108"/>
      <c r="Q15" s="108"/>
      <c r="R15" s="108"/>
      <c r="S15" s="108"/>
      <c r="T15" s="108"/>
      <c r="U15" s="108"/>
      <c r="V15" s="108"/>
      <c r="W15" s="108"/>
    </row>
    <row r="16" spans="1:23">
      <c r="A16" s="108"/>
      <c r="B16" s="108"/>
      <c r="C16" s="108"/>
      <c r="D16" s="108"/>
      <c r="E16" s="108"/>
      <c r="F16" s="108"/>
      <c r="G16" s="108"/>
      <c r="H16" s="108"/>
      <c r="I16" s="108"/>
      <c r="J16" s="108"/>
      <c r="K16" s="108"/>
      <c r="L16" s="108"/>
      <c r="M16" s="108"/>
      <c r="N16" s="108"/>
      <c r="O16" s="108"/>
      <c r="P16" s="108"/>
      <c r="Q16" s="108"/>
      <c r="R16" s="108"/>
      <c r="S16" s="108"/>
      <c r="T16" s="108"/>
      <c r="U16" s="108"/>
      <c r="V16" s="108"/>
      <c r="W16" s="108"/>
    </row>
    <row r="17" spans="1:23">
      <c r="A17" s="108"/>
      <c r="B17" s="108"/>
      <c r="C17" s="108"/>
      <c r="D17" s="109"/>
      <c r="E17" s="108"/>
      <c r="F17" s="108"/>
      <c r="G17" s="108"/>
      <c r="H17" s="108"/>
      <c r="I17" s="108"/>
      <c r="J17" s="108"/>
      <c r="K17" s="108"/>
      <c r="L17" s="108"/>
      <c r="M17" s="108"/>
      <c r="N17" s="108"/>
      <c r="O17" s="108"/>
      <c r="P17" s="108"/>
      <c r="Q17" s="108"/>
      <c r="R17" s="108"/>
      <c r="S17" s="108"/>
      <c r="T17" s="108"/>
      <c r="U17" s="108"/>
      <c r="V17" s="108"/>
      <c r="W17" s="108"/>
    </row>
    <row r="18" spans="1:23">
      <c r="A18" s="108"/>
      <c r="B18" s="108"/>
      <c r="C18" s="108"/>
      <c r="D18" s="109"/>
      <c r="E18" s="108"/>
      <c r="F18" s="108"/>
      <c r="G18" s="108"/>
      <c r="H18" s="108"/>
      <c r="I18" s="108"/>
      <c r="J18" s="108"/>
      <c r="K18" s="108"/>
      <c r="L18" s="108"/>
      <c r="M18" s="108"/>
      <c r="N18" s="108"/>
      <c r="O18" s="108"/>
      <c r="P18" s="108"/>
      <c r="Q18" s="108"/>
      <c r="R18" s="108"/>
      <c r="S18" s="108"/>
      <c r="T18" s="108"/>
      <c r="U18" s="108"/>
      <c r="V18" s="108"/>
      <c r="W18" s="108"/>
    </row>
    <row r="19" spans="1:23">
      <c r="A19" s="108"/>
      <c r="B19" s="108"/>
      <c r="C19" s="108"/>
      <c r="D19" s="109"/>
      <c r="E19" s="108"/>
      <c r="F19" s="108"/>
      <c r="G19" s="108"/>
      <c r="H19" s="108"/>
      <c r="I19" s="108"/>
      <c r="J19" s="108"/>
      <c r="K19" s="108"/>
      <c r="L19" s="108"/>
      <c r="M19" s="108"/>
      <c r="N19" s="108"/>
      <c r="O19" s="108"/>
      <c r="P19" s="108"/>
      <c r="Q19" s="108"/>
      <c r="R19" s="108"/>
      <c r="S19" s="108"/>
      <c r="T19" s="108"/>
      <c r="U19" s="108"/>
      <c r="V19" s="108"/>
      <c r="W19" s="108"/>
    </row>
    <row r="20" spans="1:23">
      <c r="A20" s="108"/>
      <c r="B20" s="108"/>
      <c r="C20" s="108"/>
      <c r="D20" s="109"/>
      <c r="E20" s="108"/>
      <c r="F20" s="108"/>
      <c r="G20" s="108"/>
      <c r="H20" s="108"/>
      <c r="I20" s="108"/>
      <c r="J20" s="108"/>
      <c r="K20" s="108"/>
      <c r="L20" s="108"/>
      <c r="M20" s="108"/>
      <c r="N20" s="108"/>
      <c r="O20" s="108"/>
      <c r="P20" s="108"/>
      <c r="Q20" s="108"/>
      <c r="R20" s="108"/>
      <c r="S20" s="108"/>
      <c r="T20" s="108"/>
      <c r="U20" s="108"/>
      <c r="V20" s="108"/>
      <c r="W20" s="108"/>
    </row>
    <row r="21" spans="1:23">
      <c r="A21" s="108"/>
      <c r="B21" s="108"/>
      <c r="C21" s="108"/>
      <c r="D21" s="108"/>
      <c r="E21" s="108"/>
      <c r="F21" s="108"/>
      <c r="G21" s="108"/>
      <c r="H21" s="108"/>
      <c r="I21" s="108"/>
      <c r="J21" s="108"/>
      <c r="K21" s="108"/>
      <c r="L21" s="108"/>
      <c r="M21" s="108"/>
      <c r="N21" s="108"/>
      <c r="O21" s="108"/>
      <c r="P21" s="108"/>
      <c r="Q21" s="108"/>
      <c r="R21" s="108"/>
      <c r="S21" s="108"/>
      <c r="T21" s="108"/>
      <c r="U21" s="108"/>
      <c r="V21" s="108"/>
      <c r="W21" s="108"/>
    </row>
    <row r="22" spans="1:23">
      <c r="A22" s="108"/>
      <c r="B22" s="108"/>
      <c r="C22" s="108"/>
      <c r="D22" s="108"/>
      <c r="E22" s="108"/>
      <c r="F22" s="108"/>
      <c r="G22" s="108"/>
      <c r="H22" s="108"/>
      <c r="I22" s="108"/>
      <c r="J22" s="108"/>
      <c r="K22" s="108"/>
      <c r="L22" s="108"/>
      <c r="M22" s="108"/>
      <c r="N22" s="108"/>
      <c r="O22" s="108"/>
      <c r="P22" s="108"/>
      <c r="Q22" s="108"/>
      <c r="R22" s="108"/>
      <c r="S22" s="108"/>
      <c r="T22" s="108"/>
      <c r="U22" s="108"/>
      <c r="V22" s="108"/>
      <c r="W22" s="108"/>
    </row>
    <row r="23" spans="1:23">
      <c r="A23" s="108"/>
      <c r="B23" s="108"/>
      <c r="C23" s="108"/>
      <c r="D23" s="108"/>
      <c r="E23" s="108"/>
      <c r="F23" s="108"/>
      <c r="G23" s="108"/>
      <c r="H23" s="108"/>
      <c r="I23" s="108"/>
      <c r="J23" s="108"/>
      <c r="K23" s="108"/>
      <c r="L23" s="108"/>
      <c r="M23" s="108"/>
      <c r="N23" s="108"/>
      <c r="O23" s="108"/>
      <c r="P23" s="108"/>
      <c r="Q23" s="108"/>
      <c r="R23" s="108"/>
      <c r="S23" s="108"/>
      <c r="T23" s="108"/>
      <c r="U23" s="108"/>
      <c r="V23" s="108"/>
      <c r="W23" s="108"/>
    </row>
    <row r="24" spans="1:23">
      <c r="A24" s="108"/>
      <c r="B24" s="108"/>
      <c r="C24" s="108"/>
      <c r="D24" s="108"/>
      <c r="E24" s="108"/>
      <c r="F24" s="108"/>
      <c r="G24" s="108"/>
      <c r="H24" s="108"/>
      <c r="I24" s="108"/>
      <c r="J24" s="108"/>
      <c r="K24" s="108"/>
      <c r="L24" s="108"/>
      <c r="M24" s="108"/>
      <c r="N24" s="108"/>
      <c r="O24" s="108"/>
      <c r="P24" s="108"/>
      <c r="Q24" s="108"/>
      <c r="R24" s="108"/>
      <c r="S24" s="108"/>
      <c r="T24" s="108"/>
      <c r="U24" s="108"/>
      <c r="V24" s="108"/>
      <c r="W24" s="108"/>
    </row>
    <row r="25" spans="1:23">
      <c r="A25" s="108"/>
      <c r="B25" s="108"/>
      <c r="C25" s="108"/>
      <c r="D25" s="108"/>
      <c r="E25" s="108"/>
      <c r="F25" s="108"/>
      <c r="G25" s="108"/>
      <c r="H25" s="108"/>
      <c r="I25" s="110"/>
      <c r="J25" s="108"/>
      <c r="K25" s="108"/>
      <c r="L25" s="108"/>
      <c r="M25" s="108"/>
      <c r="N25" s="108"/>
      <c r="O25" s="108"/>
      <c r="P25" s="108"/>
      <c r="Q25" s="108"/>
      <c r="R25" s="108"/>
      <c r="S25" s="108"/>
      <c r="T25" s="108"/>
      <c r="U25" s="108"/>
      <c r="V25" s="108"/>
      <c r="W25" s="108"/>
    </row>
    <row r="26" spans="1:23">
      <c r="A26" s="108"/>
      <c r="B26" s="108"/>
      <c r="C26" s="108"/>
      <c r="D26" s="108"/>
      <c r="E26" s="108"/>
      <c r="F26" s="108"/>
      <c r="G26" s="108"/>
      <c r="H26" s="108"/>
      <c r="I26" s="108"/>
      <c r="J26" s="108"/>
      <c r="K26" s="108"/>
      <c r="L26" s="108"/>
      <c r="M26" s="108"/>
      <c r="N26" s="108"/>
      <c r="O26" s="108"/>
      <c r="P26" s="108"/>
      <c r="Q26" s="108"/>
      <c r="R26" s="108"/>
      <c r="S26" s="108"/>
      <c r="T26" s="108"/>
      <c r="U26" s="108"/>
      <c r="V26" s="108"/>
      <c r="W26" s="108"/>
    </row>
    <row r="27" spans="1:23">
      <c r="A27" s="108"/>
      <c r="B27" s="108"/>
      <c r="C27" s="108"/>
      <c r="D27" s="108"/>
      <c r="E27" s="108"/>
      <c r="F27" s="108"/>
      <c r="G27" s="108"/>
      <c r="H27" s="108"/>
      <c r="I27" s="108"/>
      <c r="J27" s="108"/>
      <c r="K27" s="108"/>
      <c r="L27" s="108"/>
      <c r="M27" s="108"/>
      <c r="N27" s="108"/>
      <c r="O27" s="108"/>
      <c r="P27" s="108"/>
      <c r="Q27" s="108"/>
      <c r="R27" s="108"/>
      <c r="S27" s="108"/>
      <c r="T27" s="108"/>
      <c r="U27" s="108"/>
      <c r="V27" s="108"/>
      <c r="W27" s="108"/>
    </row>
    <row r="28" spans="1:23">
      <c r="A28" s="108"/>
      <c r="B28" s="108"/>
      <c r="C28" s="108"/>
      <c r="D28" s="108"/>
      <c r="E28" s="108"/>
      <c r="F28" s="108"/>
      <c r="G28" s="108"/>
      <c r="H28" s="108"/>
      <c r="I28" s="108"/>
      <c r="J28" s="108"/>
      <c r="K28" s="108"/>
      <c r="L28" s="108"/>
      <c r="M28" s="108"/>
      <c r="N28" s="108"/>
      <c r="O28" s="108"/>
      <c r="P28" s="108"/>
      <c r="Q28" s="108"/>
      <c r="R28" s="108"/>
      <c r="S28" s="108"/>
      <c r="T28" s="108"/>
      <c r="U28" s="108"/>
      <c r="V28" s="108"/>
      <c r="W28" s="108"/>
    </row>
    <row r="29" spans="1:23">
      <c r="A29" s="108"/>
      <c r="B29" s="108"/>
      <c r="C29" s="108"/>
      <c r="D29" s="108"/>
      <c r="E29" s="108"/>
      <c r="F29" s="108"/>
      <c r="G29" s="108"/>
      <c r="H29" s="108"/>
      <c r="I29" s="108"/>
      <c r="J29" s="108"/>
      <c r="K29" s="108"/>
      <c r="L29" s="108"/>
      <c r="M29" s="108"/>
      <c r="N29" s="108"/>
      <c r="O29" s="108"/>
      <c r="P29" s="108"/>
      <c r="Q29" s="108"/>
      <c r="R29" s="108"/>
      <c r="S29" s="108"/>
      <c r="T29" s="108"/>
      <c r="U29" s="108"/>
      <c r="V29" s="108"/>
      <c r="W29" s="108"/>
    </row>
    <row r="30" spans="1:23">
      <c r="A30" s="108"/>
      <c r="B30" s="108"/>
      <c r="C30" s="108"/>
      <c r="D30" s="108"/>
      <c r="E30" s="108"/>
      <c r="F30" s="108"/>
      <c r="G30" s="108"/>
      <c r="H30" s="108"/>
      <c r="I30" s="108"/>
      <c r="J30" s="108"/>
      <c r="K30" s="108"/>
      <c r="L30" s="108"/>
      <c r="M30" s="108"/>
      <c r="N30" s="108"/>
      <c r="O30" s="108"/>
      <c r="P30" s="108"/>
      <c r="Q30" s="108"/>
      <c r="R30" s="108"/>
      <c r="S30" s="108"/>
      <c r="T30" s="108"/>
      <c r="U30" s="108"/>
      <c r="V30" s="108"/>
      <c r="W30" s="108"/>
    </row>
    <row r="31" spans="1:23">
      <c r="A31" s="108"/>
      <c r="B31" s="108"/>
      <c r="C31" s="108"/>
      <c r="D31" s="108"/>
      <c r="E31" s="108"/>
      <c r="F31" s="108"/>
      <c r="G31" s="108"/>
      <c r="H31" s="108"/>
      <c r="I31" s="108"/>
      <c r="J31" s="108"/>
      <c r="K31" s="108"/>
      <c r="L31" s="108"/>
      <c r="M31" s="108"/>
      <c r="N31" s="108"/>
      <c r="O31" s="108"/>
      <c r="P31" s="108"/>
      <c r="Q31" s="108"/>
      <c r="R31" s="108"/>
      <c r="S31" s="108"/>
      <c r="T31" s="108"/>
      <c r="U31" s="108"/>
      <c r="V31" s="108"/>
      <c r="W31" s="108"/>
    </row>
    <row r="32" spans="1:23">
      <c r="A32" s="108"/>
      <c r="B32" s="108"/>
      <c r="C32" s="108"/>
      <c r="D32" s="108"/>
      <c r="E32" s="108"/>
      <c r="F32" s="108"/>
      <c r="G32" s="108"/>
      <c r="H32" s="108"/>
      <c r="I32" s="108"/>
      <c r="J32" s="108"/>
      <c r="K32" s="108"/>
      <c r="L32" s="108"/>
      <c r="M32" s="108"/>
      <c r="N32" s="108"/>
      <c r="O32" s="108"/>
      <c r="P32" s="108"/>
      <c r="Q32" s="108"/>
      <c r="R32" s="108"/>
      <c r="S32" s="108"/>
      <c r="T32" s="108"/>
      <c r="U32" s="108"/>
      <c r="V32" s="108"/>
      <c r="W32" s="108"/>
    </row>
    <row r="33" spans="1:23">
      <c r="A33" s="108"/>
      <c r="B33" s="108"/>
      <c r="C33" s="108"/>
      <c r="D33" s="108"/>
      <c r="E33" s="108"/>
      <c r="F33" s="108"/>
      <c r="G33" s="108"/>
      <c r="H33" s="108"/>
      <c r="I33" s="108"/>
      <c r="J33" s="108"/>
      <c r="K33" s="108"/>
      <c r="L33" s="108"/>
      <c r="M33" s="108"/>
      <c r="N33" s="108"/>
      <c r="O33" s="108"/>
      <c r="P33" s="108"/>
      <c r="Q33" s="108"/>
      <c r="R33" s="108"/>
      <c r="S33" s="108"/>
      <c r="T33" s="108"/>
      <c r="U33" s="108"/>
      <c r="V33" s="108"/>
      <c r="W33" s="108"/>
    </row>
    <row r="34" spans="1:23">
      <c r="A34" s="108"/>
      <c r="B34" s="108"/>
      <c r="C34" s="108"/>
      <c r="D34" s="108"/>
      <c r="E34" s="108"/>
      <c r="F34" s="108"/>
      <c r="G34" s="108"/>
      <c r="H34" s="108"/>
      <c r="I34" s="108"/>
      <c r="J34" s="108"/>
      <c r="K34" s="108"/>
      <c r="L34" s="108"/>
      <c r="M34" s="108"/>
      <c r="N34" s="108"/>
      <c r="O34" s="108"/>
      <c r="P34" s="108"/>
      <c r="Q34" s="108"/>
      <c r="R34" s="108"/>
      <c r="S34" s="108"/>
      <c r="T34" s="108"/>
      <c r="U34" s="108"/>
      <c r="V34" s="108"/>
      <c r="W34" s="108"/>
    </row>
    <row r="35" spans="1:23">
      <c r="A35" s="108"/>
      <c r="B35" s="108"/>
      <c r="C35" s="108"/>
      <c r="D35" s="108"/>
      <c r="E35" s="108"/>
      <c r="F35" s="108"/>
      <c r="G35" s="108"/>
      <c r="H35" s="108"/>
      <c r="I35" s="108"/>
      <c r="J35" s="108"/>
      <c r="K35" s="108"/>
      <c r="L35" s="108"/>
      <c r="M35" s="108"/>
      <c r="N35" s="108"/>
      <c r="O35" s="108"/>
      <c r="P35" s="108"/>
      <c r="Q35" s="108"/>
      <c r="R35" s="108"/>
      <c r="S35" s="108"/>
      <c r="T35" s="108"/>
      <c r="U35" s="108"/>
      <c r="V35" s="108"/>
      <c r="W35" s="108"/>
    </row>
    <row r="36" spans="1:23">
      <c r="A36" s="108"/>
      <c r="B36" s="108"/>
      <c r="C36" s="108"/>
      <c r="D36" s="108"/>
      <c r="E36" s="108"/>
      <c r="F36" s="108"/>
      <c r="G36" s="108"/>
      <c r="H36" s="108"/>
      <c r="I36" s="108"/>
      <c r="J36" s="108"/>
      <c r="K36" s="108"/>
      <c r="L36" s="108"/>
      <c r="M36" s="108"/>
      <c r="N36" s="108"/>
      <c r="O36" s="108"/>
      <c r="P36" s="108"/>
      <c r="Q36" s="108"/>
      <c r="R36" s="108"/>
      <c r="S36" s="108"/>
      <c r="T36" s="108"/>
      <c r="U36" s="108"/>
      <c r="V36" s="108"/>
      <c r="W36" s="108"/>
    </row>
    <row r="37" spans="1:23">
      <c r="A37" s="108"/>
      <c r="B37" s="108"/>
      <c r="C37" s="108"/>
      <c r="D37" s="108"/>
      <c r="E37" s="108"/>
      <c r="F37" s="108"/>
      <c r="G37" s="108"/>
      <c r="H37" s="108"/>
      <c r="I37" s="108"/>
      <c r="J37" s="108"/>
      <c r="K37" s="108"/>
      <c r="L37" s="108"/>
      <c r="M37" s="108"/>
      <c r="N37" s="108"/>
      <c r="O37" s="108"/>
      <c r="P37" s="108"/>
      <c r="Q37" s="108"/>
      <c r="R37" s="108"/>
      <c r="S37" s="108"/>
      <c r="T37" s="108"/>
      <c r="U37" s="108"/>
      <c r="V37" s="108"/>
      <c r="W37" s="108"/>
    </row>
    <row r="38" spans="1:23">
      <c r="A38" s="108"/>
      <c r="B38" s="108"/>
      <c r="C38" s="108"/>
      <c r="D38" s="108"/>
      <c r="E38" s="108"/>
      <c r="F38" s="108"/>
      <c r="G38" s="108"/>
      <c r="H38" s="108"/>
      <c r="I38" s="108"/>
      <c r="J38" s="108"/>
      <c r="K38" s="108"/>
      <c r="L38" s="108"/>
      <c r="M38" s="108"/>
      <c r="N38" s="108"/>
      <c r="O38" s="108"/>
      <c r="P38" s="108"/>
      <c r="Q38" s="108"/>
      <c r="R38" s="108"/>
      <c r="S38" s="108"/>
      <c r="T38" s="108"/>
      <c r="U38" s="108"/>
      <c r="V38" s="108"/>
      <c r="W38" s="108"/>
    </row>
    <row r="39" spans="1:23">
      <c r="A39" s="108"/>
      <c r="B39" s="108"/>
      <c r="C39" s="108"/>
      <c r="D39" s="108"/>
      <c r="E39" s="108"/>
      <c r="F39" s="108"/>
      <c r="G39" s="108"/>
      <c r="H39" s="108"/>
      <c r="I39" s="108"/>
      <c r="J39" s="108"/>
      <c r="K39" s="108"/>
      <c r="L39" s="108"/>
      <c r="M39" s="108"/>
      <c r="N39" s="108"/>
      <c r="O39" s="108"/>
      <c r="P39" s="108"/>
      <c r="Q39" s="108"/>
      <c r="R39" s="108"/>
      <c r="S39" s="108"/>
      <c r="T39" s="108"/>
      <c r="U39" s="108"/>
      <c r="V39" s="108"/>
      <c r="W39" s="108"/>
    </row>
    <row r="40" spans="1:23">
      <c r="A40" s="108"/>
      <c r="B40" s="108"/>
      <c r="C40" s="108"/>
      <c r="D40" s="108"/>
      <c r="E40" s="108"/>
      <c r="F40" s="108"/>
      <c r="G40" s="108"/>
      <c r="H40" s="108"/>
      <c r="I40" s="108"/>
      <c r="J40" s="108"/>
      <c r="K40" s="108"/>
      <c r="L40" s="108"/>
      <c r="M40" s="108"/>
      <c r="N40" s="108"/>
      <c r="O40" s="108"/>
      <c r="P40" s="108"/>
      <c r="Q40" s="108"/>
      <c r="R40" s="108"/>
      <c r="S40" s="108"/>
      <c r="T40" s="108"/>
      <c r="U40" s="108"/>
      <c r="V40" s="108"/>
      <c r="W40" s="108"/>
    </row>
    <row r="41" spans="1:23">
      <c r="A41" s="108"/>
      <c r="B41" s="108"/>
      <c r="C41" s="108"/>
      <c r="D41" s="108"/>
      <c r="E41" s="108"/>
      <c r="F41" s="108"/>
      <c r="G41" s="108"/>
      <c r="H41" s="108"/>
      <c r="I41" s="108"/>
      <c r="J41" s="108"/>
      <c r="K41" s="108"/>
      <c r="L41" s="108"/>
      <c r="M41" s="108"/>
      <c r="N41" s="108"/>
      <c r="O41" s="108"/>
      <c r="P41" s="108"/>
      <c r="Q41" s="108"/>
      <c r="R41" s="108"/>
      <c r="S41" s="108"/>
      <c r="T41" s="108"/>
      <c r="U41" s="108"/>
      <c r="V41" s="108"/>
      <c r="W41" s="108"/>
    </row>
    <row r="42" spans="1:23">
      <c r="A42" s="108"/>
      <c r="B42" s="108"/>
      <c r="C42" s="108"/>
      <c r="D42" s="108"/>
      <c r="E42" s="108"/>
      <c r="F42" s="108"/>
      <c r="G42" s="108"/>
      <c r="H42" s="108"/>
      <c r="I42" s="108"/>
      <c r="J42" s="108"/>
      <c r="K42" s="108"/>
      <c r="L42" s="108"/>
      <c r="M42" s="108"/>
      <c r="N42" s="108"/>
      <c r="O42" s="108"/>
      <c r="P42" s="108"/>
      <c r="Q42" s="108"/>
      <c r="R42" s="108"/>
      <c r="S42" s="108"/>
      <c r="T42" s="108"/>
      <c r="U42" s="108"/>
      <c r="V42" s="108"/>
      <c r="W42" s="108"/>
    </row>
    <row r="43" spans="1:23">
      <c r="A43" s="108"/>
      <c r="B43" s="108"/>
      <c r="C43" s="108"/>
      <c r="D43" s="108"/>
      <c r="E43" s="108"/>
      <c r="F43" s="108"/>
      <c r="G43" s="108"/>
      <c r="H43" s="108"/>
      <c r="I43" s="108"/>
      <c r="J43" s="108"/>
      <c r="K43" s="108"/>
      <c r="L43" s="108"/>
      <c r="M43" s="108"/>
      <c r="N43" s="108"/>
      <c r="O43" s="108"/>
      <c r="P43" s="108"/>
      <c r="Q43" s="108"/>
      <c r="R43" s="108"/>
      <c r="S43" s="108"/>
      <c r="T43" s="108"/>
      <c r="U43" s="108"/>
      <c r="V43" s="108"/>
      <c r="W43" s="108"/>
    </row>
    <row r="44" spans="1:23">
      <c r="A44" s="108"/>
      <c r="B44" s="108"/>
      <c r="C44" s="108"/>
      <c r="D44" s="108"/>
      <c r="E44" s="108"/>
      <c r="F44" s="108"/>
      <c r="G44" s="108"/>
      <c r="H44" s="108"/>
      <c r="I44" s="108"/>
      <c r="J44" s="108"/>
      <c r="K44" s="108"/>
      <c r="L44" s="108"/>
      <c r="M44" s="108"/>
      <c r="N44" s="108"/>
      <c r="O44" s="108"/>
      <c r="P44" s="108"/>
      <c r="Q44" s="108"/>
      <c r="R44" s="108"/>
      <c r="S44" s="108"/>
      <c r="T44" s="108"/>
      <c r="U44" s="108"/>
      <c r="V44" s="108"/>
      <c r="W44" s="108"/>
    </row>
    <row r="45" spans="1:23">
      <c r="A45" s="108"/>
      <c r="B45" s="108"/>
      <c r="C45" s="108"/>
      <c r="D45" s="108"/>
      <c r="E45" s="108"/>
      <c r="F45" s="108"/>
      <c r="G45" s="108"/>
      <c r="H45" s="108"/>
      <c r="I45" s="108"/>
      <c r="J45" s="108"/>
      <c r="K45" s="108"/>
      <c r="L45" s="108"/>
      <c r="M45" s="108"/>
      <c r="N45" s="108"/>
      <c r="O45" s="108"/>
      <c r="P45" s="108"/>
      <c r="Q45" s="108"/>
      <c r="R45" s="108"/>
      <c r="S45" s="108"/>
      <c r="T45" s="108"/>
      <c r="U45" s="108"/>
      <c r="V45" s="108"/>
      <c r="W45" s="108"/>
    </row>
    <row r="46" spans="1:23">
      <c r="A46" s="108"/>
      <c r="B46" s="108"/>
      <c r="C46" s="108"/>
      <c r="D46" s="108"/>
      <c r="E46" s="108"/>
      <c r="F46" s="108"/>
      <c r="G46" s="108"/>
      <c r="H46" s="108"/>
      <c r="I46" s="108"/>
      <c r="J46" s="108"/>
      <c r="K46" s="108"/>
      <c r="L46" s="108"/>
      <c r="M46" s="108"/>
      <c r="N46" s="108"/>
      <c r="O46" s="108"/>
      <c r="P46" s="108"/>
      <c r="Q46" s="108"/>
      <c r="R46" s="108"/>
      <c r="S46" s="108"/>
      <c r="T46" s="108"/>
      <c r="U46" s="108"/>
      <c r="V46" s="108"/>
      <c r="W46" s="108"/>
    </row>
    <row r="47" spans="1:23">
      <c r="A47" s="108"/>
      <c r="B47" s="108"/>
      <c r="C47" s="108"/>
      <c r="D47" s="108"/>
      <c r="E47" s="108"/>
      <c r="F47" s="108"/>
      <c r="G47" s="108"/>
      <c r="H47" s="108"/>
      <c r="I47" s="108"/>
      <c r="J47" s="108"/>
      <c r="K47" s="108"/>
      <c r="L47" s="108"/>
      <c r="M47" s="108"/>
      <c r="N47" s="108"/>
      <c r="O47" s="108"/>
      <c r="P47" s="108"/>
      <c r="Q47" s="108"/>
      <c r="R47" s="108"/>
      <c r="S47" s="108"/>
      <c r="T47" s="108"/>
      <c r="U47" s="108"/>
      <c r="V47" s="108"/>
      <c r="W47" s="108"/>
    </row>
    <row r="48" spans="1:23">
      <c r="A48" s="108"/>
      <c r="B48" s="108"/>
      <c r="C48" s="108"/>
      <c r="D48" s="108"/>
      <c r="E48" s="108"/>
      <c r="F48" s="108"/>
      <c r="G48" s="108"/>
      <c r="H48" s="108"/>
      <c r="I48" s="108"/>
      <c r="J48" s="108"/>
      <c r="K48" s="108"/>
      <c r="L48" s="108"/>
      <c r="M48" s="108"/>
      <c r="N48" s="108"/>
      <c r="O48" s="108"/>
      <c r="P48" s="108"/>
      <c r="Q48" s="108"/>
      <c r="R48" s="108"/>
      <c r="S48" s="108"/>
      <c r="T48" s="108"/>
      <c r="U48" s="108"/>
      <c r="V48" s="108"/>
      <c r="W48" s="108"/>
    </row>
    <row r="49" spans="1:23">
      <c r="A49" s="108"/>
      <c r="B49" s="108"/>
      <c r="C49" s="108"/>
      <c r="D49" s="108"/>
      <c r="E49" s="108"/>
      <c r="F49" s="108"/>
      <c r="G49" s="108"/>
      <c r="H49" s="108"/>
      <c r="I49" s="108"/>
      <c r="J49" s="108"/>
      <c r="K49" s="108"/>
      <c r="L49" s="108"/>
      <c r="M49" s="108"/>
      <c r="N49" s="108"/>
      <c r="O49" s="108"/>
      <c r="P49" s="108"/>
      <c r="Q49" s="108"/>
      <c r="R49" s="108"/>
      <c r="S49" s="108"/>
      <c r="T49" s="108"/>
      <c r="U49" s="108"/>
      <c r="V49" s="108"/>
      <c r="W49" s="108"/>
    </row>
    <row r="50" spans="1:23">
      <c r="A50" s="108"/>
      <c r="B50" s="108"/>
      <c r="C50" s="108"/>
      <c r="D50" s="108"/>
      <c r="E50" s="108"/>
      <c r="F50" s="108"/>
      <c r="G50" s="108"/>
      <c r="H50" s="108"/>
      <c r="I50" s="108"/>
      <c r="J50" s="108"/>
      <c r="K50" s="108"/>
      <c r="L50" s="108"/>
      <c r="M50" s="108"/>
      <c r="N50" s="108"/>
      <c r="O50" s="108"/>
      <c r="P50" s="108"/>
      <c r="Q50" s="108"/>
      <c r="R50" s="108"/>
      <c r="S50" s="108"/>
      <c r="T50" s="108"/>
      <c r="U50" s="108"/>
      <c r="V50" s="108"/>
      <c r="W50" s="108"/>
    </row>
    <row r="51" spans="1:23">
      <c r="A51" s="108"/>
      <c r="B51" s="108"/>
      <c r="C51" s="108"/>
      <c r="D51" s="108"/>
      <c r="E51" s="108"/>
      <c r="F51" s="108"/>
      <c r="G51" s="108"/>
      <c r="H51" s="108"/>
      <c r="I51" s="108"/>
      <c r="J51" s="108"/>
      <c r="K51" s="108"/>
      <c r="L51" s="108"/>
      <c r="M51" s="108"/>
      <c r="N51" s="108"/>
      <c r="O51" s="108"/>
      <c r="P51" s="108"/>
      <c r="Q51" s="108"/>
      <c r="R51" s="108"/>
      <c r="S51" s="108"/>
      <c r="T51" s="108"/>
      <c r="U51" s="108"/>
      <c r="V51" s="108"/>
      <c r="W51" s="108"/>
    </row>
    <row r="52" spans="1:23">
      <c r="A52" s="108"/>
      <c r="B52" s="108"/>
      <c r="C52" s="108"/>
      <c r="D52" s="108"/>
      <c r="E52" s="108"/>
      <c r="F52" s="108"/>
      <c r="G52" s="108"/>
      <c r="H52" s="108"/>
      <c r="I52" s="108"/>
      <c r="J52" s="108"/>
      <c r="K52" s="108"/>
      <c r="L52" s="108"/>
      <c r="M52" s="108"/>
      <c r="N52" s="108"/>
      <c r="O52" s="108"/>
      <c r="P52" s="108"/>
      <c r="Q52" s="108"/>
      <c r="R52" s="108"/>
      <c r="S52" s="108"/>
      <c r="T52" s="108"/>
      <c r="U52" s="108"/>
      <c r="V52" s="108"/>
      <c r="W52" s="108"/>
    </row>
    <row r="53" spans="1:23">
      <c r="A53" s="108"/>
      <c r="B53" s="108"/>
      <c r="C53" s="108"/>
      <c r="D53" s="108"/>
      <c r="E53" s="108"/>
      <c r="F53" s="108"/>
      <c r="G53" s="108"/>
      <c r="H53" s="108"/>
      <c r="I53" s="108"/>
      <c r="J53" s="108"/>
      <c r="K53" s="108"/>
      <c r="L53" s="108"/>
      <c r="M53" s="108"/>
      <c r="N53" s="108"/>
      <c r="O53" s="108"/>
      <c r="P53" s="108"/>
      <c r="Q53" s="108"/>
      <c r="R53" s="108"/>
      <c r="S53" s="108"/>
      <c r="T53" s="108"/>
      <c r="U53" s="108"/>
      <c r="V53" s="108"/>
      <c r="W53" s="108"/>
    </row>
    <row r="54" spans="1:23">
      <c r="A54" s="108"/>
      <c r="B54" s="108"/>
      <c r="C54" s="108"/>
      <c r="D54" s="108"/>
      <c r="E54" s="108"/>
      <c r="F54" s="108"/>
      <c r="G54" s="108"/>
      <c r="H54" s="108"/>
      <c r="I54" s="108"/>
      <c r="J54" s="108"/>
      <c r="K54" s="108"/>
      <c r="L54" s="108"/>
      <c r="M54" s="108"/>
      <c r="N54" s="108"/>
      <c r="O54" s="108"/>
      <c r="P54" s="108"/>
      <c r="Q54" s="108"/>
      <c r="R54" s="108"/>
      <c r="S54" s="108"/>
      <c r="T54" s="108"/>
      <c r="U54" s="108"/>
      <c r="V54" s="108"/>
      <c r="W54" s="108"/>
    </row>
    <row r="55" spans="1:23">
      <c r="A55" s="108"/>
      <c r="B55" s="108"/>
      <c r="C55" s="108"/>
      <c r="D55" s="108"/>
      <c r="E55" s="108"/>
      <c r="F55" s="108"/>
      <c r="G55" s="108"/>
      <c r="H55" s="108"/>
      <c r="I55" s="108"/>
      <c r="J55" s="108"/>
      <c r="K55" s="108"/>
      <c r="L55" s="108"/>
      <c r="M55" s="108"/>
      <c r="N55" s="108"/>
      <c r="O55" s="108"/>
      <c r="P55" s="108"/>
      <c r="Q55" s="108"/>
      <c r="R55" s="108"/>
      <c r="S55" s="108"/>
      <c r="T55" s="108"/>
      <c r="U55" s="108"/>
      <c r="V55" s="108"/>
      <c r="W55" s="108"/>
    </row>
    <row r="56" spans="1:23">
      <c r="A56" s="108"/>
      <c r="B56" s="108"/>
      <c r="C56" s="108"/>
      <c r="D56" s="108"/>
      <c r="E56" s="108"/>
      <c r="F56" s="108"/>
      <c r="G56" s="108"/>
      <c r="H56" s="108"/>
      <c r="I56" s="108"/>
      <c r="J56" s="108"/>
      <c r="K56" s="108"/>
      <c r="L56" s="108"/>
      <c r="M56" s="108"/>
      <c r="N56" s="108"/>
      <c r="O56" s="108"/>
      <c r="P56" s="108"/>
      <c r="Q56" s="108"/>
      <c r="R56" s="108"/>
      <c r="S56" s="108"/>
      <c r="T56" s="108"/>
      <c r="U56" s="108"/>
      <c r="V56" s="108"/>
      <c r="W56" s="108"/>
    </row>
    <row r="57" spans="1:23">
      <c r="A57" s="108"/>
      <c r="B57" s="108"/>
      <c r="C57" s="108"/>
      <c r="D57" s="108"/>
      <c r="E57" s="108"/>
      <c r="F57" s="108"/>
      <c r="G57" s="108"/>
      <c r="H57" s="108"/>
      <c r="I57" s="108"/>
      <c r="J57" s="108"/>
      <c r="K57" s="108"/>
      <c r="L57" s="108"/>
      <c r="M57" s="108"/>
      <c r="N57" s="108"/>
      <c r="O57" s="108"/>
      <c r="P57" s="108"/>
      <c r="Q57" s="108"/>
      <c r="R57" s="108"/>
      <c r="S57" s="108"/>
      <c r="T57" s="108"/>
      <c r="U57" s="108"/>
      <c r="V57" s="108"/>
      <c r="W57" s="108"/>
    </row>
    <row r="58" spans="1:23">
      <c r="A58" s="108"/>
      <c r="B58" s="108"/>
      <c r="C58" s="108"/>
      <c r="D58" s="108"/>
      <c r="E58" s="108"/>
      <c r="F58" s="108"/>
      <c r="G58" s="108"/>
      <c r="H58" s="108"/>
      <c r="I58" s="108"/>
      <c r="J58" s="108"/>
      <c r="K58" s="108"/>
      <c r="L58" s="108"/>
      <c r="M58" s="108"/>
      <c r="N58" s="108"/>
      <c r="O58" s="108"/>
      <c r="P58" s="108"/>
      <c r="Q58" s="108"/>
      <c r="R58" s="108"/>
      <c r="S58" s="108"/>
      <c r="T58" s="108"/>
      <c r="U58" s="108"/>
      <c r="V58" s="108"/>
      <c r="W58" s="108"/>
    </row>
    <row r="59" spans="1:23">
      <c r="A59" s="108"/>
      <c r="B59" s="108"/>
      <c r="C59" s="108"/>
      <c r="D59" s="108"/>
      <c r="E59" s="108"/>
      <c r="F59" s="108"/>
      <c r="G59" s="108"/>
      <c r="H59" s="108"/>
      <c r="I59" s="108"/>
      <c r="J59" s="108"/>
      <c r="K59" s="108"/>
      <c r="L59" s="108"/>
      <c r="M59" s="108"/>
      <c r="N59" s="108"/>
      <c r="O59" s="108"/>
      <c r="P59" s="108"/>
      <c r="Q59" s="108"/>
      <c r="R59" s="108"/>
      <c r="S59" s="108"/>
      <c r="T59" s="108"/>
      <c r="U59" s="108"/>
      <c r="V59" s="108"/>
      <c r="W59" s="108"/>
    </row>
    <row r="60" spans="1:23">
      <c r="A60" s="108"/>
      <c r="B60" s="108"/>
      <c r="C60" s="108"/>
      <c r="D60" s="108"/>
      <c r="E60" s="108"/>
      <c r="F60" s="108"/>
      <c r="G60" s="108"/>
      <c r="H60" s="108"/>
      <c r="I60" s="108"/>
      <c r="J60" s="108"/>
      <c r="K60" s="108"/>
      <c r="L60" s="108"/>
      <c r="M60" s="108"/>
      <c r="N60" s="108"/>
      <c r="O60" s="108"/>
      <c r="P60" s="108"/>
      <c r="Q60" s="108"/>
      <c r="R60" s="108"/>
      <c r="S60" s="108"/>
      <c r="T60" s="108"/>
      <c r="U60" s="108"/>
      <c r="V60" s="108"/>
      <c r="W60" s="108"/>
    </row>
    <row r="61" spans="1:23">
      <c r="A61" s="108"/>
      <c r="B61" s="108"/>
      <c r="C61" s="108"/>
      <c r="D61" s="108"/>
      <c r="E61" s="108"/>
      <c r="F61" s="108"/>
      <c r="G61" s="108"/>
      <c r="H61" s="108"/>
      <c r="I61" s="108"/>
      <c r="J61" s="108"/>
      <c r="K61" s="108"/>
      <c r="L61" s="108"/>
      <c r="M61" s="108"/>
      <c r="N61" s="108"/>
      <c r="O61" s="108"/>
      <c r="P61" s="108"/>
      <c r="Q61" s="108"/>
      <c r="R61" s="108"/>
      <c r="S61" s="108"/>
      <c r="T61" s="108"/>
      <c r="U61" s="108"/>
      <c r="V61" s="108"/>
      <c r="W61" s="108"/>
    </row>
    <row r="62" spans="1:23">
      <c r="A62" s="108"/>
      <c r="B62" s="108"/>
      <c r="C62" s="108"/>
      <c r="D62" s="108"/>
      <c r="E62" s="108"/>
      <c r="F62" s="108"/>
      <c r="G62" s="108"/>
      <c r="H62" s="108"/>
      <c r="I62" s="108"/>
      <c r="J62" s="108"/>
      <c r="K62" s="108"/>
      <c r="L62" s="108"/>
      <c r="M62" s="108"/>
      <c r="N62" s="108"/>
      <c r="O62" s="108"/>
      <c r="P62" s="108"/>
      <c r="Q62" s="108"/>
      <c r="R62" s="108"/>
      <c r="S62" s="108"/>
      <c r="T62" s="108"/>
      <c r="U62" s="108"/>
      <c r="V62" s="108"/>
      <c r="W62" s="108"/>
    </row>
    <row r="63" spans="1:23">
      <c r="A63" s="108"/>
      <c r="B63" s="108"/>
      <c r="C63" s="108"/>
      <c r="D63" s="108"/>
      <c r="E63" s="108"/>
      <c r="F63" s="108"/>
      <c r="G63" s="108"/>
      <c r="H63" s="108"/>
      <c r="I63" s="108"/>
      <c r="J63" s="108"/>
      <c r="K63" s="108"/>
      <c r="L63" s="108"/>
      <c r="M63" s="108"/>
      <c r="N63" s="108"/>
      <c r="O63" s="108"/>
      <c r="P63" s="108"/>
      <c r="Q63" s="108"/>
      <c r="R63" s="108"/>
      <c r="S63" s="108"/>
      <c r="T63" s="108"/>
      <c r="U63" s="108"/>
      <c r="V63" s="108"/>
      <c r="W63" s="108"/>
    </row>
    <row r="64" spans="1:23">
      <c r="A64" s="108"/>
      <c r="B64" s="108"/>
      <c r="C64" s="108"/>
      <c r="D64" s="108"/>
      <c r="E64" s="108"/>
      <c r="F64" s="108"/>
      <c r="G64" s="108"/>
      <c r="H64" s="108"/>
      <c r="I64" s="108"/>
      <c r="J64" s="108"/>
      <c r="K64" s="108"/>
      <c r="L64" s="108"/>
      <c r="M64" s="108"/>
      <c r="N64" s="108"/>
      <c r="O64" s="108"/>
      <c r="P64" s="108"/>
      <c r="Q64" s="108"/>
      <c r="R64" s="108"/>
      <c r="S64" s="108"/>
      <c r="T64" s="108"/>
      <c r="U64" s="108"/>
      <c r="V64" s="108"/>
      <c r="W64" s="108"/>
    </row>
    <row r="65" spans="1:23">
      <c r="A65" s="108"/>
      <c r="B65" s="108"/>
      <c r="C65" s="108"/>
      <c r="D65" s="108"/>
      <c r="E65" s="108"/>
      <c r="F65" s="108"/>
      <c r="G65" s="108"/>
      <c r="H65" s="108"/>
      <c r="I65" s="108"/>
      <c r="J65" s="108"/>
      <c r="K65" s="108"/>
      <c r="L65" s="108"/>
      <c r="M65" s="108"/>
      <c r="N65" s="108"/>
      <c r="O65" s="108"/>
      <c r="P65" s="108"/>
      <c r="Q65" s="108"/>
      <c r="R65" s="108"/>
      <c r="S65" s="108"/>
      <c r="T65" s="108"/>
      <c r="U65" s="108"/>
      <c r="V65" s="108"/>
      <c r="W65" s="108"/>
    </row>
    <row r="66" spans="1:23">
      <c r="A66" s="108"/>
      <c r="B66" s="108"/>
      <c r="C66" s="108"/>
      <c r="D66" s="108"/>
      <c r="E66" s="108"/>
      <c r="F66" s="108"/>
      <c r="G66" s="108"/>
      <c r="H66" s="108"/>
      <c r="I66" s="108"/>
      <c r="J66" s="108"/>
      <c r="K66" s="108"/>
      <c r="L66" s="108"/>
      <c r="M66" s="108"/>
      <c r="N66" s="108"/>
      <c r="O66" s="108"/>
      <c r="P66" s="108"/>
      <c r="Q66" s="108"/>
      <c r="R66" s="108"/>
      <c r="S66" s="108"/>
      <c r="T66" s="108"/>
      <c r="U66" s="108"/>
      <c r="V66" s="108"/>
      <c r="W66" s="108"/>
    </row>
    <row r="67" spans="1:23">
      <c r="A67" s="108"/>
      <c r="B67" s="108"/>
      <c r="C67" s="108"/>
      <c r="D67" s="108"/>
      <c r="E67" s="108"/>
      <c r="F67" s="108"/>
      <c r="G67" s="108"/>
      <c r="H67" s="108"/>
      <c r="I67" s="108"/>
      <c r="J67" s="108"/>
      <c r="K67" s="108"/>
      <c r="L67" s="108"/>
      <c r="M67" s="108"/>
      <c r="N67" s="108"/>
      <c r="O67" s="108"/>
      <c r="P67" s="108"/>
      <c r="Q67" s="108"/>
      <c r="R67" s="108"/>
      <c r="S67" s="108"/>
      <c r="T67" s="108"/>
      <c r="U67" s="108"/>
      <c r="V67" s="108"/>
      <c r="W67" s="108"/>
    </row>
    <row r="68" spans="1:23">
      <c r="A68" s="108"/>
      <c r="B68" s="108"/>
      <c r="C68" s="108"/>
      <c r="D68" s="108"/>
      <c r="E68" s="108"/>
      <c r="F68" s="108"/>
      <c r="G68" s="108"/>
      <c r="H68" s="108"/>
      <c r="I68" s="108"/>
      <c r="J68" s="108"/>
      <c r="K68" s="108"/>
      <c r="L68" s="108"/>
      <c r="M68" s="108"/>
      <c r="N68" s="108"/>
      <c r="O68" s="108"/>
      <c r="P68" s="108"/>
      <c r="Q68" s="108"/>
      <c r="R68" s="108"/>
      <c r="S68" s="108"/>
      <c r="T68" s="108"/>
      <c r="U68" s="108"/>
      <c r="V68" s="108"/>
      <c r="W68" s="108"/>
    </row>
    <row r="69" spans="1:23">
      <c r="A69" s="108"/>
      <c r="B69" s="108"/>
      <c r="C69" s="108"/>
      <c r="D69" s="108"/>
      <c r="E69" s="108"/>
      <c r="F69" s="108"/>
      <c r="G69" s="108"/>
      <c r="H69" s="108"/>
      <c r="I69" s="108"/>
      <c r="J69" s="108"/>
      <c r="K69" s="108"/>
      <c r="L69" s="108"/>
      <c r="M69" s="108"/>
      <c r="N69" s="108"/>
      <c r="O69" s="108"/>
      <c r="P69" s="108"/>
      <c r="Q69" s="108"/>
      <c r="R69" s="108"/>
      <c r="S69" s="108"/>
      <c r="T69" s="108"/>
      <c r="U69" s="108"/>
      <c r="V69" s="108"/>
      <c r="W69" s="108"/>
    </row>
    <row r="70" spans="1:23">
      <c r="A70" s="108"/>
      <c r="B70" s="108"/>
      <c r="C70" s="108"/>
      <c r="D70" s="108"/>
      <c r="E70" s="108"/>
      <c r="F70" s="108"/>
      <c r="G70" s="108"/>
      <c r="H70" s="108"/>
      <c r="I70" s="108"/>
      <c r="J70" s="108"/>
      <c r="K70" s="108"/>
      <c r="L70" s="108"/>
      <c r="M70" s="108"/>
      <c r="N70" s="108"/>
      <c r="O70" s="108"/>
      <c r="P70" s="108"/>
      <c r="Q70" s="108"/>
      <c r="R70" s="108"/>
      <c r="S70" s="108"/>
      <c r="T70" s="108"/>
      <c r="U70" s="108"/>
      <c r="V70" s="108"/>
      <c r="W70" s="108"/>
    </row>
    <row r="71" spans="1:23">
      <c r="A71" s="108"/>
      <c r="B71" s="108"/>
      <c r="C71" s="108"/>
      <c r="D71" s="108"/>
      <c r="E71" s="108"/>
      <c r="F71" s="108"/>
      <c r="G71" s="108"/>
      <c r="H71" s="108"/>
      <c r="I71" s="108"/>
      <c r="J71" s="108"/>
      <c r="K71" s="108"/>
      <c r="L71" s="108"/>
      <c r="M71" s="108"/>
      <c r="N71" s="108"/>
      <c r="O71" s="108"/>
      <c r="P71" s="108"/>
      <c r="Q71" s="108"/>
      <c r="R71" s="108"/>
      <c r="S71" s="108"/>
      <c r="T71" s="108"/>
      <c r="U71" s="108"/>
      <c r="V71" s="108"/>
      <c r="W71" s="108"/>
    </row>
    <row r="72" spans="1:23">
      <c r="A72" s="108"/>
      <c r="B72" s="108"/>
      <c r="C72" s="108"/>
      <c r="D72" s="108"/>
      <c r="E72" s="108"/>
      <c r="F72" s="108"/>
      <c r="G72" s="108"/>
      <c r="H72" s="108"/>
      <c r="I72" s="108"/>
      <c r="J72" s="108"/>
      <c r="K72" s="108"/>
      <c r="L72" s="108"/>
      <c r="M72" s="108"/>
      <c r="N72" s="108"/>
      <c r="O72" s="108"/>
      <c r="P72" s="108"/>
      <c r="Q72" s="108"/>
      <c r="R72" s="108"/>
      <c r="S72" s="108"/>
      <c r="T72" s="108"/>
      <c r="U72" s="108"/>
      <c r="V72" s="108"/>
      <c r="W72" s="108"/>
    </row>
    <row r="73" spans="1:23">
      <c r="A73" s="108"/>
      <c r="B73" s="108"/>
      <c r="C73" s="108"/>
      <c r="D73" s="108"/>
      <c r="E73" s="108"/>
      <c r="F73" s="108"/>
      <c r="G73" s="108"/>
      <c r="H73" s="108"/>
      <c r="I73" s="108"/>
      <c r="J73" s="108"/>
      <c r="K73" s="108"/>
      <c r="L73" s="108"/>
      <c r="M73" s="108"/>
      <c r="N73" s="108"/>
      <c r="O73" s="108"/>
      <c r="P73" s="108"/>
      <c r="Q73" s="108"/>
      <c r="R73" s="108"/>
      <c r="S73" s="108"/>
      <c r="T73" s="108"/>
      <c r="U73" s="108"/>
      <c r="V73" s="108"/>
      <c r="W73" s="108"/>
    </row>
    <row r="74" spans="1:23">
      <c r="A74" s="108"/>
      <c r="B74" s="108"/>
      <c r="C74" s="108"/>
      <c r="D74" s="108"/>
      <c r="E74" s="108"/>
      <c r="F74" s="108"/>
      <c r="G74" s="108"/>
      <c r="H74" s="108"/>
      <c r="I74" s="108"/>
      <c r="J74" s="108"/>
      <c r="K74" s="108"/>
      <c r="L74" s="108"/>
      <c r="M74" s="108"/>
      <c r="N74" s="108"/>
      <c r="O74" s="108"/>
      <c r="P74" s="108"/>
      <c r="Q74" s="108"/>
      <c r="R74" s="108"/>
      <c r="S74" s="108"/>
      <c r="T74" s="108"/>
      <c r="U74" s="108"/>
      <c r="V74" s="108"/>
      <c r="W74" s="108"/>
    </row>
    <row r="75" spans="1:23">
      <c r="A75" s="108"/>
      <c r="B75" s="108"/>
      <c r="C75" s="108"/>
      <c r="D75" s="108"/>
      <c r="E75" s="108"/>
      <c r="F75" s="108"/>
      <c r="G75" s="108"/>
      <c r="H75" s="108"/>
      <c r="I75" s="108"/>
      <c r="J75" s="108"/>
      <c r="K75" s="108"/>
      <c r="L75" s="108"/>
      <c r="M75" s="108"/>
      <c r="N75" s="108"/>
      <c r="O75" s="108"/>
      <c r="P75" s="108"/>
      <c r="Q75" s="108"/>
      <c r="R75" s="108"/>
      <c r="S75" s="108"/>
      <c r="T75" s="108"/>
      <c r="U75" s="108"/>
      <c r="V75" s="108"/>
      <c r="W75" s="108"/>
    </row>
    <row r="76" spans="1:23">
      <c r="A76" s="108"/>
      <c r="B76" s="108"/>
      <c r="C76" s="108"/>
      <c r="D76" s="108"/>
      <c r="E76" s="108"/>
      <c r="F76" s="108"/>
      <c r="G76" s="108"/>
      <c r="H76" s="108"/>
      <c r="I76" s="108"/>
      <c r="J76" s="108"/>
      <c r="K76" s="108"/>
      <c r="L76" s="108"/>
      <c r="M76" s="108"/>
      <c r="N76" s="108"/>
      <c r="O76" s="108"/>
      <c r="P76" s="108"/>
      <c r="Q76" s="108"/>
      <c r="R76" s="108"/>
      <c r="S76" s="108"/>
      <c r="T76" s="108"/>
      <c r="U76" s="108"/>
      <c r="V76" s="108"/>
      <c r="W76" s="108"/>
    </row>
    <row r="77" spans="1:23">
      <c r="A77" s="108"/>
      <c r="B77" s="108"/>
      <c r="C77" s="108"/>
      <c r="D77" s="108"/>
      <c r="E77" s="108"/>
      <c r="F77" s="108"/>
      <c r="G77" s="108"/>
      <c r="H77" s="108"/>
      <c r="I77" s="108"/>
      <c r="J77" s="108"/>
      <c r="K77" s="108"/>
      <c r="L77" s="108"/>
      <c r="M77" s="108"/>
      <c r="N77" s="108"/>
      <c r="O77" s="108"/>
      <c r="P77" s="108"/>
      <c r="Q77" s="108"/>
      <c r="R77" s="108"/>
      <c r="S77" s="108"/>
      <c r="T77" s="108"/>
      <c r="U77" s="108"/>
      <c r="V77" s="108"/>
      <c r="W77" s="108"/>
    </row>
    <row r="78" spans="1:23">
      <c r="A78" s="108"/>
      <c r="B78" s="108"/>
      <c r="C78" s="108"/>
      <c r="D78" s="108"/>
      <c r="E78" s="108"/>
      <c r="F78" s="108"/>
      <c r="G78" s="108"/>
      <c r="H78" s="108"/>
      <c r="I78" s="108"/>
      <c r="J78" s="108"/>
      <c r="K78" s="108"/>
      <c r="L78" s="108"/>
      <c r="M78" s="108"/>
      <c r="N78" s="108"/>
      <c r="O78" s="108"/>
      <c r="P78" s="108"/>
      <c r="Q78" s="108"/>
      <c r="R78" s="108"/>
      <c r="S78" s="108"/>
      <c r="T78" s="108"/>
      <c r="U78" s="108"/>
      <c r="V78" s="108"/>
      <c r="W78" s="108"/>
    </row>
    <row r="79" spans="1:23">
      <c r="A79" s="108"/>
      <c r="B79" s="108"/>
      <c r="C79" s="108"/>
      <c r="D79" s="108"/>
      <c r="E79" s="108"/>
      <c r="F79" s="108"/>
      <c r="G79" s="108"/>
      <c r="H79" s="108"/>
      <c r="I79" s="108"/>
      <c r="J79" s="108"/>
      <c r="K79" s="108"/>
      <c r="L79" s="108"/>
      <c r="M79" s="108"/>
      <c r="N79" s="108"/>
      <c r="O79" s="108"/>
      <c r="P79" s="108"/>
      <c r="Q79" s="108"/>
      <c r="R79" s="108"/>
      <c r="S79" s="108"/>
      <c r="T79" s="108"/>
      <c r="U79" s="108"/>
      <c r="V79" s="108"/>
      <c r="W79" s="108"/>
    </row>
    <row r="80" spans="1:23">
      <c r="A80" s="108"/>
      <c r="B80" s="108"/>
      <c r="C80" s="108"/>
      <c r="D80" s="108"/>
      <c r="E80" s="108"/>
      <c r="F80" s="108"/>
      <c r="G80" s="108"/>
      <c r="H80" s="108"/>
      <c r="I80" s="108"/>
      <c r="J80" s="108"/>
      <c r="K80" s="108"/>
      <c r="L80" s="108"/>
      <c r="M80" s="108"/>
      <c r="N80" s="108"/>
      <c r="O80" s="108"/>
      <c r="P80" s="108"/>
      <c r="Q80" s="108"/>
      <c r="R80" s="108"/>
      <c r="S80" s="108"/>
      <c r="T80" s="108"/>
      <c r="U80" s="108"/>
      <c r="V80" s="108"/>
      <c r="W80" s="108"/>
    </row>
    <row r="81" spans="1:23">
      <c r="A81" s="108"/>
      <c r="B81" s="108"/>
      <c r="C81" s="108"/>
      <c r="D81" s="108"/>
      <c r="E81" s="108"/>
      <c r="F81" s="108"/>
      <c r="G81" s="108"/>
      <c r="H81" s="108"/>
      <c r="I81" s="108"/>
      <c r="J81" s="108"/>
      <c r="K81" s="108"/>
      <c r="L81" s="108"/>
      <c r="M81" s="108"/>
      <c r="N81" s="108"/>
      <c r="O81" s="108"/>
      <c r="P81" s="108"/>
      <c r="Q81" s="108"/>
      <c r="R81" s="108"/>
      <c r="S81" s="108"/>
      <c r="T81" s="108"/>
      <c r="U81" s="108"/>
      <c r="V81" s="108"/>
      <c r="W81" s="108"/>
    </row>
    <row r="82" spans="1:23">
      <c r="A82" s="108"/>
      <c r="B82" s="108"/>
      <c r="C82" s="108"/>
      <c r="D82" s="108"/>
      <c r="E82" s="108"/>
      <c r="F82" s="108"/>
      <c r="G82" s="108"/>
      <c r="H82" s="108"/>
      <c r="I82" s="108"/>
      <c r="J82" s="108"/>
      <c r="K82" s="108"/>
      <c r="L82" s="108"/>
      <c r="M82" s="108"/>
      <c r="N82" s="108"/>
      <c r="O82" s="108"/>
      <c r="P82" s="108"/>
      <c r="Q82" s="108"/>
      <c r="R82" s="108"/>
      <c r="S82" s="108"/>
      <c r="T82" s="108"/>
      <c r="U82" s="108"/>
      <c r="V82" s="108"/>
      <c r="W82" s="108"/>
    </row>
    <row r="83" spans="1:23">
      <c r="A83" s="108"/>
      <c r="B83" s="108"/>
      <c r="C83" s="108"/>
      <c r="D83" s="108"/>
      <c r="E83" s="108"/>
      <c r="F83" s="108"/>
      <c r="G83" s="108"/>
      <c r="H83" s="108"/>
      <c r="I83" s="108"/>
      <c r="J83" s="108"/>
      <c r="K83" s="108"/>
      <c r="L83" s="108"/>
      <c r="M83" s="108"/>
      <c r="N83" s="108"/>
      <c r="O83" s="108"/>
      <c r="P83" s="108"/>
      <c r="Q83" s="108"/>
      <c r="R83" s="108"/>
      <c r="S83" s="108"/>
      <c r="T83" s="108"/>
      <c r="U83" s="108"/>
      <c r="V83" s="108"/>
      <c r="W83" s="108"/>
    </row>
    <row r="84" spans="1:23">
      <c r="A84" s="108"/>
      <c r="B84" s="108"/>
      <c r="C84" s="108"/>
      <c r="D84" s="108"/>
      <c r="E84" s="108"/>
      <c r="F84" s="108"/>
      <c r="G84" s="108"/>
      <c r="H84" s="108"/>
      <c r="I84" s="108"/>
      <c r="J84" s="108"/>
      <c r="K84" s="108"/>
      <c r="L84" s="108"/>
      <c r="M84" s="108"/>
      <c r="N84" s="108"/>
      <c r="O84" s="108"/>
      <c r="P84" s="108"/>
      <c r="Q84" s="108"/>
      <c r="R84" s="108"/>
      <c r="S84" s="108"/>
      <c r="T84" s="108"/>
      <c r="U84" s="108"/>
      <c r="V84" s="108"/>
      <c r="W84" s="108"/>
    </row>
    <row r="85" spans="1:23">
      <c r="A85" s="108"/>
      <c r="B85" s="108"/>
      <c r="C85" s="108"/>
      <c r="D85" s="108"/>
      <c r="E85" s="108"/>
      <c r="F85" s="108"/>
      <c r="G85" s="108"/>
      <c r="H85" s="108"/>
      <c r="I85" s="108"/>
      <c r="J85" s="108"/>
      <c r="K85" s="108"/>
      <c r="L85" s="108"/>
      <c r="M85" s="108"/>
      <c r="N85" s="108"/>
      <c r="O85" s="108"/>
      <c r="P85" s="108"/>
      <c r="Q85" s="108"/>
      <c r="R85" s="108"/>
      <c r="S85" s="108"/>
      <c r="T85" s="108"/>
      <c r="U85" s="108"/>
      <c r="V85" s="108"/>
      <c r="W85" s="108"/>
    </row>
    <row r="86" spans="1:23">
      <c r="A86" s="108"/>
      <c r="B86" s="108"/>
      <c r="C86" s="108"/>
      <c r="D86" s="108"/>
      <c r="E86" s="108"/>
      <c r="F86" s="108"/>
      <c r="G86" s="108"/>
      <c r="H86" s="108"/>
      <c r="I86" s="108"/>
      <c r="J86" s="108"/>
      <c r="K86" s="108"/>
      <c r="L86" s="108"/>
      <c r="M86" s="108"/>
      <c r="N86" s="108"/>
      <c r="O86" s="108"/>
      <c r="P86" s="108"/>
      <c r="Q86" s="108"/>
      <c r="R86" s="108"/>
      <c r="S86" s="108"/>
      <c r="T86" s="108"/>
      <c r="U86" s="108"/>
      <c r="V86" s="108"/>
      <c r="W86" s="108"/>
    </row>
    <row r="87" spans="1:23">
      <c r="A87" s="108"/>
      <c r="B87" s="108"/>
      <c r="C87" s="108"/>
      <c r="D87" s="108"/>
      <c r="E87" s="108"/>
      <c r="F87" s="108"/>
      <c r="G87" s="108"/>
      <c r="H87" s="108"/>
      <c r="I87" s="108"/>
      <c r="J87" s="108"/>
      <c r="K87" s="108"/>
      <c r="L87" s="108"/>
      <c r="M87" s="108"/>
      <c r="N87" s="108"/>
      <c r="O87" s="108"/>
      <c r="P87" s="108"/>
      <c r="Q87" s="108"/>
      <c r="R87" s="108"/>
      <c r="S87" s="108"/>
      <c r="T87" s="108"/>
      <c r="U87" s="108"/>
      <c r="V87" s="108"/>
      <c r="W87" s="108"/>
    </row>
    <row r="88" spans="1:23">
      <c r="A88" s="108"/>
      <c r="B88" s="108"/>
      <c r="C88" s="108"/>
      <c r="D88" s="108"/>
      <c r="E88" s="108"/>
      <c r="F88" s="108"/>
      <c r="G88" s="108"/>
      <c r="H88" s="108"/>
      <c r="I88" s="108"/>
      <c r="J88" s="108"/>
      <c r="K88" s="108"/>
      <c r="L88" s="108"/>
      <c r="M88" s="108"/>
      <c r="N88" s="108"/>
      <c r="O88" s="108"/>
      <c r="P88" s="108"/>
      <c r="Q88" s="108"/>
      <c r="R88" s="108"/>
      <c r="S88" s="108"/>
      <c r="T88" s="108"/>
      <c r="U88" s="108"/>
      <c r="V88" s="108"/>
      <c r="W88" s="108"/>
    </row>
    <row r="89" spans="1:23">
      <c r="A89" s="108"/>
      <c r="B89" s="108"/>
      <c r="C89" s="108"/>
      <c r="D89" s="108"/>
      <c r="E89" s="108"/>
      <c r="F89" s="108"/>
      <c r="G89" s="108"/>
      <c r="H89" s="108"/>
      <c r="I89" s="108"/>
      <c r="J89" s="108"/>
      <c r="K89" s="108"/>
      <c r="L89" s="108"/>
      <c r="M89" s="108"/>
      <c r="N89" s="108"/>
      <c r="O89" s="108"/>
      <c r="P89" s="108"/>
      <c r="Q89" s="108"/>
      <c r="R89" s="108"/>
      <c r="S89" s="108"/>
      <c r="T89" s="108"/>
      <c r="U89" s="108"/>
      <c r="V89" s="108"/>
      <c r="W89" s="108"/>
    </row>
    <row r="90" spans="1:23">
      <c r="A90" s="108"/>
      <c r="B90" s="108"/>
      <c r="C90" s="108"/>
      <c r="D90" s="108"/>
      <c r="E90" s="108"/>
      <c r="F90" s="108"/>
      <c r="G90" s="108"/>
      <c r="H90" s="108"/>
      <c r="I90" s="108"/>
      <c r="J90" s="108"/>
      <c r="K90" s="108"/>
      <c r="L90" s="108"/>
      <c r="M90" s="108"/>
      <c r="N90" s="108"/>
      <c r="O90" s="108"/>
      <c r="P90" s="108"/>
      <c r="Q90" s="108"/>
      <c r="R90" s="108"/>
      <c r="S90" s="108"/>
      <c r="T90" s="108"/>
      <c r="U90" s="108"/>
      <c r="V90" s="108"/>
      <c r="W90" s="108"/>
    </row>
    <row r="91" spans="1:23">
      <c r="A91" s="108"/>
      <c r="B91" s="108"/>
      <c r="C91" s="108"/>
      <c r="D91" s="108"/>
      <c r="E91" s="108"/>
      <c r="F91" s="108"/>
      <c r="G91" s="108"/>
      <c r="H91" s="108"/>
      <c r="I91" s="108"/>
      <c r="J91" s="108"/>
      <c r="K91" s="108"/>
      <c r="L91" s="108"/>
      <c r="M91" s="108"/>
      <c r="N91" s="108"/>
      <c r="O91" s="108"/>
      <c r="P91" s="108"/>
      <c r="Q91" s="108"/>
      <c r="R91" s="108"/>
      <c r="S91" s="108"/>
      <c r="T91" s="108"/>
      <c r="U91" s="108"/>
      <c r="V91" s="108"/>
      <c r="W91" s="108"/>
    </row>
    <row r="92" spans="1:23">
      <c r="A92" s="108"/>
      <c r="B92" s="108"/>
      <c r="C92" s="108"/>
      <c r="D92" s="108"/>
      <c r="E92" s="108"/>
      <c r="F92" s="108"/>
      <c r="G92" s="108"/>
      <c r="H92" s="108"/>
      <c r="I92" s="108"/>
      <c r="J92" s="108"/>
      <c r="K92" s="108"/>
      <c r="L92" s="108"/>
      <c r="M92" s="108"/>
      <c r="N92" s="108"/>
      <c r="O92" s="108"/>
      <c r="P92" s="108"/>
      <c r="Q92" s="108"/>
      <c r="R92" s="108"/>
      <c r="S92" s="108"/>
      <c r="T92" s="108"/>
      <c r="U92" s="108"/>
      <c r="V92" s="108"/>
      <c r="W92" s="108"/>
    </row>
    <row r="93" spans="1:23">
      <c r="A93" s="108"/>
      <c r="B93" s="108"/>
      <c r="C93" s="108"/>
      <c r="D93" s="108"/>
      <c r="E93" s="108"/>
      <c r="F93" s="108"/>
      <c r="G93" s="108"/>
      <c r="H93" s="108"/>
      <c r="I93" s="108"/>
      <c r="J93" s="108"/>
      <c r="K93" s="108"/>
      <c r="L93" s="108"/>
      <c r="M93" s="108"/>
      <c r="N93" s="108"/>
      <c r="O93" s="108"/>
      <c r="P93" s="108"/>
      <c r="Q93" s="108"/>
      <c r="R93" s="108"/>
      <c r="S93" s="108"/>
      <c r="T93" s="108"/>
      <c r="U93" s="108"/>
      <c r="V93" s="108"/>
      <c r="W93" s="108"/>
    </row>
    <row r="94" spans="1:23">
      <c r="A94" s="108"/>
      <c r="B94" s="108"/>
      <c r="C94" s="108"/>
      <c r="D94" s="108"/>
      <c r="E94" s="108"/>
      <c r="F94" s="108"/>
      <c r="G94" s="108"/>
      <c r="H94" s="108"/>
      <c r="I94" s="108"/>
      <c r="J94" s="108"/>
      <c r="K94" s="108"/>
      <c r="L94" s="108"/>
      <c r="M94" s="108"/>
      <c r="N94" s="108"/>
      <c r="O94" s="108"/>
      <c r="P94" s="108"/>
      <c r="Q94" s="108"/>
      <c r="R94" s="108"/>
      <c r="S94" s="108"/>
      <c r="T94" s="108"/>
      <c r="U94" s="108"/>
      <c r="V94" s="108"/>
      <c r="W94" s="108"/>
    </row>
    <row r="95" spans="1:23">
      <c r="A95" s="108"/>
      <c r="B95" s="108"/>
      <c r="C95" s="108"/>
      <c r="D95" s="108"/>
      <c r="E95" s="108"/>
      <c r="F95" s="108"/>
      <c r="G95" s="108"/>
      <c r="H95" s="108"/>
      <c r="I95" s="108"/>
      <c r="J95" s="108"/>
      <c r="K95" s="108"/>
      <c r="L95" s="108"/>
      <c r="M95" s="108"/>
      <c r="N95" s="108"/>
      <c r="O95" s="108"/>
      <c r="P95" s="108"/>
      <c r="Q95" s="108"/>
      <c r="R95" s="108"/>
      <c r="S95" s="108"/>
      <c r="T95" s="108"/>
      <c r="U95" s="108"/>
      <c r="V95" s="108"/>
      <c r="W95" s="108"/>
    </row>
    <row r="96" spans="1:23">
      <c r="A96" s="108"/>
      <c r="B96" s="108"/>
      <c r="C96" s="108"/>
      <c r="D96" s="108"/>
      <c r="E96" s="108"/>
      <c r="F96" s="108"/>
      <c r="G96" s="108"/>
      <c r="H96" s="108"/>
      <c r="I96" s="108"/>
      <c r="J96" s="108"/>
      <c r="K96" s="108"/>
      <c r="L96" s="108"/>
      <c r="M96" s="108"/>
      <c r="N96" s="108"/>
      <c r="O96" s="108"/>
      <c r="P96" s="108"/>
      <c r="Q96" s="108"/>
      <c r="R96" s="108"/>
      <c r="S96" s="108"/>
      <c r="T96" s="108"/>
      <c r="U96" s="108"/>
      <c r="V96" s="108"/>
      <c r="W96" s="108"/>
    </row>
    <row r="97" spans="1:23">
      <c r="A97" s="108"/>
      <c r="B97" s="108"/>
      <c r="C97" s="108"/>
      <c r="D97" s="108"/>
      <c r="E97" s="108"/>
      <c r="F97" s="108"/>
      <c r="G97" s="108"/>
      <c r="H97" s="108"/>
      <c r="I97" s="108"/>
      <c r="J97" s="108"/>
      <c r="K97" s="108"/>
      <c r="L97" s="108"/>
      <c r="M97" s="108"/>
      <c r="N97" s="108"/>
      <c r="O97" s="108"/>
      <c r="P97" s="108"/>
      <c r="Q97" s="108"/>
      <c r="R97" s="108"/>
      <c r="S97" s="108"/>
      <c r="T97" s="108"/>
      <c r="U97" s="108"/>
      <c r="V97" s="108"/>
      <c r="W97" s="108"/>
    </row>
    <row r="98" spans="1:23">
      <c r="A98" s="108"/>
      <c r="B98" s="108"/>
      <c r="C98" s="108"/>
      <c r="D98" s="108"/>
      <c r="E98" s="108"/>
      <c r="F98" s="108"/>
      <c r="G98" s="108"/>
      <c r="H98" s="108"/>
      <c r="I98" s="108"/>
      <c r="J98" s="108"/>
      <c r="K98" s="108"/>
      <c r="L98" s="108"/>
      <c r="M98" s="108"/>
      <c r="N98" s="108"/>
      <c r="O98" s="108"/>
      <c r="P98" s="108"/>
      <c r="Q98" s="108"/>
      <c r="R98" s="108"/>
      <c r="S98" s="108"/>
      <c r="T98" s="108"/>
      <c r="U98" s="108"/>
      <c r="V98" s="108"/>
      <c r="W98" s="108"/>
    </row>
    <row r="99" spans="1:23">
      <c r="A99" s="108"/>
      <c r="B99" s="108"/>
      <c r="C99" s="108"/>
      <c r="D99" s="108"/>
      <c r="E99" s="108"/>
      <c r="F99" s="108"/>
      <c r="G99" s="108"/>
      <c r="H99" s="108"/>
      <c r="I99" s="108"/>
      <c r="J99" s="108"/>
      <c r="K99" s="108"/>
      <c r="L99" s="108"/>
      <c r="M99" s="108"/>
      <c r="N99" s="108"/>
      <c r="O99" s="108"/>
      <c r="P99" s="108"/>
      <c r="Q99" s="108"/>
      <c r="R99" s="108"/>
      <c r="S99" s="108"/>
      <c r="T99" s="108"/>
      <c r="U99" s="108"/>
      <c r="V99" s="108"/>
      <c r="W99" s="108"/>
    </row>
    <row r="100" spans="1:23">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row>
    <row r="101" spans="1:23">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row>
    <row r="102" spans="1:23">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row>
    <row r="103" spans="1:23">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row>
    <row r="104" spans="1:23">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row>
    <row r="105" spans="1:23">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row>
    <row r="106" spans="1:23">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row>
    <row r="107" spans="1:23">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row>
    <row r="108" spans="1:23">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row>
    <row r="109" spans="1:23">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row>
    <row r="110" spans="1:23">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row>
    <row r="111" spans="1:23">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row>
    <row r="112" spans="1:23">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row>
    <row r="113" spans="1:23">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row>
    <row r="114" spans="1:23">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row>
    <row r="115" spans="1:23">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row>
    <row r="116" spans="1:23">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row>
    <row r="117" spans="1:23">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row>
    <row r="118" spans="1:23">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row>
    <row r="119" spans="1:23">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row>
    <row r="120" spans="1:23">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row>
    <row r="121" spans="1:23">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row>
    <row r="122" spans="1:23">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row>
    <row r="123" spans="1:23">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row>
    <row r="124" spans="1:23">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row>
    <row r="125" spans="1:23">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row>
    <row r="126" spans="1:23">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row>
    <row r="127" spans="1:23">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row>
    <row r="128" spans="1:23">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row>
    <row r="129" spans="1:23">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row>
    <row r="130" spans="1:23">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row>
    <row r="131" spans="1:23">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row>
    <row r="132" spans="1:23">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row>
    <row r="133" spans="1:23">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row>
    <row r="134" spans="1:23">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row>
    <row r="135" spans="1:23">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row>
    <row r="136" spans="1:23">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row>
    <row r="137" spans="1:23">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row>
    <row r="138" spans="1:23">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row>
    <row r="139" spans="1:23">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row>
    <row r="140" spans="1:23">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row>
    <row r="141" spans="1:23">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row>
    <row r="142" spans="1:23">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row>
    <row r="143" spans="1:23">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row>
    <row r="144" spans="1:23">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row>
    <row r="145" spans="1:23">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row>
    <row r="146" spans="1:23">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row>
    <row r="147" spans="1:23">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row>
    <row r="148" spans="1:23">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row>
    <row r="149" spans="1:23">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row>
    <row r="150" spans="1:23">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row>
    <row r="151" spans="1:23">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row>
    <row r="152" spans="1:23">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row>
    <row r="153" spans="1:23">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row>
    <row r="154" spans="1:23">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row>
    <row r="155" spans="1:23">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row>
    <row r="156" spans="1:23">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row>
    <row r="157" spans="1:23">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row>
    <row r="158" spans="1:23">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row>
    <row r="159" spans="1:23">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row>
    <row r="160" spans="1:23">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row>
    <row r="161" spans="1:23">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row>
    <row r="162" spans="1:23">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row>
    <row r="163" spans="1:23">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row>
    <row r="164" spans="1:23">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row>
    <row r="165" spans="1:23">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row>
    <row r="166" spans="1:23">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row>
    <row r="167" spans="1:23">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row>
    <row r="168" spans="1:23">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row>
    <row r="169" spans="1:23">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row>
    <row r="170" spans="1:23">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row>
    <row r="171" spans="1:23">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row>
    <row r="172" spans="1:23">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row>
    <row r="173" spans="1:23">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row>
    <row r="174" spans="1:23">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row>
    <row r="175" spans="1:23">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row>
    <row r="176" spans="1:23">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row>
    <row r="177" spans="1:23">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row>
    <row r="178" spans="1:23">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row>
    <row r="179" spans="1:23">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row>
    <row r="180" spans="1:23">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row>
    <row r="181" spans="1:23">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row>
    <row r="182" spans="1:23">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row>
    <row r="183" spans="1:23">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row>
    <row r="184" spans="1:23">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row>
    <row r="185" spans="1:23">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row>
    <row r="186" spans="1:23">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row>
    <row r="187" spans="1:23">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row>
    <row r="188" spans="1:23">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row>
    <row r="189" spans="1:23">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row>
    <row r="190" spans="1:23">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row>
    <row r="191" spans="1:23">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row>
    <row r="192" spans="1:23">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row>
    <row r="193" spans="1:23">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row>
    <row r="194" spans="1:23">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row>
    <row r="195" spans="1:23">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row>
    <row r="196" spans="1:23">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row>
    <row r="197" spans="1:23">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row>
    <row r="198" spans="1:23">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row>
    <row r="199" spans="1:23">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row>
    <row r="200" spans="1:23">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row>
    <row r="201" spans="1:23">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row>
    <row r="202" spans="1:23">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row>
    <row r="203" spans="1:23">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row>
    <row r="204" spans="1:23">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row>
    <row r="205" spans="1:23">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row>
    <row r="206" spans="1:23">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row>
    <row r="207" spans="1:23">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row>
    <row r="208" spans="1:23">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row>
    <row r="209" spans="1:23">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row>
    <row r="210" spans="1:23">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row>
    <row r="211" spans="1:23">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row>
    <row r="212" spans="1:23">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row>
    <row r="213" spans="1:23">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row>
    <row r="214" spans="1:23">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row>
    <row r="215" spans="1:23">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row>
    <row r="216" spans="1:23">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row>
    <row r="217" spans="1:23">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row>
    <row r="218" spans="1:23">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row>
    <row r="219" spans="1:23">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row>
    <row r="220" spans="1:23">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row>
    <row r="221" spans="1:23">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row>
    <row r="222" spans="1:23">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row>
    <row r="223" spans="1:23">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row>
    <row r="224" spans="1:23">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row>
    <row r="225" spans="1:23">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row>
    <row r="226" spans="1:23">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row>
    <row r="227" spans="1:23">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row>
    <row r="228" spans="1:23">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row>
    <row r="229" spans="1:23">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row>
    <row r="230" spans="1:23">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row>
    <row r="231" spans="1:23">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row>
    <row r="232" spans="1:23">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row>
    <row r="233" spans="1:23">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row>
    <row r="234" spans="1:23">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row>
    <row r="235" spans="1:23">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row>
    <row r="236" spans="1:23">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row>
    <row r="237" spans="1:23">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row>
    <row r="238" spans="1:23">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row>
    <row r="239" spans="1:23">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row>
    <row r="240" spans="1:23">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row>
    <row r="241" spans="1:23">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row>
    <row r="242" spans="1:23">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row>
    <row r="243" spans="1:23">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row>
    <row r="244" spans="1:23">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row>
    <row r="245" spans="1:23">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row>
    <row r="246" spans="1:23">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row>
    <row r="247" spans="1:23">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row>
    <row r="248" spans="1:23">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row>
    <row r="249" spans="1:23">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row>
    <row r="250" spans="1:23">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row>
    <row r="251" spans="1:23">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row>
    <row r="252" spans="1:23">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row>
    <row r="253" spans="1:23">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row>
    <row r="254" spans="1:23">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row>
    <row r="255" spans="1:23">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row>
    <row r="256" spans="1:23">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row>
    <row r="257" spans="1:23">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row>
    <row r="258" spans="1:23">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row>
    <row r="259" spans="1:23">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row>
    <row r="260" spans="1:23">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row>
    <row r="261" spans="1:23">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row>
    <row r="262" spans="1:23">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row>
    <row r="263" spans="1:23">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row>
    <row r="264" spans="1:23">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row>
    <row r="265" spans="1:23">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row>
    <row r="266" spans="1:23">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row>
    <row r="267" spans="1:23">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row>
    <row r="268" spans="1:23">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row>
    <row r="269" spans="1:23">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row>
    <row r="270" spans="1:23">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row>
    <row r="271" spans="1:23">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row>
    <row r="272" spans="1:23">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row>
    <row r="273" spans="1:23">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row>
    <row r="274" spans="1:23">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row>
    <row r="275" spans="1:23">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row>
    <row r="276" spans="1:23">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row>
    <row r="277" spans="1:23">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row>
    <row r="278" spans="1:23">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row>
    <row r="279" spans="1:23">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row>
    <row r="280" spans="1:23">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row>
    <row r="281" spans="1:23">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row>
    <row r="282" spans="1:23">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row>
    <row r="283" spans="1:23">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row>
    <row r="284" spans="1:23">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row>
    <row r="285" spans="1:23">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row>
    <row r="286" spans="1:23">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row>
    <row r="287" spans="1:23">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row>
    <row r="288" spans="1:23">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row>
    <row r="289" spans="1:23">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row>
    <row r="290" spans="1:23">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row>
    <row r="291" spans="1:23">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row>
    <row r="292" spans="1:23">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row>
    <row r="293" spans="1:23">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row>
    <row r="294" spans="1:23">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row>
    <row r="295" spans="1:23">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row>
    <row r="296" spans="1:23">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row>
    <row r="297" spans="1:23">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row>
    <row r="298" spans="1:23">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row>
    <row r="299" spans="1:23">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row>
    <row r="300" spans="1:23">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row>
    <row r="301" spans="1:23">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row>
    <row r="302" spans="1:23">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row>
    <row r="303" spans="1:23">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row>
    <row r="304" spans="1:23">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row>
    <row r="305" spans="1:23">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row>
    <row r="306" spans="1:23">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row>
    <row r="307" spans="1:23">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row>
    <row r="308" spans="1:23">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row>
    <row r="309" spans="1:23">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row>
    <row r="310" spans="1:23">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row>
    <row r="311" spans="1:23">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row>
    <row r="312" spans="1:23">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row>
    <row r="313" spans="1:23">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row>
    <row r="314" spans="1:23">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row>
    <row r="315" spans="1:23">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row>
    <row r="316" spans="1:23">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row>
    <row r="317" spans="1:23">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row>
    <row r="318" spans="1:23">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row>
    <row r="319" spans="1:23">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row>
    <row r="320" spans="1:23">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row>
    <row r="321" spans="1:23">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row>
    <row r="322" spans="1:23">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row>
    <row r="323" spans="1:23">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row>
    <row r="324" spans="1:23">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row>
    <row r="325" spans="1:23">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row>
    <row r="326" spans="1:23">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row>
    <row r="327" spans="1:23">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row>
    <row r="328" spans="1:23">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row>
    <row r="329" spans="1:23">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row>
    <row r="330" spans="1:23">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row>
    <row r="331" spans="1:23">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row>
    <row r="332" spans="1:23">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row>
    <row r="333" spans="1:23">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row>
    <row r="334" spans="1:23">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row>
    <row r="335" spans="1:23">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row>
    <row r="336" spans="1:23">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row>
    <row r="337" spans="1:23">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row>
    <row r="338" spans="1:23">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row>
    <row r="339" spans="1:23">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row>
    <row r="340" spans="1:23">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row>
    <row r="341" spans="1:23">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row>
    <row r="342" spans="1:23">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row>
    <row r="343" spans="1:23">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row>
    <row r="344" spans="1:23">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row>
    <row r="345" spans="1:23">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row>
    <row r="346" spans="1:23">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row>
    <row r="347" spans="1:23">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row>
    <row r="348" spans="1:23">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row>
    <row r="349" spans="1:23">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row>
    <row r="350" spans="1:23">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row>
    <row r="351" spans="1:23">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row>
    <row r="352" spans="1:23">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row>
    <row r="353" spans="1:23">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row>
    <row r="354" spans="1:23">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row>
    <row r="355" spans="1:23">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row>
    <row r="356" spans="1:23">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row>
    <row r="357" spans="1:23">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row>
    <row r="358" spans="1:23">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row>
    <row r="359" spans="1:23">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row>
    <row r="360" spans="1:23">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row>
    <row r="361" spans="1:23">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row>
    <row r="362" spans="1:23">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row>
    <row r="363" spans="1:23">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row>
    <row r="364" spans="1:23">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row>
    <row r="365" spans="1:23">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row>
    <row r="366" spans="1:23">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row>
    <row r="367" spans="1:23">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row>
    <row r="368" spans="1:23">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row>
    <row r="369" spans="1:23">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row>
    <row r="370" spans="1:23">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row>
    <row r="371" spans="1:23">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row>
    <row r="372" spans="1:23">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row>
    <row r="373" spans="1:23">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row>
    <row r="374" spans="1:23">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row>
    <row r="375" spans="1:23">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row>
    <row r="376" spans="1:23">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row>
    <row r="377" spans="1:23">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row>
    <row r="378" spans="1:23">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row>
    <row r="379" spans="1:23">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row>
    <row r="380" spans="1:23">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row>
    <row r="381" spans="1:23">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row>
    <row r="382" spans="1:23">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row>
    <row r="383" spans="1:23">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row>
    <row r="384" spans="1:23">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row>
    <row r="385" spans="1:23">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row>
    <row r="386" spans="1:23">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row>
    <row r="387" spans="1:23">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row>
    <row r="388" spans="1:23">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row>
    <row r="389" spans="1:23">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row>
    <row r="390" spans="1:23">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row>
    <row r="391" spans="1:23">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row>
    <row r="392" spans="1:23">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row>
    <row r="393" spans="1:23">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row>
    <row r="394" spans="1:23">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row>
    <row r="395" spans="1:23">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row>
    <row r="396" spans="1:23">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row>
    <row r="397" spans="1:23">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row>
    <row r="398" spans="1:23">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row>
    <row r="399" spans="1:23">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row>
    <row r="400" spans="1:23">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row>
    <row r="401" spans="1:23">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row>
    <row r="402" spans="1:23">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row>
    <row r="403" spans="1:23">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row>
    <row r="404" spans="1:23">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row>
    <row r="405" spans="1:23">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row>
    <row r="406" spans="1:23">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row>
    <row r="407" spans="1:23">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row>
    <row r="408" spans="1:23">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row>
    <row r="409" spans="1:23">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row>
    <row r="410" spans="1:23">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row>
    <row r="411" spans="1:23">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row>
    <row r="412" spans="1:23">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row>
    <row r="413" spans="1:23">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row>
    <row r="414" spans="1:23">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row>
    <row r="415" spans="1:23">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row>
    <row r="416" spans="1:23">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row>
    <row r="417" spans="1:23">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row>
    <row r="418" spans="1:23">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row>
    <row r="419" spans="1:23">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row>
    <row r="420" spans="1:23">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row>
    <row r="421" spans="1:23">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row>
    <row r="422" spans="1:23">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row>
    <row r="423" spans="1:23">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row>
    <row r="424" spans="1:23">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row>
    <row r="425" spans="1:23">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row>
    <row r="426" spans="1:23">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row>
    <row r="427" spans="1:23">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row>
    <row r="428" spans="1:23">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row>
    <row r="429" spans="1:23">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row>
    <row r="430" spans="1:23">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row>
    <row r="431" spans="1:23">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row>
    <row r="432" spans="1:23">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row>
    <row r="433" spans="1:23">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row>
    <row r="434" spans="1:23">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row>
    <row r="435" spans="1:23">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row>
    <row r="436" spans="1:23">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row>
    <row r="437" spans="1:23">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row>
    <row r="438" spans="1:23">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row>
    <row r="439" spans="1:23">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row>
    <row r="440" spans="1:23">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row>
    <row r="441" spans="1:23">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row>
    <row r="442" spans="1:23">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row>
    <row r="443" spans="1:23">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row>
    <row r="444" spans="1:23">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row>
    <row r="445" spans="1:23">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row>
    <row r="446" spans="1:23">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row>
    <row r="447" spans="1:23">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row>
    <row r="448" spans="1:23">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row>
    <row r="449" spans="1:23">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row>
    <row r="450" spans="1:23">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row>
    <row r="451" spans="1:23">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row>
    <row r="452" spans="1:23">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row>
    <row r="453" spans="1:23">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row>
    <row r="454" spans="1:23">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row>
    <row r="455" spans="1:23">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row>
    <row r="456" spans="1:23">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row>
    <row r="457" spans="1:23">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row>
    <row r="458" spans="1:23">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row>
    <row r="459" spans="1:23">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row>
    <row r="460" spans="1:23">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row>
    <row r="461" spans="1:23">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row>
    <row r="462" spans="1:23">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row>
    <row r="463" spans="1:23">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row>
    <row r="464" spans="1:23">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row>
    <row r="465" spans="1:23">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row>
    <row r="466" spans="1:23">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row>
    <row r="467" spans="1:23">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row>
    <row r="468" spans="1:23">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row>
    <row r="469" spans="1:23">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row>
    <row r="470" spans="1:23">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row>
    <row r="471" spans="1:23">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row>
    <row r="472" spans="1:23">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row>
    <row r="473" spans="1:23">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row>
    <row r="474" spans="1:23">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row>
    <row r="475" spans="1:23">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row>
    <row r="476" spans="1:23">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row>
    <row r="477" spans="1:23">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row>
    <row r="478" spans="1:23">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row>
    <row r="479" spans="1:23">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row>
    <row r="480" spans="1:23">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row>
    <row r="481" spans="1:23">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row>
    <row r="482" spans="1:23">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row>
    <row r="483" spans="1:23">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row>
    <row r="484" spans="1:23">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row>
    <row r="485" spans="1:23">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row>
    <row r="486" spans="1:23">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row>
    <row r="487" spans="1:23">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row>
    <row r="488" spans="1:23">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row>
    <row r="489" spans="1:23">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row>
    <row r="490" spans="1:23">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row>
    <row r="491" spans="1:23">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row>
    <row r="492" spans="1:23">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row>
    <row r="493" spans="1:23">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row>
    <row r="494" spans="1:23">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row>
    <row r="495" spans="1:23">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row>
    <row r="496" spans="1:23">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row>
    <row r="497" spans="1:23">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row>
    <row r="498" spans="1:23">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row>
    <row r="499" spans="1:23">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row>
    <row r="500" spans="1:23">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row>
    <row r="501" spans="1:23">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row>
    <row r="502" spans="1:23">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row>
    <row r="503" spans="1:23">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row>
    <row r="504" spans="1:23">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row>
    <row r="505" spans="1:23">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row>
    <row r="506" spans="1:23">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row>
    <row r="507" spans="1:23">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row>
    <row r="508" spans="1:23">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row>
    <row r="509" spans="1:23">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row>
    <row r="510" spans="1:23">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row>
    <row r="511" spans="1:23">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row>
    <row r="512" spans="1:23">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row>
    <row r="513" spans="1:23">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row>
    <row r="514" spans="1:23">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row>
    <row r="515" spans="1:23">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row>
    <row r="516" spans="1:23">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row>
    <row r="517" spans="1:23">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row>
    <row r="518" spans="1:23">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row>
    <row r="519" spans="1:23">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row>
    <row r="520" spans="1:23">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row>
    <row r="521" spans="1:23">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row>
    <row r="522" spans="1:23">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row>
    <row r="523" spans="1:23">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row>
    <row r="524" spans="1:23">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row>
    <row r="525" spans="1:23">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row>
    <row r="526" spans="1:23">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row>
    <row r="527" spans="1:23">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row>
    <row r="528" spans="1:23">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row>
    <row r="529" spans="1:23">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row>
    <row r="530" spans="1:23">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row>
    <row r="531" spans="1:23">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row>
    <row r="532" spans="1:23">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row>
    <row r="533" spans="1:23">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row>
    <row r="534" spans="1:23">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row>
    <row r="535" spans="1:23">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row>
    <row r="536" spans="1:23">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row>
    <row r="537" spans="1:23">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row>
    <row r="538" spans="1:23">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row>
    <row r="539" spans="1:23">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row>
    <row r="540" spans="1:23">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row>
    <row r="541" spans="1:23">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row>
    <row r="542" spans="1:23">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row>
    <row r="543" spans="1:23">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row>
    <row r="544" spans="1:23">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row>
    <row r="545" spans="1:23">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row>
    <row r="546" spans="1:23">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row>
    <row r="547" spans="1:23">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row>
    <row r="548" spans="1:23">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row>
    <row r="549" spans="1:23">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row>
    <row r="550" spans="1:23">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row>
    <row r="551" spans="1:23">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row>
    <row r="552" spans="1:23">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row>
    <row r="553" spans="1:23">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row>
    <row r="554" spans="1:23">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row>
    <row r="555" spans="1:23">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row>
    <row r="556" spans="1:23">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row>
    <row r="557" spans="1:23">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row>
    <row r="558" spans="1:23">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row>
    <row r="559" spans="1:23">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row>
    <row r="560" spans="1:23">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row>
    <row r="561" spans="1:23">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row>
    <row r="562" spans="1:23">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row>
    <row r="563" spans="1:23">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row>
    <row r="564" spans="1:23">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row>
    <row r="565" spans="1:23">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row>
    <row r="566" spans="1:23">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row>
    <row r="567" spans="1:23">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row>
    <row r="568" spans="1:23">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row>
    <row r="569" spans="1:23">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row>
    <row r="570" spans="1:23">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row>
    <row r="571" spans="1:23">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row>
    <row r="572" spans="1:23">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row>
    <row r="573" spans="1:23">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row>
    <row r="574" spans="1:23">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row>
    <row r="575" spans="1:23">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row>
    <row r="576" spans="1:23">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row>
    <row r="577" spans="1:23">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row>
    <row r="578" spans="1:23">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row>
    <row r="579" spans="1:23">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row>
    <row r="580" spans="1:23">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row>
    <row r="581" spans="1:23">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row>
    <row r="582" spans="1:23">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row>
    <row r="583" spans="1:23">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row>
    <row r="584" spans="1:23">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row>
    <row r="585" spans="1:23">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row>
    <row r="586" spans="1:23">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row>
    <row r="587" spans="1:23">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row>
    <row r="588" spans="1:23">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row>
    <row r="589" spans="1:23">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row>
    <row r="590" spans="1:23">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row>
    <row r="591" spans="1:23">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row>
    <row r="592" spans="1:23">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row>
    <row r="593" spans="1:23">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row>
    <row r="594" spans="1:23">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row>
    <row r="595" spans="1:23">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row>
    <row r="596" spans="1:23">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row>
    <row r="597" spans="1:23">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row>
    <row r="598" spans="1:23">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row>
    <row r="599" spans="1:23">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row>
    <row r="600" spans="1:23">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row>
    <row r="601" spans="1:23">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row>
    <row r="602" spans="1:23">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row>
    <row r="603" spans="1:23">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row>
    <row r="604" spans="1:23">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row>
    <row r="605" spans="1:23">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row>
    <row r="606" spans="1:23">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row>
    <row r="607" spans="1:23">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row>
    <row r="608" spans="1:23">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row>
    <row r="609" spans="1:23">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row>
    <row r="610" spans="1:23">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row>
    <row r="611" spans="1:23">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row>
    <row r="612" spans="1:23">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row>
    <row r="613" spans="1:23">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row>
    <row r="614" spans="1:23">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row>
    <row r="615" spans="1:23">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row>
    <row r="616" spans="1:23">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row>
    <row r="617" spans="1:23">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row>
    <row r="618" spans="1:23">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row>
    <row r="619" spans="1:23">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row>
    <row r="620" spans="1:23">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row>
    <row r="621" spans="1:23">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row>
    <row r="622" spans="1:23">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row>
    <row r="623" spans="1:23">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row>
    <row r="624" spans="1:23">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row>
    <row r="625" spans="1:23">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row>
    <row r="626" spans="1:23">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row>
    <row r="627" spans="1:23">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row>
    <row r="628" spans="1:23">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row>
    <row r="629" spans="1:23">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row>
    <row r="630" spans="1:23">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row>
    <row r="631" spans="1:23">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row>
    <row r="632" spans="1:23">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row>
    <row r="633" spans="1:23">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row>
    <row r="634" spans="1:23">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row>
    <row r="635" spans="1:23">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row>
    <row r="636" spans="1:23">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row>
    <row r="637" spans="1:23">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row>
    <row r="638" spans="1:23">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row>
    <row r="639" spans="1:23">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row>
    <row r="640" spans="1:23">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row>
    <row r="641" spans="1:23">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row>
    <row r="642" spans="1:23">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row>
    <row r="643" spans="1:23">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row>
    <row r="644" spans="1:23">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row>
    <row r="645" spans="1:23">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row>
    <row r="646" spans="1:23">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row>
    <row r="647" spans="1:23">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row>
    <row r="648" spans="1:23">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row>
    <row r="649" spans="1:23">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row>
    <row r="650" spans="1:23">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row>
    <row r="651" spans="1:23">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row>
    <row r="652" spans="1:23">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row>
    <row r="653" spans="1:23">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row>
    <row r="654" spans="1:23">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row>
    <row r="655" spans="1:23">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row>
    <row r="656" spans="1:23">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row>
    <row r="657" spans="1:23">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row>
    <row r="658" spans="1:23">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row>
    <row r="659" spans="1:23">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row>
    <row r="660" spans="1:23">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row>
    <row r="661" spans="1:23">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row>
    <row r="662" spans="1:23">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row>
    <row r="663" spans="1:23">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row>
    <row r="664" spans="1:23">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row>
    <row r="665" spans="1:23">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row>
    <row r="666" spans="1:23">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row>
    <row r="667" spans="1:23">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row>
    <row r="668" spans="1:23">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row>
    <row r="669" spans="1:23">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row>
    <row r="670" spans="1:23">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row>
    <row r="671" spans="1:23">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row>
    <row r="672" spans="1:23">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row>
    <row r="673" spans="1:23">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row>
    <row r="674" spans="1:23">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row>
    <row r="675" spans="1:23">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row>
    <row r="676" spans="1:23">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row>
    <row r="677" spans="1:23">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row>
    <row r="678" spans="1:23">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row>
    <row r="679" spans="1:23">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row>
    <row r="680" spans="1:23">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row>
    <row r="681" spans="1:23">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row>
    <row r="682" spans="1:23">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row>
    <row r="683" spans="1:23">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row>
    <row r="684" spans="1:23">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row>
    <row r="685" spans="1:23">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row>
    <row r="686" spans="1:23">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row>
    <row r="687" spans="1:23">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row>
    <row r="688" spans="1:23">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row>
    <row r="689" spans="1:23">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row>
    <row r="690" spans="1:23">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row>
    <row r="691" spans="1:23">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row>
    <row r="692" spans="1:23">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row>
    <row r="693" spans="1:23">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row>
    <row r="694" spans="1:23">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row>
    <row r="695" spans="1:23">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row>
    <row r="696" spans="1:23">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row>
    <row r="697" spans="1:23">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row>
    <row r="698" spans="1:23">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row>
    <row r="699" spans="1:23">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row>
    <row r="700" spans="1:23">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row>
    <row r="701" spans="1:23">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row>
    <row r="702" spans="1:23">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row>
    <row r="703" spans="1:23">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row>
    <row r="704" spans="1:23">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row>
    <row r="705" spans="1:23">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row>
    <row r="706" spans="1:23">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row>
    <row r="707" spans="1:23">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row>
    <row r="708" spans="1:23">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row>
    <row r="709" spans="1:23">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row>
    <row r="710" spans="1:23">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row>
    <row r="711" spans="1:23">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row>
    <row r="712" spans="1:23">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row>
    <row r="713" spans="1:23">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row>
    <row r="714" spans="1:23">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row>
    <row r="715" spans="1:23">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row>
    <row r="716" spans="1:23">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row>
    <row r="717" spans="1:23">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row>
    <row r="718" spans="1:23">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row>
    <row r="719" spans="1:23">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row>
    <row r="720" spans="1:23">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row>
    <row r="721" spans="1:23">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row>
    <row r="722" spans="1:23">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row>
    <row r="723" spans="1:23">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row>
    <row r="724" spans="1:23">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row>
    <row r="725" spans="1:23">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row>
    <row r="726" spans="1:23">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row>
    <row r="727" spans="1:23">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row>
    <row r="728" spans="1:23">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row>
    <row r="729" spans="1:23">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row>
    <row r="730" spans="1:23">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row>
    <row r="731" spans="1:23">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row>
    <row r="732" spans="1:23">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row>
    <row r="733" spans="1:23">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row>
    <row r="734" spans="1:23">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row>
    <row r="735" spans="1:23">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row>
    <row r="736" spans="1:23">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row>
    <row r="737" spans="1:23">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row>
    <row r="738" spans="1:23">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row>
    <row r="739" spans="1:23">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row>
    <row r="740" spans="1:23">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row>
    <row r="741" spans="1:23">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row>
    <row r="742" spans="1:23">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row>
    <row r="743" spans="1:23">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row>
    <row r="744" spans="1:23">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row>
    <row r="745" spans="1:23">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row>
    <row r="746" spans="1:23">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row>
    <row r="747" spans="1:23">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row>
    <row r="748" spans="1:23">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row>
    <row r="749" spans="1:23">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row>
    <row r="750" spans="1:23">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row>
    <row r="751" spans="1:23">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row>
    <row r="752" spans="1:23">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row>
    <row r="753" spans="1:23">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row>
    <row r="754" spans="1:23">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row>
    <row r="755" spans="1:23">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row>
    <row r="756" spans="1:23">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row>
    <row r="757" spans="1:23">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row>
    <row r="758" spans="1:23">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row>
    <row r="759" spans="1:23">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row>
    <row r="760" spans="1:23">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row>
    <row r="761" spans="1:23">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row>
    <row r="762" spans="1:23">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row>
    <row r="763" spans="1:23">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row>
    <row r="764" spans="1:23">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row>
    <row r="765" spans="1:23">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row>
    <row r="766" spans="1:23">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row>
    <row r="767" spans="1:23">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row>
    <row r="768" spans="1:23">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row>
    <row r="769" spans="1:23">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row>
    <row r="770" spans="1:23">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row>
    <row r="771" spans="1:23">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row>
    <row r="772" spans="1:23">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row>
    <row r="773" spans="1:23">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row>
    <row r="774" spans="1:23">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row>
    <row r="775" spans="1:23">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row>
    <row r="776" spans="1:23">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row>
    <row r="777" spans="1:23">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row>
    <row r="778" spans="1:23">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row>
    <row r="779" spans="1:23">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row>
    <row r="780" spans="1:23">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row>
    <row r="781" spans="1:23">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row>
    <row r="782" spans="1:23">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row>
    <row r="783" spans="1:23">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row>
    <row r="784" spans="1:23">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row>
    <row r="785" spans="1:23">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row>
    <row r="786" spans="1:23">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row>
    <row r="787" spans="1:23">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row>
    <row r="788" spans="1:23">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row>
    <row r="789" spans="1:23">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row>
    <row r="790" spans="1:23">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row>
    <row r="791" spans="1:23">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row>
    <row r="792" spans="1:23">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row>
    <row r="793" spans="1:23">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row>
    <row r="794" spans="1:23">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row>
    <row r="795" spans="1:23">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row>
    <row r="796" spans="1:23">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row>
    <row r="797" spans="1:23">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row>
    <row r="798" spans="1:23">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row>
    <row r="799" spans="1:23">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row>
    <row r="800" spans="1:23">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row>
    <row r="801" spans="1:23">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row>
    <row r="802" spans="1:23">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row>
    <row r="803" spans="1:23">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row>
    <row r="804" spans="1:23">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row>
    <row r="805" spans="1:23">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row>
    <row r="806" spans="1:23">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row>
    <row r="807" spans="1:23">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row>
    <row r="808" spans="1:23">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row>
    <row r="809" spans="1:23">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row>
    <row r="810" spans="1:23">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row>
    <row r="811" spans="1:23">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row>
    <row r="812" spans="1:23">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row>
    <row r="813" spans="1:23">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row>
    <row r="814" spans="1:23">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row>
    <row r="815" spans="1:23">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row>
    <row r="816" spans="1:23">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row>
    <row r="817" spans="1:23">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row>
    <row r="818" spans="1:23">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row>
    <row r="819" spans="1:23">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row>
    <row r="820" spans="1:23">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row>
    <row r="821" spans="1:23">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row>
    <row r="822" spans="1:23">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row>
    <row r="823" spans="1:23">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row>
    <row r="824" spans="1:23">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row>
    <row r="825" spans="1:23">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row>
    <row r="826" spans="1:23">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row>
    <row r="827" spans="1:23">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row>
    <row r="828" spans="1:23">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row>
    <row r="829" spans="1:23">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row>
    <row r="830" spans="1:23">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row>
    <row r="831" spans="1:23">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row>
    <row r="832" spans="1:23">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row>
    <row r="833" spans="1:23">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row>
    <row r="834" spans="1:23">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row>
    <row r="835" spans="1:23">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row>
    <row r="836" spans="1:23">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row>
    <row r="837" spans="1:23">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row>
    <row r="838" spans="1:23">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row>
    <row r="839" spans="1:23">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row>
    <row r="840" spans="1:23">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row>
    <row r="841" spans="1:23">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row>
    <row r="842" spans="1:23">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row>
    <row r="843" spans="1:23">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row>
    <row r="844" spans="1:23">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row>
    <row r="845" spans="1:23">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row>
    <row r="846" spans="1:23">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row>
    <row r="847" spans="1:23">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row>
    <row r="848" spans="1:23">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row>
    <row r="849" spans="1:23">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row>
    <row r="850" spans="1:23">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row>
    <row r="851" spans="1:23">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row>
    <row r="852" spans="1:23">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row>
    <row r="853" spans="1:23">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row>
    <row r="854" spans="1:23">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row>
    <row r="855" spans="1:23">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row>
    <row r="856" spans="1:23">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row>
    <row r="857" spans="1:23">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row>
    <row r="858" spans="1:23">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row>
    <row r="859" spans="1:23">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row>
    <row r="860" spans="1:23">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row>
    <row r="861" spans="1:23">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row>
    <row r="862" spans="1:23">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row>
    <row r="863" spans="1:23">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row>
    <row r="864" spans="1:23">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row>
    <row r="865" spans="1:23">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row>
    <row r="866" spans="1:23">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row>
    <row r="867" spans="1:23">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row>
    <row r="868" spans="1:23">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row>
    <row r="869" spans="1:23">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row>
    <row r="870" spans="1:23">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row>
    <row r="871" spans="1:23">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row>
    <row r="872" spans="1:23">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row>
    <row r="873" spans="1:23">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row>
    <row r="874" spans="1:23">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row>
    <row r="875" spans="1:23">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row>
    <row r="876" spans="1:23">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row>
    <row r="877" spans="1:23">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row>
    <row r="878" spans="1:23">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row>
    <row r="879" spans="1:23">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row>
    <row r="880" spans="1:23">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row>
    <row r="881" spans="1:23">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row>
    <row r="882" spans="1:23">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row>
    <row r="883" spans="1:23">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row>
    <row r="884" spans="1:23">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row>
    <row r="885" spans="1:23">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row>
    <row r="886" spans="1:23">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row>
    <row r="887" spans="1:23">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row>
    <row r="888" spans="1:23">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row>
    <row r="889" spans="1:23">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row>
    <row r="890" spans="1:23">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row>
    <row r="891" spans="1:23">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row>
    <row r="892" spans="1:23">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row>
    <row r="893" spans="1:23">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row>
    <row r="894" spans="1:23">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row>
    <row r="895" spans="1:23">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row>
    <row r="896" spans="1:23">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row>
    <row r="897" spans="1:23">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row>
    <row r="898" spans="1:23">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row>
    <row r="899" spans="1:23">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row>
    <row r="900" spans="1:23">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row>
    <row r="901" spans="1:23">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row>
    <row r="902" spans="1:23">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row>
    <row r="903" spans="1:23">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row>
    <row r="904" spans="1:23">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row>
    <row r="905" spans="1:23">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row>
    <row r="906" spans="1:23">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row>
    <row r="907" spans="1:23">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row>
    <row r="908" spans="1:23">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row>
    <row r="909" spans="1:23">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row>
    <row r="910" spans="1:23">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row>
    <row r="911" spans="1:23">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row>
    <row r="912" spans="1:23">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row>
    <row r="913" spans="1:23">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row>
    <row r="914" spans="1:23">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row>
    <row r="915" spans="1:23">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row>
    <row r="916" spans="1:23">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row>
    <row r="917" spans="1:23">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row>
    <row r="918" spans="1:23">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row>
    <row r="919" spans="1:23">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row>
    <row r="920" spans="1:23">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row>
    <row r="921" spans="1:23">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row>
    <row r="922" spans="1:23">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row>
    <row r="923" spans="1:23">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row>
    <row r="924" spans="1:23">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row>
    <row r="925" spans="1:23">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row>
    <row r="926" spans="1:23">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row>
    <row r="927" spans="1:23">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row>
    <row r="928" spans="1:23">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row>
    <row r="929" spans="1:23">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row>
    <row r="930" spans="1:23">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row>
    <row r="931" spans="1:23">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row>
    <row r="932" spans="1:23">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row>
    <row r="933" spans="1:23">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row>
    <row r="934" spans="1:23">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row>
    <row r="935" spans="1:23">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row>
    <row r="936" spans="1:23">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row>
    <row r="937" spans="1:23">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row>
    <row r="938" spans="1:23">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row>
    <row r="939" spans="1:23">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row>
    <row r="940" spans="1:23">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row>
    <row r="941" spans="1:23">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row>
    <row r="942" spans="1:23">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row>
    <row r="943" spans="1:23">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row>
    <row r="944" spans="1:23">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row>
    <row r="945" spans="1:23">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row>
    <row r="946" spans="1:23">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row>
    <row r="947" spans="1:23">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row>
    <row r="948" spans="1:23">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row>
    <row r="949" spans="1:23">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row>
    <row r="950" spans="1:23">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row>
    <row r="951" spans="1:23">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row>
    <row r="952" spans="1:23">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row>
    <row r="953" spans="1:23">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row>
    <row r="954" spans="1:23">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row>
    <row r="955" spans="1:23">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row>
    <row r="956" spans="1:23">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row>
    <row r="957" spans="1:23">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row>
    <row r="958" spans="1:23">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row>
    <row r="959" spans="1:23">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row>
    <row r="960" spans="1:23">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row>
    <row r="961" spans="1:23">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row>
    <row r="962" spans="1:23">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row>
    <row r="963" spans="1:23">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row>
    <row r="964" spans="1:23">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row>
    <row r="965" spans="1:23">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row>
    <row r="966" spans="1:23">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row>
    <row r="967" spans="1:23">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row>
    <row r="968" spans="1:23">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row>
    <row r="969" spans="1:23">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row>
    <row r="970" spans="1:23">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row>
    <row r="971" spans="1:23">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row>
    <row r="972" spans="1:23">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row>
    <row r="973" spans="1:23">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row>
    <row r="974" spans="1:23">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row>
    <row r="975" spans="1:23">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row>
    <row r="976" spans="1:23">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row>
    <row r="977" spans="1:23">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row>
    <row r="978" spans="1:23">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row>
    <row r="979" spans="1:23">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row>
    <row r="980" spans="1:23">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row>
    <row r="981" spans="1:23">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row>
    <row r="982" spans="1:23">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row>
    <row r="983" spans="1:23">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row>
    <row r="984" spans="1:23">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row>
    <row r="985" spans="1:23">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row>
    <row r="986" spans="1:23">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row>
    <row r="987" spans="1:23">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row>
    <row r="988" spans="1:23">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row>
    <row r="989" spans="1:23">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row>
    <row r="990" spans="1:23">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row>
    <row r="991" spans="1:23">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row>
    <row r="992" spans="1:23">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row>
    <row r="993" spans="1:23">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row>
    <row r="994" spans="1:23">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row>
    <row r="995" spans="1:23">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5DA4-1A55-460B-9D3D-AF7092E615F8}">
  <dimension ref="A1:A10"/>
  <sheetViews>
    <sheetView workbookViewId="0">
      <selection activeCell="A3" sqref="A3:A5"/>
    </sheetView>
  </sheetViews>
  <sheetFormatPr defaultColWidth="8.69921875" defaultRowHeight="15.6"/>
  <sheetData>
    <row r="1" spans="1:1">
      <c r="A1" t="s">
        <v>370</v>
      </c>
    </row>
    <row r="2" spans="1:1">
      <c r="A2" s="95" t="s">
        <v>371</v>
      </c>
    </row>
    <row r="3" spans="1:1">
      <c r="A3" t="s">
        <v>372</v>
      </c>
    </row>
    <row r="4" spans="1:1">
      <c r="A4" t="s">
        <v>373</v>
      </c>
    </row>
    <row r="5" spans="1:1">
      <c r="A5" t="s">
        <v>374</v>
      </c>
    </row>
    <row r="7" spans="1:1">
      <c r="A7" s="95" t="s">
        <v>375</v>
      </c>
    </row>
    <row r="8" spans="1:1">
      <c r="A8" t="s">
        <v>376</v>
      </c>
    </row>
    <row r="9" spans="1:1">
      <c r="A9" t="s">
        <v>377</v>
      </c>
    </row>
    <row r="10" spans="1:1">
      <c r="A10" t="s">
        <v>378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DDD8-1C9C-4CA6-A8ED-5D5EBFA26FFC}">
  <dimension ref="A1:U11"/>
  <sheetViews>
    <sheetView workbookViewId="0">
      <selection activeCell="A13" sqref="A13"/>
    </sheetView>
  </sheetViews>
  <sheetFormatPr defaultColWidth="8.69921875" defaultRowHeight="15.6"/>
  <cols>
    <col min="1" max="19" width="17.69921875" customWidth="1"/>
    <col min="20" max="20" width="25.69921875" customWidth="1"/>
    <col min="21" max="21" width="17.69921875" customWidth="1"/>
  </cols>
  <sheetData>
    <row r="1" spans="1:21">
      <c r="A1" s="240" t="s">
        <v>379</v>
      </c>
      <c r="B1" s="240"/>
      <c r="C1" s="240"/>
      <c r="D1" s="240"/>
      <c r="E1" s="240"/>
      <c r="F1" s="87"/>
      <c r="G1" s="87"/>
      <c r="H1" s="87"/>
      <c r="I1" s="87"/>
      <c r="J1" s="87"/>
      <c r="K1" s="87"/>
      <c r="L1" s="240" t="s">
        <v>380</v>
      </c>
      <c r="M1" s="240"/>
      <c r="N1" s="240"/>
      <c r="O1" s="240"/>
      <c r="P1" s="240" t="s">
        <v>381</v>
      </c>
      <c r="Q1" s="240"/>
      <c r="R1" s="240"/>
      <c r="S1" s="240"/>
      <c r="T1" s="87"/>
      <c r="U1" s="87"/>
    </row>
    <row r="2" spans="1:21">
      <c r="A2" s="87" t="s">
        <v>382</v>
      </c>
      <c r="B2" s="87" t="s">
        <v>383</v>
      </c>
      <c r="C2" s="87" t="s">
        <v>384</v>
      </c>
      <c r="D2" s="87" t="s">
        <v>385</v>
      </c>
      <c r="E2" s="87" t="s">
        <v>386</v>
      </c>
      <c r="F2" s="87" t="s">
        <v>387</v>
      </c>
      <c r="G2" s="87" t="s">
        <v>388</v>
      </c>
      <c r="H2" s="87" t="s">
        <v>389</v>
      </c>
      <c r="I2" s="87" t="s">
        <v>390</v>
      </c>
      <c r="J2" s="87" t="s">
        <v>391</v>
      </c>
      <c r="K2" s="87" t="s">
        <v>392</v>
      </c>
      <c r="L2" s="87" t="s">
        <v>393</v>
      </c>
      <c r="M2" s="87" t="s">
        <v>394</v>
      </c>
      <c r="N2" s="87" t="s">
        <v>395</v>
      </c>
      <c r="O2" s="87" t="s">
        <v>396</v>
      </c>
      <c r="P2" s="87" t="s">
        <v>393</v>
      </c>
      <c r="Q2" s="87" t="s">
        <v>394</v>
      </c>
      <c r="R2" s="87" t="s">
        <v>395</v>
      </c>
      <c r="S2" s="87" t="s">
        <v>396</v>
      </c>
      <c r="T2" s="87" t="s">
        <v>397</v>
      </c>
      <c r="U2" s="87" t="s">
        <v>398</v>
      </c>
    </row>
    <row r="3" spans="1:21">
      <c r="A3" s="89" t="s">
        <v>399</v>
      </c>
      <c r="B3" s="89" t="s">
        <v>400</v>
      </c>
      <c r="C3" s="89" t="s">
        <v>400</v>
      </c>
      <c r="D3" s="89" t="s">
        <v>401</v>
      </c>
      <c r="E3" s="89" t="s">
        <v>400</v>
      </c>
      <c r="F3" s="89" t="s">
        <v>402</v>
      </c>
      <c r="G3" s="89" t="s">
        <v>403</v>
      </c>
      <c r="H3" s="89" t="s">
        <v>404</v>
      </c>
      <c r="I3" s="89" t="s">
        <v>405</v>
      </c>
      <c r="J3" s="89" t="s">
        <v>406</v>
      </c>
      <c r="K3" s="89" t="s">
        <v>407</v>
      </c>
      <c r="L3" s="89" t="s">
        <v>408</v>
      </c>
      <c r="M3" s="89" t="s">
        <v>409</v>
      </c>
      <c r="N3" s="89" t="s">
        <v>408</v>
      </c>
      <c r="O3" s="89" t="s">
        <v>409</v>
      </c>
      <c r="P3" s="89" t="s">
        <v>410</v>
      </c>
      <c r="Q3" s="89" t="s">
        <v>411</v>
      </c>
      <c r="R3" s="89" t="s">
        <v>412</v>
      </c>
      <c r="S3" s="89" t="s">
        <v>413</v>
      </c>
      <c r="T3" s="89" t="s">
        <v>414</v>
      </c>
      <c r="U3" s="89" t="s">
        <v>415</v>
      </c>
    </row>
    <row r="4" spans="1:21">
      <c r="A4" s="89" t="s">
        <v>399</v>
      </c>
      <c r="B4" s="89" t="s">
        <v>401</v>
      </c>
      <c r="C4" s="89" t="s">
        <v>400</v>
      </c>
      <c r="D4" s="89" t="s">
        <v>399</v>
      </c>
      <c r="E4" s="89" t="s">
        <v>399</v>
      </c>
      <c r="F4" s="89" t="s">
        <v>416</v>
      </c>
      <c r="G4" s="89" t="s">
        <v>417</v>
      </c>
      <c r="H4" s="89" t="s">
        <v>418</v>
      </c>
      <c r="I4" s="89" t="s">
        <v>419</v>
      </c>
      <c r="J4" s="89" t="s">
        <v>420</v>
      </c>
      <c r="K4" s="89" t="s">
        <v>416</v>
      </c>
      <c r="L4" s="89" t="s">
        <v>408</v>
      </c>
      <c r="M4" s="89" t="s">
        <v>408</v>
      </c>
      <c r="N4" s="89" t="s">
        <v>408</v>
      </c>
      <c r="O4" s="89" t="s">
        <v>421</v>
      </c>
      <c r="P4" s="89" t="s">
        <v>422</v>
      </c>
      <c r="Q4" s="89" t="s">
        <v>423</v>
      </c>
      <c r="R4" s="89" t="s">
        <v>424</v>
      </c>
      <c r="S4" s="89" t="s">
        <v>425</v>
      </c>
      <c r="T4" s="89" t="s">
        <v>426</v>
      </c>
      <c r="U4" s="89" t="s">
        <v>416</v>
      </c>
    </row>
    <row r="5" spans="1:21">
      <c r="A5" s="89" t="s">
        <v>399</v>
      </c>
      <c r="B5" s="89" t="s">
        <v>399</v>
      </c>
      <c r="C5" s="89" t="s">
        <v>399</v>
      </c>
      <c r="D5" s="89" t="s">
        <v>401</v>
      </c>
      <c r="E5" s="89" t="s">
        <v>400</v>
      </c>
      <c r="F5" s="89" t="s">
        <v>427</v>
      </c>
      <c r="G5" s="89" t="s">
        <v>428</v>
      </c>
      <c r="H5" s="89" t="s">
        <v>429</v>
      </c>
      <c r="I5" s="89" t="s">
        <v>430</v>
      </c>
      <c r="J5" s="89" t="s">
        <v>431</v>
      </c>
      <c r="K5" s="89" t="s">
        <v>432</v>
      </c>
      <c r="L5" s="89" t="s">
        <v>433</v>
      </c>
      <c r="M5" s="89" t="s">
        <v>421</v>
      </c>
      <c r="N5" s="89" t="s">
        <v>408</v>
      </c>
      <c r="O5" s="89" t="s">
        <v>421</v>
      </c>
      <c r="P5" s="89" t="s">
        <v>416</v>
      </c>
      <c r="Q5" s="89" t="s">
        <v>434</v>
      </c>
      <c r="R5" s="89" t="s">
        <v>435</v>
      </c>
      <c r="S5" s="89" t="s">
        <v>436</v>
      </c>
      <c r="T5" s="89" t="s">
        <v>437</v>
      </c>
      <c r="U5" s="89" t="s">
        <v>416</v>
      </c>
    </row>
    <row r="6" spans="1:21">
      <c r="A6" s="89" t="s">
        <v>400</v>
      </c>
      <c r="B6" s="89" t="s">
        <v>400</v>
      </c>
      <c r="C6" s="89" t="s">
        <v>399</v>
      </c>
      <c r="D6" s="89" t="s">
        <v>401</v>
      </c>
      <c r="E6" s="89" t="s">
        <v>400</v>
      </c>
      <c r="F6" s="89" t="s">
        <v>438</v>
      </c>
      <c r="G6" s="89" t="s">
        <v>394</v>
      </c>
      <c r="H6" s="89" t="s">
        <v>439</v>
      </c>
      <c r="I6" s="89" t="s">
        <v>440</v>
      </c>
      <c r="J6" s="89" t="s">
        <v>441</v>
      </c>
      <c r="K6" s="89" t="s">
        <v>416</v>
      </c>
      <c r="L6" s="89" t="s">
        <v>408</v>
      </c>
      <c r="M6" s="89" t="s">
        <v>433</v>
      </c>
      <c r="N6" s="89" t="s">
        <v>421</v>
      </c>
      <c r="O6" s="89" t="s">
        <v>433</v>
      </c>
      <c r="P6" s="89" t="s">
        <v>442</v>
      </c>
      <c r="Q6" s="89" t="s">
        <v>416</v>
      </c>
      <c r="R6" s="89" t="s">
        <v>443</v>
      </c>
      <c r="S6" s="89" t="s">
        <v>416</v>
      </c>
      <c r="T6" s="89" t="s">
        <v>416</v>
      </c>
      <c r="U6" s="89" t="s">
        <v>416</v>
      </c>
    </row>
    <row r="7" spans="1:21">
      <c r="A7" s="89" t="s">
        <v>399</v>
      </c>
      <c r="B7" s="89" t="s">
        <v>400</v>
      </c>
      <c r="C7" s="89" t="s">
        <v>399</v>
      </c>
      <c r="D7" s="89" t="s">
        <v>401</v>
      </c>
      <c r="E7" s="89" t="s">
        <v>399</v>
      </c>
      <c r="F7" s="89" t="s">
        <v>444</v>
      </c>
      <c r="G7" s="89" t="s">
        <v>445</v>
      </c>
      <c r="H7" s="89" t="s">
        <v>446</v>
      </c>
      <c r="I7" s="89" t="s">
        <v>447</v>
      </c>
      <c r="J7" s="89" t="s">
        <v>448</v>
      </c>
      <c r="K7" s="89" t="s">
        <v>416</v>
      </c>
      <c r="L7" s="89" t="s">
        <v>433</v>
      </c>
      <c r="M7" s="89" t="s">
        <v>408</v>
      </c>
      <c r="N7" s="89" t="s">
        <v>421</v>
      </c>
      <c r="O7" s="89" t="s">
        <v>421</v>
      </c>
      <c r="P7" s="89" t="s">
        <v>416</v>
      </c>
      <c r="Q7" s="89" t="s">
        <v>449</v>
      </c>
      <c r="R7" s="89" t="s">
        <v>450</v>
      </c>
      <c r="S7" s="89" t="s">
        <v>451</v>
      </c>
      <c r="T7" s="89" t="s">
        <v>416</v>
      </c>
      <c r="U7" s="89" t="s">
        <v>416</v>
      </c>
    </row>
    <row r="8" spans="1:21">
      <c r="A8" s="89" t="s">
        <v>399</v>
      </c>
      <c r="B8" s="89" t="s">
        <v>399</v>
      </c>
      <c r="C8" s="89" t="s">
        <v>399</v>
      </c>
      <c r="D8" s="89" t="s">
        <v>400</v>
      </c>
      <c r="E8" s="89" t="s">
        <v>400</v>
      </c>
      <c r="F8" s="89" t="s">
        <v>452</v>
      </c>
      <c r="G8" s="89" t="s">
        <v>453</v>
      </c>
      <c r="H8" s="89" t="s">
        <v>454</v>
      </c>
      <c r="I8" s="89" t="s">
        <v>455</v>
      </c>
      <c r="J8" s="89" t="s">
        <v>456</v>
      </c>
      <c r="K8" s="89" t="s">
        <v>457</v>
      </c>
      <c r="L8" s="89" t="s">
        <v>421</v>
      </c>
      <c r="M8" s="89" t="s">
        <v>408</v>
      </c>
      <c r="N8" s="89" t="s">
        <v>433</v>
      </c>
      <c r="O8" s="89" t="s">
        <v>433</v>
      </c>
      <c r="P8" s="89" t="s">
        <v>458</v>
      </c>
      <c r="Q8" s="89" t="s">
        <v>459</v>
      </c>
      <c r="R8" s="89" t="s">
        <v>416</v>
      </c>
      <c r="S8" s="89" t="s">
        <v>416</v>
      </c>
      <c r="T8" s="89" t="s">
        <v>460</v>
      </c>
      <c r="U8" s="89" t="s">
        <v>461</v>
      </c>
    </row>
    <row r="9" spans="1:21">
      <c r="A9" s="89" t="s">
        <v>400</v>
      </c>
      <c r="B9" s="89" t="s">
        <v>399</v>
      </c>
      <c r="C9" s="89" t="s">
        <v>401</v>
      </c>
      <c r="D9" s="89" t="s">
        <v>400</v>
      </c>
      <c r="E9" s="89" t="s">
        <v>399</v>
      </c>
      <c r="F9" s="89" t="s">
        <v>462</v>
      </c>
      <c r="G9" s="89" t="s">
        <v>382</v>
      </c>
      <c r="H9" s="89" t="s">
        <v>463</v>
      </c>
      <c r="I9" s="89" t="s">
        <v>464</v>
      </c>
      <c r="J9" s="89" t="s">
        <v>465</v>
      </c>
      <c r="K9" s="89" t="s">
        <v>416</v>
      </c>
      <c r="L9" s="89" t="s">
        <v>421</v>
      </c>
      <c r="M9" s="89" t="s">
        <v>409</v>
      </c>
      <c r="N9" s="89" t="s">
        <v>409</v>
      </c>
      <c r="O9" s="89" t="s">
        <v>409</v>
      </c>
      <c r="P9" s="89" t="s">
        <v>466</v>
      </c>
      <c r="Q9" s="89" t="s">
        <v>467</v>
      </c>
      <c r="R9" s="89" t="s">
        <v>468</v>
      </c>
      <c r="S9" s="89" t="s">
        <v>469</v>
      </c>
      <c r="T9" s="89" t="s">
        <v>470</v>
      </c>
      <c r="U9" s="89" t="s">
        <v>416</v>
      </c>
    </row>
    <row r="10" spans="1:21" ht="55.5" customHeight="1">
      <c r="A10" s="89" t="s">
        <v>399</v>
      </c>
      <c r="B10" s="89" t="s">
        <v>400</v>
      </c>
      <c r="C10" s="89" t="s">
        <v>399</v>
      </c>
      <c r="D10" s="89" t="s">
        <v>399</v>
      </c>
      <c r="E10" s="89" t="s">
        <v>400</v>
      </c>
      <c r="F10" s="105" t="s">
        <v>471</v>
      </c>
      <c r="G10" s="89" t="s">
        <v>472</v>
      </c>
      <c r="H10" s="89" t="s">
        <v>473</v>
      </c>
      <c r="I10" s="89" t="s">
        <v>474</v>
      </c>
      <c r="J10" s="89" t="s">
        <v>475</v>
      </c>
      <c r="K10" s="89" t="s">
        <v>416</v>
      </c>
      <c r="L10" s="89" t="s">
        <v>421</v>
      </c>
      <c r="M10" s="89" t="s">
        <v>409</v>
      </c>
      <c r="N10" s="89" t="s">
        <v>408</v>
      </c>
      <c r="O10" s="89" t="s">
        <v>408</v>
      </c>
      <c r="P10" s="89" t="s">
        <v>476</v>
      </c>
      <c r="Q10" s="89" t="s">
        <v>477</v>
      </c>
      <c r="R10" s="89" t="s">
        <v>478</v>
      </c>
      <c r="S10" s="89" t="s">
        <v>479</v>
      </c>
      <c r="T10" s="89" t="s">
        <v>480</v>
      </c>
      <c r="U10" s="89" t="s">
        <v>416</v>
      </c>
    </row>
    <row r="11" spans="1:21">
      <c r="A11" s="89" t="s">
        <v>399</v>
      </c>
      <c r="B11" s="89" t="s">
        <v>400</v>
      </c>
      <c r="C11" s="89" t="s">
        <v>400</v>
      </c>
      <c r="D11" s="89" t="s">
        <v>400</v>
      </c>
      <c r="E11" s="89" t="s">
        <v>399</v>
      </c>
      <c r="F11" s="89" t="s">
        <v>481</v>
      </c>
      <c r="G11" s="89" t="s">
        <v>417</v>
      </c>
      <c r="H11" s="89" t="s">
        <v>393</v>
      </c>
      <c r="I11" s="89" t="s">
        <v>482</v>
      </c>
      <c r="J11" s="89" t="s">
        <v>483</v>
      </c>
      <c r="K11" s="89" t="s">
        <v>484</v>
      </c>
      <c r="L11" s="89" t="s">
        <v>421</v>
      </c>
      <c r="M11" s="89" t="s">
        <v>408</v>
      </c>
      <c r="N11" s="89" t="s">
        <v>408</v>
      </c>
      <c r="O11" s="89" t="s">
        <v>408</v>
      </c>
      <c r="P11" s="89" t="s">
        <v>485</v>
      </c>
      <c r="Q11" s="89" t="s">
        <v>486</v>
      </c>
      <c r="R11" s="89" t="s">
        <v>487</v>
      </c>
      <c r="S11" s="89" t="s">
        <v>488</v>
      </c>
      <c r="T11" s="89" t="s">
        <v>489</v>
      </c>
      <c r="U11" s="89" t="s">
        <v>416</v>
      </c>
    </row>
  </sheetData>
  <mergeCells count="3">
    <mergeCell ref="A1:E1"/>
    <mergeCell ref="L1:O1"/>
    <mergeCell ref="P1:S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D4620-F704-47CF-A5F8-D07708796324}">
  <dimension ref="A1:F13"/>
  <sheetViews>
    <sheetView zoomScale="205" zoomScaleNormal="205" workbookViewId="0">
      <selection activeCell="A10" sqref="A10:A13"/>
    </sheetView>
  </sheetViews>
  <sheetFormatPr defaultColWidth="8.69921875" defaultRowHeight="14.4"/>
  <cols>
    <col min="1" max="1" width="19.69921875" style="80" customWidth="1"/>
    <col min="2" max="5" width="8.69921875" style="80"/>
    <col min="6" max="6" width="9.69921875" style="80" bestFit="1" customWidth="1"/>
    <col min="7" max="16384" width="8.69921875" style="80"/>
  </cols>
  <sheetData>
    <row r="1" spans="1:6">
      <c r="B1" s="84" t="s">
        <v>490</v>
      </c>
      <c r="C1" s="84" t="s">
        <v>491</v>
      </c>
      <c r="D1" s="84" t="s">
        <v>492</v>
      </c>
      <c r="E1" s="85" t="s">
        <v>493</v>
      </c>
      <c r="F1" s="84" t="s">
        <v>494</v>
      </c>
    </row>
    <row r="2" spans="1:6">
      <c r="A2" s="84" t="s">
        <v>495</v>
      </c>
      <c r="B2" s="81" t="s">
        <v>496</v>
      </c>
      <c r="C2" s="81" t="s">
        <v>497</v>
      </c>
      <c r="D2" s="81" t="s">
        <v>498</v>
      </c>
      <c r="E2" s="83">
        <f>COUNTA(B2:D2)*25*F2</f>
        <v>60</v>
      </c>
      <c r="F2" s="82">
        <v>0.8</v>
      </c>
    </row>
    <row r="3" spans="1:6">
      <c r="A3" s="84" t="s">
        <v>499</v>
      </c>
      <c r="B3" s="81" t="s">
        <v>500</v>
      </c>
      <c r="C3" s="81" t="s">
        <v>501</v>
      </c>
      <c r="D3" s="81"/>
      <c r="E3" s="83">
        <f>COUNTA(B3:D3)*25*F3</f>
        <v>40</v>
      </c>
      <c r="F3" s="82">
        <f>F2</f>
        <v>0.8</v>
      </c>
    </row>
    <row r="4" spans="1:6">
      <c r="A4" s="84" t="s">
        <v>502</v>
      </c>
      <c r="B4" s="81" t="s">
        <v>503</v>
      </c>
      <c r="C4" s="81" t="s">
        <v>504</v>
      </c>
      <c r="D4" s="81"/>
      <c r="E4" s="83">
        <f>COUNTA(B4:D4)*25*F4</f>
        <v>40</v>
      </c>
      <c r="F4" s="82">
        <f>F3</f>
        <v>0.8</v>
      </c>
    </row>
    <row r="5" spans="1:6">
      <c r="A5" s="84" t="s">
        <v>61</v>
      </c>
      <c r="B5" s="81" t="s">
        <v>505</v>
      </c>
      <c r="C5" s="81" t="s">
        <v>506</v>
      </c>
      <c r="D5" s="81"/>
      <c r="E5" s="83">
        <f>COUNTA(B5:D5)*25*F5</f>
        <v>40</v>
      </c>
      <c r="F5" s="82">
        <f>F4</f>
        <v>0.8</v>
      </c>
    </row>
    <row r="6" spans="1:6">
      <c r="A6" s="84" t="s">
        <v>24</v>
      </c>
      <c r="B6" s="81" t="s">
        <v>501</v>
      </c>
      <c r="C6" s="81" t="s">
        <v>504</v>
      </c>
      <c r="D6" s="81" t="s">
        <v>506</v>
      </c>
      <c r="E6" s="83">
        <f>COUNTA(B6:D8)*25*F6</f>
        <v>44.999999999999993</v>
      </c>
      <c r="F6" s="82">
        <f>1-F5</f>
        <v>0.19999999999999996</v>
      </c>
    </row>
    <row r="7" spans="1:6">
      <c r="B7" s="81" t="s">
        <v>496</v>
      </c>
      <c r="C7" s="81" t="s">
        <v>500</v>
      </c>
      <c r="D7" s="81" t="s">
        <v>503</v>
      </c>
    </row>
    <row r="8" spans="1:6">
      <c r="B8" s="81" t="s">
        <v>505</v>
      </c>
      <c r="C8" s="81" t="s">
        <v>497</v>
      </c>
      <c r="D8" s="81" t="s">
        <v>498</v>
      </c>
    </row>
    <row r="10" spans="1:6">
      <c r="A10" s="84"/>
    </row>
    <row r="11" spans="1:6">
      <c r="A11" s="84"/>
    </row>
    <row r="12" spans="1:6">
      <c r="A12" s="84"/>
    </row>
    <row r="13" spans="1:6">
      <c r="A13" s="84"/>
    </row>
  </sheetData>
  <phoneticPr fontId="3"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E68A5-048A-4FF0-A15D-BAFB1F6D2215}">
  <dimension ref="A1:D29"/>
  <sheetViews>
    <sheetView workbookViewId="0">
      <selection activeCell="C1" sqref="C1"/>
    </sheetView>
  </sheetViews>
  <sheetFormatPr defaultColWidth="8.69921875" defaultRowHeight="15.6"/>
  <cols>
    <col min="1" max="1" width="4.69921875" customWidth="1"/>
    <col min="3" max="3" width="19.69921875" customWidth="1"/>
    <col min="4" max="4" width="21.69921875" customWidth="1"/>
  </cols>
  <sheetData>
    <row r="1" spans="1:4">
      <c r="A1" s="95" t="s">
        <v>507</v>
      </c>
      <c r="B1" s="95" t="s">
        <v>508</v>
      </c>
      <c r="C1" s="95" t="s">
        <v>273</v>
      </c>
      <c r="D1" s="159" t="s">
        <v>509</v>
      </c>
    </row>
    <row r="2" spans="1:4">
      <c r="A2" s="136">
        <v>1</v>
      </c>
      <c r="B2" s="136" t="s">
        <v>320</v>
      </c>
      <c r="D2" t="s">
        <v>510</v>
      </c>
    </row>
    <row r="3" spans="1:4">
      <c r="A3">
        <v>2</v>
      </c>
      <c r="B3" t="s">
        <v>69</v>
      </c>
      <c r="C3" t="s">
        <v>511</v>
      </c>
      <c r="D3" t="s">
        <v>512</v>
      </c>
    </row>
    <row r="4" spans="1:4">
      <c r="A4">
        <v>3</v>
      </c>
      <c r="B4" t="s">
        <v>513</v>
      </c>
      <c r="C4" t="s">
        <v>514</v>
      </c>
    </row>
    <row r="5" spans="1:4">
      <c r="A5">
        <v>4</v>
      </c>
      <c r="B5" t="s">
        <v>78</v>
      </c>
      <c r="C5" t="s">
        <v>515</v>
      </c>
    </row>
    <row r="6" spans="1:4">
      <c r="A6">
        <v>5</v>
      </c>
      <c r="B6" t="s">
        <v>516</v>
      </c>
    </row>
    <row r="7" spans="1:4">
      <c r="A7">
        <v>6</v>
      </c>
      <c r="B7" t="s">
        <v>517</v>
      </c>
      <c r="C7" t="s">
        <v>518</v>
      </c>
    </row>
    <row r="8" spans="1:4">
      <c r="A8">
        <v>7</v>
      </c>
      <c r="B8" t="s">
        <v>519</v>
      </c>
      <c r="C8" t="s">
        <v>520</v>
      </c>
    </row>
    <row r="9" spans="1:4">
      <c r="A9">
        <v>8</v>
      </c>
      <c r="B9" t="s">
        <v>70</v>
      </c>
    </row>
    <row r="10" spans="1:4">
      <c r="A10">
        <v>9</v>
      </c>
      <c r="B10" t="s">
        <v>64</v>
      </c>
    </row>
    <row r="11" spans="1:4">
      <c r="A11">
        <v>10</v>
      </c>
      <c r="B11" t="s">
        <v>47</v>
      </c>
      <c r="C11" t="s">
        <v>521</v>
      </c>
    </row>
    <row r="12" spans="1:4">
      <c r="A12">
        <v>11</v>
      </c>
      <c r="B12" t="s">
        <v>522</v>
      </c>
    </row>
    <row r="13" spans="1:4">
      <c r="A13">
        <v>12</v>
      </c>
      <c r="B13" t="s">
        <v>56</v>
      </c>
    </row>
    <row r="14" spans="1:4">
      <c r="A14">
        <v>13</v>
      </c>
      <c r="B14" t="s">
        <v>79</v>
      </c>
    </row>
    <row r="15" spans="1:4">
      <c r="A15">
        <v>14</v>
      </c>
      <c r="B15" t="s">
        <v>90</v>
      </c>
      <c r="C15" t="s">
        <v>523</v>
      </c>
    </row>
    <row r="16" spans="1:4">
      <c r="A16">
        <v>15</v>
      </c>
      <c r="B16" t="s">
        <v>14</v>
      </c>
      <c r="C16" t="s">
        <v>524</v>
      </c>
    </row>
    <row r="17" spans="1:3">
      <c r="A17">
        <v>16</v>
      </c>
      <c r="B17" t="s">
        <v>525</v>
      </c>
    </row>
    <row r="18" spans="1:3">
      <c r="A18">
        <v>17</v>
      </c>
      <c r="B18" t="s">
        <v>526</v>
      </c>
    </row>
    <row r="23" spans="1:3">
      <c r="C23" t="s">
        <v>527</v>
      </c>
    </row>
    <row r="24" spans="1:3">
      <c r="B24" s="134">
        <v>0.625</v>
      </c>
      <c r="C24" t="s">
        <v>528</v>
      </c>
    </row>
    <row r="25" spans="1:3">
      <c r="B25" s="134">
        <v>0.79166666666666663</v>
      </c>
      <c r="C25" t="s">
        <v>529</v>
      </c>
    </row>
    <row r="26" spans="1:3">
      <c r="B26" s="134">
        <v>0.88124999999999998</v>
      </c>
      <c r="C26" t="s">
        <v>530</v>
      </c>
    </row>
    <row r="27" spans="1:3">
      <c r="B27" s="134">
        <v>0.9375</v>
      </c>
      <c r="C27" t="s">
        <v>531</v>
      </c>
    </row>
    <row r="29" spans="1:3">
      <c r="A29" t="s">
        <v>532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D48B7-1939-4040-8CD1-6D72A0BE6852}">
  <dimension ref="A2:K214"/>
  <sheetViews>
    <sheetView zoomScale="145" zoomScaleNormal="145" workbookViewId="0">
      <selection activeCell="E11" sqref="E11"/>
    </sheetView>
  </sheetViews>
  <sheetFormatPr defaultColWidth="11" defaultRowHeight="15.6"/>
  <cols>
    <col min="2" max="2" width="41.5" customWidth="1"/>
    <col min="3" max="3" width="6.5" customWidth="1"/>
    <col min="4" max="4" width="7.69921875" customWidth="1"/>
    <col min="6" max="6" width="10" customWidth="1"/>
  </cols>
  <sheetData>
    <row r="2" spans="1:4">
      <c r="A2" t="s">
        <v>533</v>
      </c>
      <c r="B2" t="s">
        <v>534</v>
      </c>
      <c r="C2" t="s">
        <v>535</v>
      </c>
      <c r="D2" s="5" t="s">
        <v>536</v>
      </c>
    </row>
    <row r="3" spans="1:4">
      <c r="A3">
        <v>1</v>
      </c>
      <c r="B3" t="s">
        <v>537</v>
      </c>
      <c r="C3">
        <v>1</v>
      </c>
    </row>
    <row r="4" spans="1:4">
      <c r="A4">
        <v>2</v>
      </c>
      <c r="B4" t="s">
        <v>538</v>
      </c>
      <c r="C4">
        <v>1</v>
      </c>
    </row>
    <row r="5" spans="1:4">
      <c r="A5">
        <v>3</v>
      </c>
      <c r="B5" t="s">
        <v>539</v>
      </c>
      <c r="C5">
        <v>1</v>
      </c>
    </row>
    <row r="6" spans="1:4">
      <c r="A6">
        <v>4</v>
      </c>
      <c r="B6" t="s">
        <v>540</v>
      </c>
      <c r="C6">
        <v>1</v>
      </c>
    </row>
    <row r="7" spans="1:4">
      <c r="A7">
        <v>5</v>
      </c>
      <c r="B7" t="s">
        <v>541</v>
      </c>
      <c r="C7">
        <v>1</v>
      </c>
    </row>
    <row r="8" spans="1:4">
      <c r="A8">
        <v>6</v>
      </c>
      <c r="B8" t="s">
        <v>542</v>
      </c>
      <c r="C8">
        <v>1</v>
      </c>
    </row>
    <row r="9" spans="1:4">
      <c r="A9">
        <v>7</v>
      </c>
      <c r="B9" t="s">
        <v>543</v>
      </c>
      <c r="C9">
        <v>1</v>
      </c>
    </row>
    <row r="10" spans="1:4">
      <c r="A10">
        <v>8</v>
      </c>
      <c r="B10" t="s">
        <v>544</v>
      </c>
      <c r="C10">
        <v>1</v>
      </c>
    </row>
    <row r="11" spans="1:4">
      <c r="A11">
        <v>9</v>
      </c>
      <c r="B11" t="s">
        <v>545</v>
      </c>
      <c r="C11">
        <v>1</v>
      </c>
    </row>
    <row r="12" spans="1:4">
      <c r="A12">
        <v>10</v>
      </c>
      <c r="B12" t="s">
        <v>546</v>
      </c>
      <c r="C12">
        <v>1</v>
      </c>
    </row>
    <row r="16" spans="1:4">
      <c r="A16" t="s">
        <v>547</v>
      </c>
      <c r="B16" t="s">
        <v>548</v>
      </c>
      <c r="C16" t="s">
        <v>535</v>
      </c>
      <c r="D16" s="5" t="s">
        <v>536</v>
      </c>
    </row>
    <row r="17" spans="1:4">
      <c r="A17">
        <v>1</v>
      </c>
      <c r="B17" t="s">
        <v>418</v>
      </c>
      <c r="C17">
        <v>2</v>
      </c>
    </row>
    <row r="18" spans="1:4">
      <c r="A18">
        <v>2</v>
      </c>
      <c r="B18" t="s">
        <v>549</v>
      </c>
      <c r="C18">
        <v>2</v>
      </c>
      <c r="D18" t="s">
        <v>63</v>
      </c>
    </row>
    <row r="19" spans="1:4">
      <c r="A19">
        <v>3</v>
      </c>
      <c r="B19" t="s">
        <v>550</v>
      </c>
      <c r="C19">
        <v>2</v>
      </c>
    </row>
    <row r="20" spans="1:4">
      <c r="A20">
        <v>4</v>
      </c>
      <c r="B20" t="s">
        <v>551</v>
      </c>
      <c r="C20">
        <v>2</v>
      </c>
    </row>
    <row r="21" spans="1:4">
      <c r="A21">
        <v>5</v>
      </c>
      <c r="B21" t="s">
        <v>552</v>
      </c>
      <c r="C21">
        <v>2</v>
      </c>
    </row>
    <row r="22" spans="1:4">
      <c r="A22">
        <v>6</v>
      </c>
      <c r="B22" t="s">
        <v>553</v>
      </c>
      <c r="C22">
        <v>2</v>
      </c>
      <c r="D22" t="s">
        <v>63</v>
      </c>
    </row>
    <row r="23" spans="1:4">
      <c r="A23">
        <v>7</v>
      </c>
      <c r="B23" t="s">
        <v>554</v>
      </c>
      <c r="C23">
        <v>2</v>
      </c>
    </row>
    <row r="27" spans="1:4">
      <c r="A27" t="s">
        <v>555</v>
      </c>
      <c r="B27" t="s">
        <v>556</v>
      </c>
    </row>
    <row r="28" spans="1:4">
      <c r="A28">
        <v>1</v>
      </c>
      <c r="B28" t="s">
        <v>557</v>
      </c>
      <c r="C28" t="s">
        <v>558</v>
      </c>
      <c r="D28" t="s">
        <v>559</v>
      </c>
    </row>
    <row r="29" spans="1:4">
      <c r="A29">
        <v>2</v>
      </c>
      <c r="B29" t="s">
        <v>560</v>
      </c>
      <c r="C29" t="s">
        <v>558</v>
      </c>
    </row>
    <row r="30" spans="1:4">
      <c r="A30">
        <v>3</v>
      </c>
      <c r="B30" t="s">
        <v>561</v>
      </c>
      <c r="C30" t="s">
        <v>558</v>
      </c>
      <c r="D30" s="11" t="s">
        <v>562</v>
      </c>
    </row>
    <row r="31" spans="1:4">
      <c r="A31">
        <v>4</v>
      </c>
      <c r="B31" t="s">
        <v>563</v>
      </c>
      <c r="D31" t="s">
        <v>564</v>
      </c>
    </row>
    <row r="32" spans="1:4">
      <c r="A32">
        <v>5</v>
      </c>
      <c r="B32" t="s">
        <v>565</v>
      </c>
      <c r="C32" t="s">
        <v>566</v>
      </c>
    </row>
    <row r="33" spans="1:4">
      <c r="A33">
        <v>6</v>
      </c>
      <c r="B33" t="s">
        <v>567</v>
      </c>
      <c r="C33" t="s">
        <v>566</v>
      </c>
    </row>
    <row r="34" spans="1:4">
      <c r="A34">
        <v>7</v>
      </c>
      <c r="B34" t="s">
        <v>568</v>
      </c>
      <c r="C34" t="s">
        <v>566</v>
      </c>
    </row>
    <row r="35" spans="1:4">
      <c r="A35">
        <v>8</v>
      </c>
      <c r="B35" t="s">
        <v>569</v>
      </c>
      <c r="C35" t="s">
        <v>570</v>
      </c>
    </row>
    <row r="36" spans="1:4">
      <c r="A36">
        <v>9</v>
      </c>
      <c r="B36" t="s">
        <v>571</v>
      </c>
    </row>
    <row r="37" spans="1:4">
      <c r="A37">
        <v>10</v>
      </c>
      <c r="B37" t="s">
        <v>572</v>
      </c>
      <c r="D37" t="s">
        <v>573</v>
      </c>
    </row>
    <row r="38" spans="1:4">
      <c r="A38">
        <v>11</v>
      </c>
      <c r="B38" t="s">
        <v>574</v>
      </c>
    </row>
    <row r="39" spans="1:4">
      <c r="A39">
        <v>12</v>
      </c>
      <c r="B39" t="s">
        <v>575</v>
      </c>
    </row>
    <row r="40" spans="1:4">
      <c r="A40">
        <v>13</v>
      </c>
      <c r="B40" t="s">
        <v>576</v>
      </c>
    </row>
    <row r="41" spans="1:4">
      <c r="A41">
        <v>14</v>
      </c>
      <c r="B41" t="s">
        <v>577</v>
      </c>
    </row>
    <row r="42" spans="1:4">
      <c r="A42">
        <v>15</v>
      </c>
      <c r="B42" t="s">
        <v>578</v>
      </c>
    </row>
    <row r="43" spans="1:4">
      <c r="A43">
        <v>16</v>
      </c>
      <c r="B43" t="s">
        <v>579</v>
      </c>
    </row>
    <row r="44" spans="1:4">
      <c r="A44">
        <v>17</v>
      </c>
      <c r="B44" t="s">
        <v>580</v>
      </c>
      <c r="D44" s="10" t="s">
        <v>581</v>
      </c>
    </row>
    <row r="46" spans="1:4">
      <c r="A46" t="s">
        <v>582</v>
      </c>
    </row>
    <row r="47" spans="1:4">
      <c r="A47">
        <v>1</v>
      </c>
      <c r="B47" t="s">
        <v>583</v>
      </c>
    </row>
    <row r="48" spans="1:4">
      <c r="A48">
        <v>2</v>
      </c>
      <c r="B48" t="s">
        <v>584</v>
      </c>
    </row>
    <row r="52" spans="1:2">
      <c r="A52" t="s">
        <v>585</v>
      </c>
    </row>
    <row r="53" spans="1:2">
      <c r="A53">
        <v>1</v>
      </c>
      <c r="B53" t="s">
        <v>586</v>
      </c>
    </row>
    <row r="54" spans="1:2">
      <c r="A54">
        <v>2</v>
      </c>
      <c r="B54" t="s">
        <v>587</v>
      </c>
    </row>
    <row r="55" spans="1:2">
      <c r="A55">
        <v>3</v>
      </c>
      <c r="B55" t="s">
        <v>588</v>
      </c>
    </row>
    <row r="56" spans="1:2">
      <c r="A56">
        <v>4</v>
      </c>
      <c r="B56" t="s">
        <v>589</v>
      </c>
    </row>
    <row r="57" spans="1:2">
      <c r="A57">
        <v>5</v>
      </c>
      <c r="B57" t="s">
        <v>590</v>
      </c>
    </row>
    <row r="60" spans="1:2">
      <c r="A60" t="s">
        <v>591</v>
      </c>
    </row>
    <row r="61" spans="1:2">
      <c r="A61">
        <v>1</v>
      </c>
      <c r="B61" t="s">
        <v>592</v>
      </c>
    </row>
    <row r="62" spans="1:2">
      <c r="A62">
        <v>2</v>
      </c>
      <c r="B62" t="s">
        <v>593</v>
      </c>
    </row>
    <row r="63" spans="1:2">
      <c r="A63">
        <v>3</v>
      </c>
      <c r="B63" t="s">
        <v>594</v>
      </c>
    </row>
    <row r="64" spans="1:2">
      <c r="A64">
        <v>4</v>
      </c>
      <c r="B64" t="s">
        <v>595</v>
      </c>
    </row>
    <row r="65" spans="1:2">
      <c r="A65">
        <v>5</v>
      </c>
      <c r="B65" t="s">
        <v>596</v>
      </c>
    </row>
    <row r="66" spans="1:2">
      <c r="A66">
        <v>6</v>
      </c>
      <c r="B66" t="s">
        <v>597</v>
      </c>
    </row>
    <row r="67" spans="1:2">
      <c r="A67">
        <v>7</v>
      </c>
      <c r="B67" t="s">
        <v>598</v>
      </c>
    </row>
    <row r="68" spans="1:2">
      <c r="A68">
        <v>8</v>
      </c>
      <c r="B68" t="s">
        <v>599</v>
      </c>
    </row>
    <row r="69" spans="1:2">
      <c r="A69">
        <v>9</v>
      </c>
      <c r="B69" t="s">
        <v>600</v>
      </c>
    </row>
    <row r="73" spans="1:2">
      <c r="A73" t="s">
        <v>601</v>
      </c>
      <c r="B73" t="s">
        <v>602</v>
      </c>
    </row>
    <row r="74" spans="1:2">
      <c r="B74" t="s">
        <v>603</v>
      </c>
    </row>
    <row r="75" spans="1:2">
      <c r="B75" s="7" t="s">
        <v>604</v>
      </c>
    </row>
    <row r="77" spans="1:2">
      <c r="A77" t="s">
        <v>605</v>
      </c>
      <c r="B77" s="241" t="s">
        <v>606</v>
      </c>
    </row>
    <row r="78" spans="1:2">
      <c r="B78" s="241"/>
    </row>
    <row r="79" spans="1:2">
      <c r="B79" s="241"/>
    </row>
    <row r="83" spans="1:3">
      <c r="A83" t="s">
        <v>607</v>
      </c>
      <c r="B83" t="s">
        <v>608</v>
      </c>
    </row>
    <row r="84" spans="1:3">
      <c r="B84" t="s">
        <v>609</v>
      </c>
    </row>
    <row r="87" spans="1:3">
      <c r="A87" t="s">
        <v>610</v>
      </c>
      <c r="B87" t="s">
        <v>611</v>
      </c>
      <c r="C87" t="s">
        <v>612</v>
      </c>
    </row>
    <row r="88" spans="1:3">
      <c r="B88" t="s">
        <v>613</v>
      </c>
      <c r="C88" t="s">
        <v>614</v>
      </c>
    </row>
    <row r="89" spans="1:3">
      <c r="B89" t="s">
        <v>615</v>
      </c>
    </row>
    <row r="90" spans="1:3">
      <c r="B90" t="s">
        <v>616</v>
      </c>
    </row>
    <row r="91" spans="1:3">
      <c r="B91" t="s">
        <v>617</v>
      </c>
    </row>
    <row r="92" spans="1:3">
      <c r="B92" t="s">
        <v>618</v>
      </c>
    </row>
    <row r="93" spans="1:3">
      <c r="B93" t="s">
        <v>619</v>
      </c>
    </row>
    <row r="94" spans="1:3">
      <c r="B94" t="s">
        <v>620</v>
      </c>
    </row>
    <row r="95" spans="1:3">
      <c r="B95" t="s">
        <v>621</v>
      </c>
    </row>
    <row r="96" spans="1:3">
      <c r="B96" t="s">
        <v>622</v>
      </c>
    </row>
    <row r="99" spans="1:11">
      <c r="A99" s="7" t="s">
        <v>623</v>
      </c>
      <c r="B99" s="7" t="s">
        <v>624</v>
      </c>
    </row>
    <row r="100" spans="1:11">
      <c r="A100" s="7"/>
      <c r="B100" s="7" t="s">
        <v>625</v>
      </c>
    </row>
    <row r="101" spans="1:11">
      <c r="A101" s="7"/>
      <c r="B101" s="7" t="s">
        <v>626</v>
      </c>
    </row>
    <row r="106" spans="1:11">
      <c r="A106" s="5" t="s">
        <v>627</v>
      </c>
      <c r="C106" s="12" t="s">
        <v>628</v>
      </c>
      <c r="D106" s="12" t="s">
        <v>558</v>
      </c>
      <c r="E106" s="12" t="s">
        <v>629</v>
      </c>
      <c r="F106" s="12" t="s">
        <v>566</v>
      </c>
      <c r="G106" s="12" t="s">
        <v>630</v>
      </c>
      <c r="H106" s="12" t="s">
        <v>631</v>
      </c>
      <c r="I106" s="12" t="s">
        <v>632</v>
      </c>
      <c r="J106" s="12" t="s">
        <v>633</v>
      </c>
      <c r="K106" s="12" t="s">
        <v>634</v>
      </c>
    </row>
    <row r="107" spans="1:11">
      <c r="A107">
        <v>1</v>
      </c>
      <c r="B107" s="8" t="s">
        <v>635</v>
      </c>
      <c r="C107">
        <v>1</v>
      </c>
      <c r="D107">
        <v>1</v>
      </c>
      <c r="F107">
        <v>1</v>
      </c>
      <c r="G107">
        <v>1</v>
      </c>
      <c r="I107">
        <v>1</v>
      </c>
      <c r="J107">
        <v>1</v>
      </c>
      <c r="K107">
        <f>SUM(C107:J107)</f>
        <v>6</v>
      </c>
    </row>
    <row r="108" spans="1:11">
      <c r="A108">
        <v>2</v>
      </c>
      <c r="B108" s="9" t="s">
        <v>636</v>
      </c>
      <c r="C108">
        <v>1</v>
      </c>
      <c r="D108">
        <v>1</v>
      </c>
      <c r="E108">
        <v>1</v>
      </c>
      <c r="F108">
        <v>0.5</v>
      </c>
      <c r="I108">
        <v>1</v>
      </c>
      <c r="J108">
        <v>1</v>
      </c>
      <c r="K108">
        <f t="shared" ref="K108:K151" si="0">SUM(C108:J108)</f>
        <v>5.5</v>
      </c>
    </row>
    <row r="109" spans="1:11">
      <c r="A109">
        <v>3</v>
      </c>
      <c r="B109" s="8" t="s">
        <v>637</v>
      </c>
      <c r="C109">
        <v>1</v>
      </c>
      <c r="F109">
        <v>1</v>
      </c>
      <c r="G109">
        <v>1</v>
      </c>
      <c r="I109">
        <v>1</v>
      </c>
      <c r="J109">
        <v>1</v>
      </c>
      <c r="K109">
        <f t="shared" si="0"/>
        <v>5</v>
      </c>
    </row>
    <row r="110" spans="1:11">
      <c r="A110">
        <v>4</v>
      </c>
      <c r="B110" s="9" t="s">
        <v>638</v>
      </c>
      <c r="C110">
        <v>1</v>
      </c>
      <c r="F110">
        <v>1</v>
      </c>
      <c r="H110">
        <v>1</v>
      </c>
      <c r="I110">
        <v>1</v>
      </c>
      <c r="J110">
        <v>1</v>
      </c>
      <c r="K110">
        <f t="shared" si="0"/>
        <v>5</v>
      </c>
    </row>
    <row r="111" spans="1:11">
      <c r="A111">
        <v>5</v>
      </c>
      <c r="B111" s="9" t="s">
        <v>639</v>
      </c>
      <c r="F111" t="s">
        <v>640</v>
      </c>
      <c r="K111">
        <f t="shared" si="0"/>
        <v>0</v>
      </c>
    </row>
    <row r="112" spans="1:11">
      <c r="A112">
        <v>6</v>
      </c>
      <c r="B112" s="9" t="s">
        <v>641</v>
      </c>
      <c r="F112">
        <v>0.5</v>
      </c>
      <c r="H112">
        <v>1</v>
      </c>
      <c r="I112">
        <v>1</v>
      </c>
      <c r="J112">
        <v>1</v>
      </c>
      <c r="K112">
        <f t="shared" si="0"/>
        <v>3.5</v>
      </c>
    </row>
    <row r="113" spans="1:11">
      <c r="A113">
        <v>7</v>
      </c>
      <c r="B113" s="9" t="s">
        <v>642</v>
      </c>
      <c r="C113">
        <v>1</v>
      </c>
      <c r="D113">
        <v>1</v>
      </c>
      <c r="F113" t="s">
        <v>643</v>
      </c>
      <c r="I113">
        <v>1</v>
      </c>
      <c r="J113">
        <v>1</v>
      </c>
      <c r="K113">
        <f t="shared" si="0"/>
        <v>4</v>
      </c>
    </row>
    <row r="114" spans="1:11">
      <c r="A114">
        <v>8</v>
      </c>
      <c r="B114" s="8" t="s">
        <v>644</v>
      </c>
      <c r="C114">
        <v>1</v>
      </c>
      <c r="D114">
        <v>1</v>
      </c>
      <c r="E114">
        <v>1</v>
      </c>
      <c r="F114">
        <v>1</v>
      </c>
      <c r="G114">
        <v>1</v>
      </c>
      <c r="H114">
        <v>1</v>
      </c>
      <c r="I114">
        <v>1</v>
      </c>
      <c r="J114">
        <v>1</v>
      </c>
      <c r="K114">
        <f t="shared" si="0"/>
        <v>8</v>
      </c>
    </row>
    <row r="115" spans="1:11">
      <c r="A115">
        <v>9</v>
      </c>
      <c r="B115" s="9" t="s">
        <v>645</v>
      </c>
      <c r="D115">
        <v>1</v>
      </c>
      <c r="F115">
        <v>1</v>
      </c>
      <c r="G115">
        <v>1</v>
      </c>
      <c r="I115">
        <v>1</v>
      </c>
      <c r="J115">
        <v>1</v>
      </c>
      <c r="K115">
        <f t="shared" si="0"/>
        <v>5</v>
      </c>
    </row>
    <row r="116" spans="1:11">
      <c r="A116">
        <v>10</v>
      </c>
      <c r="B116" s="9" t="s">
        <v>646</v>
      </c>
      <c r="D116">
        <v>1</v>
      </c>
      <c r="E116">
        <v>1</v>
      </c>
      <c r="F116">
        <v>1</v>
      </c>
      <c r="G116">
        <v>1</v>
      </c>
      <c r="J116">
        <v>1</v>
      </c>
      <c r="K116">
        <f t="shared" si="0"/>
        <v>5</v>
      </c>
    </row>
    <row r="117" spans="1:11">
      <c r="A117">
        <v>11</v>
      </c>
      <c r="B117" s="9" t="s">
        <v>647</v>
      </c>
      <c r="C117">
        <v>1</v>
      </c>
      <c r="F117">
        <v>0.5</v>
      </c>
      <c r="I117">
        <v>1</v>
      </c>
      <c r="J117">
        <v>1</v>
      </c>
      <c r="K117">
        <f t="shared" si="0"/>
        <v>3.5</v>
      </c>
    </row>
    <row r="118" spans="1:11">
      <c r="A118">
        <v>12</v>
      </c>
      <c r="B118" s="9" t="s">
        <v>648</v>
      </c>
      <c r="K118">
        <f t="shared" si="0"/>
        <v>0</v>
      </c>
    </row>
    <row r="119" spans="1:11">
      <c r="A119">
        <v>13</v>
      </c>
      <c r="B119" s="9" t="s">
        <v>649</v>
      </c>
      <c r="D119">
        <v>1</v>
      </c>
      <c r="F119">
        <v>1</v>
      </c>
      <c r="K119">
        <f t="shared" si="0"/>
        <v>2</v>
      </c>
    </row>
    <row r="120" spans="1:11">
      <c r="A120">
        <v>14</v>
      </c>
      <c r="B120" s="9" t="s">
        <v>650</v>
      </c>
      <c r="D120">
        <v>1</v>
      </c>
      <c r="F120">
        <v>1</v>
      </c>
      <c r="I120">
        <v>1</v>
      </c>
      <c r="K120">
        <f t="shared" si="0"/>
        <v>3</v>
      </c>
    </row>
    <row r="121" spans="1:11">
      <c r="A121">
        <v>15</v>
      </c>
      <c r="B121" s="9" t="s">
        <v>651</v>
      </c>
      <c r="F121">
        <v>1</v>
      </c>
      <c r="G121">
        <v>1</v>
      </c>
      <c r="H121">
        <v>1</v>
      </c>
      <c r="I121">
        <v>1</v>
      </c>
      <c r="J121">
        <v>1</v>
      </c>
      <c r="K121">
        <f t="shared" si="0"/>
        <v>5</v>
      </c>
    </row>
    <row r="122" spans="1:11">
      <c r="A122">
        <v>16</v>
      </c>
      <c r="B122" s="9" t="s">
        <v>652</v>
      </c>
      <c r="D122">
        <v>1</v>
      </c>
      <c r="F122">
        <v>1</v>
      </c>
      <c r="G122">
        <v>1</v>
      </c>
      <c r="J122">
        <v>1</v>
      </c>
      <c r="K122">
        <f t="shared" si="0"/>
        <v>4</v>
      </c>
    </row>
    <row r="123" spans="1:11">
      <c r="A123">
        <v>17</v>
      </c>
      <c r="B123" s="9" t="s">
        <v>653</v>
      </c>
      <c r="D123">
        <v>1</v>
      </c>
      <c r="F123">
        <v>1</v>
      </c>
      <c r="H123">
        <v>1</v>
      </c>
      <c r="I123">
        <v>1</v>
      </c>
      <c r="J123">
        <v>1</v>
      </c>
      <c r="K123">
        <f t="shared" si="0"/>
        <v>5</v>
      </c>
    </row>
    <row r="124" spans="1:11">
      <c r="A124">
        <v>18</v>
      </c>
      <c r="B124" s="9" t="s">
        <v>654</v>
      </c>
      <c r="C124">
        <v>1</v>
      </c>
      <c r="F124">
        <v>1</v>
      </c>
      <c r="K124">
        <f t="shared" si="0"/>
        <v>2</v>
      </c>
    </row>
    <row r="125" spans="1:11">
      <c r="A125">
        <v>19</v>
      </c>
      <c r="B125" s="9" t="s">
        <v>655</v>
      </c>
      <c r="D125">
        <v>1</v>
      </c>
      <c r="F125">
        <v>1</v>
      </c>
      <c r="J125">
        <v>1</v>
      </c>
      <c r="K125">
        <f t="shared" si="0"/>
        <v>3</v>
      </c>
    </row>
    <row r="126" spans="1:11">
      <c r="A126">
        <v>20</v>
      </c>
      <c r="B126" s="9" t="s">
        <v>656</v>
      </c>
      <c r="F126">
        <v>1</v>
      </c>
      <c r="H126">
        <v>1</v>
      </c>
      <c r="I126">
        <v>1</v>
      </c>
      <c r="J126">
        <v>1</v>
      </c>
      <c r="K126">
        <f t="shared" si="0"/>
        <v>4</v>
      </c>
    </row>
    <row r="127" spans="1:11">
      <c r="A127">
        <v>21</v>
      </c>
      <c r="B127" s="9" t="s">
        <v>657</v>
      </c>
      <c r="D127">
        <v>1</v>
      </c>
      <c r="E127">
        <v>1</v>
      </c>
      <c r="F127" t="s">
        <v>658</v>
      </c>
      <c r="I127">
        <v>1</v>
      </c>
      <c r="J127">
        <v>1</v>
      </c>
      <c r="K127">
        <f t="shared" si="0"/>
        <v>4</v>
      </c>
    </row>
    <row r="128" spans="1:11">
      <c r="A128">
        <v>22</v>
      </c>
      <c r="B128" s="9" t="s">
        <v>659</v>
      </c>
      <c r="D128">
        <v>1</v>
      </c>
      <c r="E128">
        <v>1</v>
      </c>
      <c r="F128">
        <v>1</v>
      </c>
      <c r="G128">
        <v>1</v>
      </c>
      <c r="J128">
        <v>1</v>
      </c>
      <c r="K128">
        <f t="shared" si="0"/>
        <v>5</v>
      </c>
    </row>
    <row r="129" spans="1:11">
      <c r="A129">
        <v>23</v>
      </c>
      <c r="B129" s="9" t="s">
        <v>660</v>
      </c>
      <c r="D129">
        <v>1</v>
      </c>
      <c r="E129">
        <v>1</v>
      </c>
      <c r="F129">
        <v>1</v>
      </c>
      <c r="G129">
        <v>1</v>
      </c>
      <c r="K129">
        <f t="shared" si="0"/>
        <v>4</v>
      </c>
    </row>
    <row r="130" spans="1:11">
      <c r="A130">
        <v>24</v>
      </c>
      <c r="B130" s="9" t="s">
        <v>661</v>
      </c>
      <c r="F130" t="s">
        <v>662</v>
      </c>
      <c r="K130">
        <f t="shared" si="0"/>
        <v>0</v>
      </c>
    </row>
    <row r="131" spans="1:11">
      <c r="A131">
        <v>25</v>
      </c>
      <c r="B131" s="9" t="s">
        <v>663</v>
      </c>
      <c r="D131">
        <v>1</v>
      </c>
      <c r="E131">
        <v>1</v>
      </c>
      <c r="F131" t="s">
        <v>664</v>
      </c>
      <c r="G131">
        <v>1</v>
      </c>
      <c r="I131">
        <v>1</v>
      </c>
      <c r="J131" t="s">
        <v>665</v>
      </c>
      <c r="K131">
        <f t="shared" si="0"/>
        <v>4</v>
      </c>
    </row>
    <row r="132" spans="1:11">
      <c r="A132">
        <v>26</v>
      </c>
      <c r="B132" s="9" t="s">
        <v>666</v>
      </c>
      <c r="F132">
        <v>1</v>
      </c>
      <c r="H132">
        <v>1</v>
      </c>
      <c r="I132">
        <v>1</v>
      </c>
      <c r="K132">
        <f t="shared" si="0"/>
        <v>3</v>
      </c>
    </row>
    <row r="133" spans="1:11">
      <c r="A133">
        <v>27</v>
      </c>
      <c r="B133" s="9" t="s">
        <v>667</v>
      </c>
      <c r="F133" t="s">
        <v>662</v>
      </c>
      <c r="K133">
        <f t="shared" si="0"/>
        <v>0</v>
      </c>
    </row>
    <row r="134" spans="1:11">
      <c r="A134">
        <v>28</v>
      </c>
      <c r="B134" s="9" t="s">
        <v>668</v>
      </c>
      <c r="D134">
        <v>1</v>
      </c>
      <c r="F134" t="s">
        <v>669</v>
      </c>
      <c r="J134">
        <v>1</v>
      </c>
      <c r="K134">
        <f t="shared" si="0"/>
        <v>2</v>
      </c>
    </row>
    <row r="135" spans="1:11">
      <c r="A135">
        <v>29</v>
      </c>
      <c r="B135" s="9" t="s">
        <v>670</v>
      </c>
      <c r="F135">
        <v>0.5</v>
      </c>
      <c r="I135">
        <v>1</v>
      </c>
      <c r="K135">
        <f t="shared" si="0"/>
        <v>1.5</v>
      </c>
    </row>
    <row r="136" spans="1:11">
      <c r="A136">
        <v>30</v>
      </c>
      <c r="B136" s="9" t="s">
        <v>671</v>
      </c>
      <c r="E136">
        <v>1</v>
      </c>
      <c r="F136" t="s">
        <v>672</v>
      </c>
      <c r="G136">
        <v>1</v>
      </c>
      <c r="I136">
        <v>1</v>
      </c>
      <c r="J136">
        <v>1</v>
      </c>
      <c r="K136">
        <f t="shared" si="0"/>
        <v>4</v>
      </c>
    </row>
    <row r="137" spans="1:11">
      <c r="A137">
        <v>31</v>
      </c>
      <c r="B137" s="9" t="s">
        <v>673</v>
      </c>
      <c r="F137" t="s">
        <v>662</v>
      </c>
      <c r="K137">
        <f t="shared" si="0"/>
        <v>0</v>
      </c>
    </row>
    <row r="138" spans="1:11">
      <c r="A138">
        <v>32</v>
      </c>
      <c r="B138" s="9" t="s">
        <v>674</v>
      </c>
      <c r="D138">
        <v>1</v>
      </c>
      <c r="F138">
        <v>1</v>
      </c>
      <c r="G138">
        <v>1</v>
      </c>
      <c r="I138">
        <v>1</v>
      </c>
      <c r="J138">
        <v>1</v>
      </c>
      <c r="K138">
        <f t="shared" si="0"/>
        <v>5</v>
      </c>
    </row>
    <row r="139" spans="1:11">
      <c r="A139">
        <v>33</v>
      </c>
      <c r="B139" s="9" t="s">
        <v>675</v>
      </c>
      <c r="F139" t="s">
        <v>676</v>
      </c>
      <c r="I139">
        <v>1</v>
      </c>
      <c r="K139">
        <f t="shared" si="0"/>
        <v>1</v>
      </c>
    </row>
    <row r="140" spans="1:11">
      <c r="A140">
        <v>34</v>
      </c>
      <c r="B140" s="9" t="s">
        <v>677</v>
      </c>
      <c r="D140">
        <v>1</v>
      </c>
      <c r="E140">
        <v>1</v>
      </c>
      <c r="F140">
        <v>1</v>
      </c>
      <c r="I140">
        <v>1</v>
      </c>
      <c r="J140">
        <v>1</v>
      </c>
      <c r="K140">
        <f t="shared" si="0"/>
        <v>5</v>
      </c>
    </row>
    <row r="141" spans="1:11">
      <c r="A141">
        <v>35</v>
      </c>
      <c r="B141" s="9" t="s">
        <v>678</v>
      </c>
      <c r="D141">
        <v>1</v>
      </c>
      <c r="F141">
        <v>0.5</v>
      </c>
      <c r="K141">
        <f t="shared" si="0"/>
        <v>1.5</v>
      </c>
    </row>
    <row r="142" spans="1:11">
      <c r="A142">
        <v>36</v>
      </c>
      <c r="B142" t="s">
        <v>538</v>
      </c>
      <c r="F142">
        <v>1</v>
      </c>
      <c r="J142">
        <v>1</v>
      </c>
      <c r="K142">
        <f t="shared" si="0"/>
        <v>2</v>
      </c>
    </row>
    <row r="143" spans="1:11">
      <c r="A143">
        <v>37</v>
      </c>
      <c r="B143" t="s">
        <v>540</v>
      </c>
      <c r="F143">
        <v>1</v>
      </c>
      <c r="K143">
        <f t="shared" si="0"/>
        <v>1</v>
      </c>
    </row>
    <row r="144" spans="1:11">
      <c r="A144">
        <v>38</v>
      </c>
      <c r="B144" t="s">
        <v>541</v>
      </c>
      <c r="D144">
        <v>1</v>
      </c>
      <c r="E144">
        <v>1</v>
      </c>
      <c r="F144">
        <v>1</v>
      </c>
      <c r="G144">
        <v>1</v>
      </c>
      <c r="J144">
        <v>1</v>
      </c>
      <c r="K144">
        <f t="shared" si="0"/>
        <v>5</v>
      </c>
    </row>
    <row r="145" spans="1:11">
      <c r="A145">
        <v>39</v>
      </c>
      <c r="B145" t="s">
        <v>542</v>
      </c>
      <c r="F145">
        <v>1</v>
      </c>
      <c r="G145">
        <v>1</v>
      </c>
      <c r="J145" t="s">
        <v>679</v>
      </c>
      <c r="K145">
        <f t="shared" si="0"/>
        <v>2</v>
      </c>
    </row>
    <row r="146" spans="1:11">
      <c r="A146">
        <v>40</v>
      </c>
      <c r="B146" t="s">
        <v>544</v>
      </c>
      <c r="F146">
        <v>1</v>
      </c>
      <c r="J146" t="s">
        <v>679</v>
      </c>
      <c r="K146">
        <f t="shared" si="0"/>
        <v>1</v>
      </c>
    </row>
    <row r="147" spans="1:11">
      <c r="A147">
        <v>41</v>
      </c>
      <c r="B147" t="s">
        <v>545</v>
      </c>
      <c r="K147">
        <f t="shared" si="0"/>
        <v>0</v>
      </c>
    </row>
    <row r="148" spans="1:11">
      <c r="A148">
        <v>42</v>
      </c>
      <c r="B148" t="s">
        <v>546</v>
      </c>
      <c r="K148">
        <f t="shared" si="0"/>
        <v>0</v>
      </c>
    </row>
    <row r="149" spans="1:11">
      <c r="A149">
        <v>43</v>
      </c>
      <c r="B149" t="s">
        <v>551</v>
      </c>
      <c r="D149">
        <v>1</v>
      </c>
      <c r="F149">
        <v>1</v>
      </c>
      <c r="J149">
        <v>1</v>
      </c>
      <c r="K149">
        <f t="shared" si="0"/>
        <v>3</v>
      </c>
    </row>
    <row r="150" spans="1:11">
      <c r="A150">
        <v>44</v>
      </c>
      <c r="B150" t="s">
        <v>552</v>
      </c>
      <c r="D150">
        <v>1</v>
      </c>
      <c r="F150">
        <v>1</v>
      </c>
      <c r="K150">
        <f t="shared" si="0"/>
        <v>2</v>
      </c>
    </row>
    <row r="151" spans="1:11">
      <c r="A151">
        <v>45</v>
      </c>
      <c r="B151" t="s">
        <v>553</v>
      </c>
      <c r="D151">
        <v>1</v>
      </c>
      <c r="E151">
        <v>1</v>
      </c>
      <c r="F151">
        <v>1</v>
      </c>
      <c r="G151">
        <v>1</v>
      </c>
      <c r="J151" t="s">
        <v>680</v>
      </c>
      <c r="K151">
        <f t="shared" si="0"/>
        <v>4</v>
      </c>
    </row>
    <row r="152" spans="1:11">
      <c r="A152">
        <v>46</v>
      </c>
      <c r="B152" t="s">
        <v>681</v>
      </c>
      <c r="E152">
        <v>1</v>
      </c>
      <c r="I152">
        <v>1</v>
      </c>
      <c r="K152">
        <f>SUM(C152:J152)</f>
        <v>2</v>
      </c>
    </row>
    <row r="158" spans="1:11">
      <c r="A158" s="5"/>
    </row>
    <row r="173" spans="1:7">
      <c r="A173" s="13" t="s">
        <v>507</v>
      </c>
      <c r="B173" s="7" t="s">
        <v>682</v>
      </c>
      <c r="C173" s="7" t="s">
        <v>683</v>
      </c>
      <c r="D173" s="7" t="s">
        <v>684</v>
      </c>
      <c r="E173" s="7" t="s">
        <v>685</v>
      </c>
      <c r="F173" s="7" t="s">
        <v>686</v>
      </c>
      <c r="G173" s="7" t="s">
        <v>687</v>
      </c>
    </row>
    <row r="174" spans="1:7">
      <c r="A174" s="7">
        <v>1</v>
      </c>
      <c r="B174" s="9" t="s">
        <v>645</v>
      </c>
      <c r="C174" s="7">
        <v>5</v>
      </c>
      <c r="D174" s="7">
        <v>1</v>
      </c>
      <c r="E174" s="7" t="s">
        <v>688</v>
      </c>
      <c r="G174" s="7" t="s">
        <v>689</v>
      </c>
    </row>
    <row r="175" spans="1:7">
      <c r="A175" s="7">
        <v>2</v>
      </c>
      <c r="B175" s="9" t="s">
        <v>646</v>
      </c>
      <c r="C175" s="7">
        <v>5</v>
      </c>
      <c r="D175" s="7">
        <v>1</v>
      </c>
      <c r="E175" s="7" t="s">
        <v>690</v>
      </c>
      <c r="F175" s="7"/>
      <c r="G175" s="7" t="s">
        <v>628</v>
      </c>
    </row>
    <row r="176" spans="1:7">
      <c r="A176" s="7">
        <v>3</v>
      </c>
      <c r="B176" s="9" t="s">
        <v>659</v>
      </c>
      <c r="C176" s="7">
        <v>5</v>
      </c>
      <c r="D176" s="7">
        <v>1</v>
      </c>
      <c r="E176" s="7" t="s">
        <v>690</v>
      </c>
      <c r="F176" s="7" t="s">
        <v>691</v>
      </c>
      <c r="G176" s="7" t="s">
        <v>629</v>
      </c>
    </row>
    <row r="177" spans="1:7">
      <c r="A177" s="7">
        <v>4</v>
      </c>
      <c r="B177" s="7" t="s">
        <v>541</v>
      </c>
      <c r="C177" s="7">
        <v>5</v>
      </c>
      <c r="D177" s="7">
        <v>1</v>
      </c>
      <c r="E177" s="7" t="s">
        <v>690</v>
      </c>
      <c r="F177" s="7"/>
      <c r="G177" s="7" t="s">
        <v>692</v>
      </c>
    </row>
    <row r="178" spans="1:7">
      <c r="A178" s="7">
        <v>5</v>
      </c>
      <c r="B178" s="9" t="s">
        <v>657</v>
      </c>
      <c r="C178" s="7">
        <v>4</v>
      </c>
      <c r="D178" s="7">
        <v>1</v>
      </c>
      <c r="E178" s="7" t="s">
        <v>690</v>
      </c>
      <c r="F178" s="7"/>
      <c r="G178" s="7" t="s">
        <v>692</v>
      </c>
    </row>
    <row r="179" spans="1:7">
      <c r="A179" s="7">
        <v>6</v>
      </c>
      <c r="B179" s="9" t="s">
        <v>693</v>
      </c>
      <c r="C179" s="7">
        <v>3.5</v>
      </c>
      <c r="D179" s="7">
        <v>1</v>
      </c>
      <c r="E179" s="7" t="s">
        <v>688</v>
      </c>
      <c r="F179" t="s">
        <v>694</v>
      </c>
      <c r="G179" s="7" t="s">
        <v>695</v>
      </c>
    </row>
    <row r="180" spans="1:7">
      <c r="A180" s="7">
        <v>8</v>
      </c>
      <c r="B180" s="9" t="s">
        <v>696</v>
      </c>
      <c r="C180" s="7">
        <v>4</v>
      </c>
      <c r="D180" s="7">
        <v>1</v>
      </c>
      <c r="E180" s="7" t="s">
        <v>690</v>
      </c>
      <c r="F180" s="7"/>
      <c r="G180" s="7" t="s">
        <v>630</v>
      </c>
    </row>
    <row r="181" spans="1:7">
      <c r="A181" s="7">
        <v>9</v>
      </c>
      <c r="B181" s="7" t="s">
        <v>538</v>
      </c>
      <c r="C181" s="7">
        <v>2</v>
      </c>
      <c r="D181" s="7">
        <v>1</v>
      </c>
      <c r="E181" s="7" t="s">
        <v>690</v>
      </c>
      <c r="F181" s="7"/>
      <c r="G181" s="7" t="s">
        <v>697</v>
      </c>
    </row>
    <row r="182" spans="1:7">
      <c r="A182" s="7">
        <v>10</v>
      </c>
      <c r="B182" s="9" t="s">
        <v>698</v>
      </c>
      <c r="C182" s="7">
        <v>6</v>
      </c>
      <c r="D182" s="7">
        <v>1</v>
      </c>
      <c r="E182" s="7" t="s">
        <v>688</v>
      </c>
      <c r="F182" t="s">
        <v>694</v>
      </c>
      <c r="G182" s="7" t="s">
        <v>695</v>
      </c>
    </row>
    <row r="183" spans="1:7">
      <c r="A183" s="7">
        <v>11</v>
      </c>
      <c r="B183" s="9" t="s">
        <v>699</v>
      </c>
      <c r="C183" s="7"/>
      <c r="D183" s="7"/>
      <c r="E183" s="7" t="s">
        <v>700</v>
      </c>
      <c r="F183" s="7"/>
      <c r="G183" s="7" t="s">
        <v>697</v>
      </c>
    </row>
    <row r="184" spans="1:7">
      <c r="A184" s="7">
        <v>12</v>
      </c>
      <c r="B184" s="9" t="s">
        <v>701</v>
      </c>
      <c r="C184" s="7"/>
      <c r="D184" s="7"/>
      <c r="E184" s="7"/>
      <c r="F184" s="7"/>
      <c r="G184" s="7" t="s">
        <v>702</v>
      </c>
    </row>
    <row r="185" spans="1:7">
      <c r="A185" s="7">
        <v>13</v>
      </c>
      <c r="B185" s="9" t="s">
        <v>674</v>
      </c>
      <c r="C185" s="7">
        <v>5</v>
      </c>
      <c r="D185" s="7">
        <v>1</v>
      </c>
      <c r="E185" s="7" t="s">
        <v>703</v>
      </c>
      <c r="F185" s="7"/>
      <c r="G185" s="7" t="s">
        <v>704</v>
      </c>
    </row>
    <row r="186" spans="1:7">
      <c r="A186" s="7"/>
      <c r="B186" s="9"/>
      <c r="C186" s="7"/>
      <c r="D186" s="7"/>
      <c r="E186" s="7"/>
      <c r="F186" s="7"/>
      <c r="G186" s="7"/>
    </row>
    <row r="187" spans="1:7">
      <c r="A187" s="7"/>
      <c r="B187" s="7"/>
      <c r="C187" s="7"/>
      <c r="D187" s="7"/>
      <c r="E187" s="7"/>
      <c r="F187" s="7"/>
      <c r="G187" s="7"/>
    </row>
    <row r="188" spans="1:7">
      <c r="A188" s="13" t="s">
        <v>507</v>
      </c>
      <c r="B188" s="7" t="s">
        <v>682</v>
      </c>
      <c r="C188" s="7" t="s">
        <v>683</v>
      </c>
      <c r="D188" s="7" t="s">
        <v>684</v>
      </c>
      <c r="E188" s="7" t="s">
        <v>685</v>
      </c>
      <c r="F188" s="7" t="s">
        <v>686</v>
      </c>
      <c r="G188" s="7" t="s">
        <v>687</v>
      </c>
    </row>
    <row r="189" spans="1:7">
      <c r="A189" s="7">
        <v>1</v>
      </c>
      <c r="B189" s="9" t="s">
        <v>705</v>
      </c>
      <c r="C189" s="7">
        <v>8</v>
      </c>
      <c r="D189" s="7">
        <v>1</v>
      </c>
      <c r="E189" s="7" t="s">
        <v>688</v>
      </c>
      <c r="F189" s="7" t="s">
        <v>706</v>
      </c>
      <c r="G189" s="7" t="s">
        <v>629</v>
      </c>
    </row>
    <row r="190" spans="1:7">
      <c r="A190" s="7">
        <v>2</v>
      </c>
      <c r="B190" s="7" t="s">
        <v>707</v>
      </c>
      <c r="C190" s="7"/>
      <c r="D190" s="7"/>
      <c r="E190" s="7" t="s">
        <v>688</v>
      </c>
      <c r="F190" t="s">
        <v>694</v>
      </c>
      <c r="G190" s="7" t="s">
        <v>629</v>
      </c>
    </row>
    <row r="191" spans="1:7">
      <c r="A191" s="7">
        <v>3</v>
      </c>
      <c r="B191" s="9" t="s">
        <v>708</v>
      </c>
      <c r="C191" s="7">
        <v>4</v>
      </c>
      <c r="D191" s="7">
        <v>1</v>
      </c>
      <c r="E191" s="7" t="s">
        <v>688</v>
      </c>
      <c r="F191" t="s">
        <v>694</v>
      </c>
      <c r="G191" s="7" t="s">
        <v>709</v>
      </c>
    </row>
    <row r="192" spans="1:7">
      <c r="A192" s="7">
        <v>4</v>
      </c>
      <c r="B192" s="9" t="s">
        <v>710</v>
      </c>
      <c r="C192" s="7">
        <v>5</v>
      </c>
      <c r="D192" s="7">
        <v>1</v>
      </c>
      <c r="E192" s="7" t="s">
        <v>688</v>
      </c>
      <c r="F192" t="s">
        <v>694</v>
      </c>
      <c r="G192" s="7" t="s">
        <v>566</v>
      </c>
    </row>
    <row r="193" spans="1:7">
      <c r="A193" s="7">
        <v>5</v>
      </c>
      <c r="B193" s="9" t="s">
        <v>677</v>
      </c>
      <c r="C193" s="7">
        <v>5</v>
      </c>
      <c r="D193" s="7">
        <v>1</v>
      </c>
      <c r="E193" s="7" t="s">
        <v>703</v>
      </c>
      <c r="F193" s="7"/>
      <c r="G193" s="7" t="s">
        <v>558</v>
      </c>
    </row>
    <row r="194" spans="1:7">
      <c r="A194" s="7">
        <v>6</v>
      </c>
      <c r="B194" s="9" t="s">
        <v>652</v>
      </c>
      <c r="C194" s="7">
        <v>4</v>
      </c>
      <c r="D194" s="7">
        <v>1</v>
      </c>
      <c r="E194" s="7" t="s">
        <v>703</v>
      </c>
      <c r="F194" s="7"/>
      <c r="G194" s="7" t="s">
        <v>558</v>
      </c>
    </row>
    <row r="195" spans="1:7">
      <c r="A195" s="7">
        <v>7</v>
      </c>
      <c r="B195" s="9" t="s">
        <v>663</v>
      </c>
      <c r="C195" s="7">
        <v>4</v>
      </c>
      <c r="D195" s="7">
        <v>1</v>
      </c>
      <c r="E195" s="7" t="s">
        <v>703</v>
      </c>
      <c r="F195" s="7"/>
      <c r="G195" s="7" t="s">
        <v>558</v>
      </c>
    </row>
    <row r="196" spans="1:7">
      <c r="A196" s="7">
        <v>8</v>
      </c>
      <c r="B196" s="9" t="s">
        <v>711</v>
      </c>
      <c r="C196" s="7">
        <v>3</v>
      </c>
      <c r="D196" s="7">
        <v>1</v>
      </c>
      <c r="E196" s="7" t="s">
        <v>703</v>
      </c>
      <c r="F196" s="7"/>
      <c r="G196" s="7" t="s">
        <v>712</v>
      </c>
    </row>
    <row r="197" spans="1:7">
      <c r="A197" s="7">
        <v>10</v>
      </c>
      <c r="B197" s="7" t="s">
        <v>551</v>
      </c>
      <c r="C197" s="7">
        <v>3</v>
      </c>
      <c r="D197" s="7">
        <v>1</v>
      </c>
      <c r="E197" s="7" t="s">
        <v>703</v>
      </c>
      <c r="F197" s="7"/>
      <c r="G197" s="7" t="s">
        <v>713</v>
      </c>
    </row>
    <row r="198" spans="1:7">
      <c r="A198" s="7">
        <v>11</v>
      </c>
      <c r="B198" s="7" t="s">
        <v>552</v>
      </c>
      <c r="C198" s="7">
        <v>2</v>
      </c>
      <c r="D198" s="7">
        <v>1</v>
      </c>
      <c r="E198" s="7" t="s">
        <v>703</v>
      </c>
      <c r="F198" s="7"/>
      <c r="G198" s="7" t="s">
        <v>558</v>
      </c>
    </row>
    <row r="199" spans="1:7">
      <c r="A199" s="7">
        <v>12</v>
      </c>
      <c r="B199" s="9" t="s">
        <v>671</v>
      </c>
      <c r="C199" s="7">
        <v>4</v>
      </c>
      <c r="D199" s="7">
        <v>1</v>
      </c>
      <c r="E199" s="7" t="s">
        <v>703</v>
      </c>
      <c r="F199" s="7" t="s">
        <v>714</v>
      </c>
      <c r="G199" s="7" t="s">
        <v>628</v>
      </c>
    </row>
    <row r="200" spans="1:7">
      <c r="A200" s="7">
        <v>13</v>
      </c>
      <c r="B200" s="9" t="s">
        <v>715</v>
      </c>
      <c r="C200" s="7">
        <v>5</v>
      </c>
      <c r="D200" s="7"/>
      <c r="E200" s="7"/>
      <c r="F200" s="7"/>
      <c r="G200" s="7" t="s">
        <v>628</v>
      </c>
    </row>
    <row r="201" spans="1:7">
      <c r="A201" s="7">
        <v>14</v>
      </c>
      <c r="B201" s="9" t="s">
        <v>651</v>
      </c>
      <c r="C201" s="7">
        <v>5</v>
      </c>
      <c r="D201" s="7"/>
      <c r="E201" s="7"/>
      <c r="F201" s="7"/>
      <c r="G201" s="7" t="s">
        <v>633</v>
      </c>
    </row>
    <row r="202" spans="1:7">
      <c r="A202" s="7">
        <v>15</v>
      </c>
      <c r="B202" s="9" t="s">
        <v>653</v>
      </c>
      <c r="C202" s="7">
        <v>5</v>
      </c>
      <c r="D202" s="7"/>
      <c r="E202" s="7"/>
      <c r="F202" s="7"/>
      <c r="G202" s="7"/>
    </row>
    <row r="203" spans="1:7">
      <c r="B203" t="s">
        <v>716</v>
      </c>
      <c r="G203" t="s">
        <v>631</v>
      </c>
    </row>
    <row r="204" spans="1:7">
      <c r="B204" t="s">
        <v>717</v>
      </c>
      <c r="G204" t="s">
        <v>631</v>
      </c>
    </row>
    <row r="205" spans="1:7">
      <c r="B205" t="s">
        <v>718</v>
      </c>
    </row>
    <row r="206" spans="1:7">
      <c r="B206" t="s">
        <v>719</v>
      </c>
    </row>
    <row r="212" spans="2:2">
      <c r="B212" t="s">
        <v>720</v>
      </c>
    </row>
    <row r="213" spans="2:2">
      <c r="B213" t="s">
        <v>721</v>
      </c>
    </row>
    <row r="214" spans="2:2">
      <c r="B214" t="s">
        <v>722</v>
      </c>
    </row>
  </sheetData>
  <mergeCells count="1">
    <mergeCell ref="B77:B79"/>
  </mergeCells>
  <phoneticPr fontId="3" type="noConversion"/>
  <hyperlinks>
    <hyperlink ref="D44" r:id="rId1" xr:uid="{B86ACD07-1B10-4CB1-B3F9-3BC03E5CF1FA}"/>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7" ma:contentTypeDescription="Create a new document." ma:contentTypeScope="" ma:versionID="e87a22b1668461aaba1cb243e9c1a54a">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50a2de1385131c5aef9d9d9626e0b05"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CAD7CA-F7FE-4D49-8359-3B622D065690}">
  <ds:schemaRefs>
    <ds:schemaRef ds:uri="http://schemas.microsoft.com/office/2006/metadata/properties"/>
    <ds:schemaRef ds:uri="http://schemas.microsoft.com/office/infopath/2007/PartnerControls"/>
    <ds:schemaRef ds:uri="7a2657dd-b8a5-4c99-8d51-b0b9d254c989"/>
    <ds:schemaRef ds:uri="5ba80a41-9917-4a22-8f13-cb051ddce64c"/>
  </ds:schemaRefs>
</ds:datastoreItem>
</file>

<file path=customXml/itemProps2.xml><?xml version="1.0" encoding="utf-8"?>
<ds:datastoreItem xmlns:ds="http://schemas.openxmlformats.org/officeDocument/2006/customXml" ds:itemID="{BC326467-6A9E-4A9D-9DFA-F7B54801B8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2657dd-b8a5-4c99-8d51-b0b9d254c989"/>
    <ds:schemaRef ds:uri="5ba80a41-9917-4a22-8f13-cb051ddce6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3F1DDC-36DA-4EC5-BF69-73CB914015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roster + projects</vt:lpstr>
      <vt:lpstr>schedule</vt:lpstr>
      <vt:lpstr>Aug 3 social</vt:lpstr>
      <vt:lpstr>activity sign up</vt:lpstr>
      <vt:lpstr>budget</vt:lpstr>
      <vt:lpstr>mentor check ins</vt:lpstr>
      <vt:lpstr>staffing</vt:lpstr>
      <vt:lpstr>midterms</vt:lpstr>
      <vt:lpstr>standing zoom meetings</vt:lpstr>
      <vt:lpstr>intake</vt:lpstr>
      <vt:lpstr>project time breakdown</vt:lpstr>
      <vt:lpstr>July-4-Birthday</vt:lpstr>
      <vt:lpstr>activities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Thurston, Joel (jt9sz)</cp:lastModifiedBy>
  <cp:revision/>
  <dcterms:created xsi:type="dcterms:W3CDTF">2023-03-04T18:36:13Z</dcterms:created>
  <dcterms:modified xsi:type="dcterms:W3CDTF">2023-08-07T22:34:07Z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