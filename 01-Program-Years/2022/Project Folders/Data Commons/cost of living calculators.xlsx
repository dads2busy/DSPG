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525"/>
  <workbookPr defaultThemeVersion="166925"/>
  <mc:AlternateContent xmlns:mc="http://schemas.openxmlformats.org/markup-compatibility/2006">
    <mc:Choice Requires="x15">
      <x15ac:absPath xmlns:x15ac="http://schemas.microsoft.com/office/spreadsheetml/2010/11/ac" url="https://myuva.sharepoint.com/sites/sdad/Shared Documents/DSPG/Project Folders/Data Commons/"/>
    </mc:Choice>
  </mc:AlternateContent>
  <xr:revisionPtr revIDLastSave="1496" documentId="13_ncr:1_{76109B0B-4D7B-864F-80E9-B53A50B639FB}" xr6:coauthVersionLast="47" xr6:coauthVersionMax="47" xr10:uidLastSave="{4A574D69-718E-4365-9163-02D1EB5F0B51}"/>
  <bookViews>
    <workbookView minimized="1" xWindow="690" yWindow="590" windowWidth="16920" windowHeight="9420" firstSheet="6" activeTab="6" xr2:uid="{B031A10F-BD03-064B-B658-2AE5769B1F63}"/>
  </bookViews>
  <sheets>
    <sheet name="epi family budget" sheetId="1" r:id="rId1"/>
    <sheet name="mit living wage" sheetId="2" r:id="rId2"/>
    <sheet name="washington self sufficiency" sheetId="3" r:id="rId3"/>
    <sheet name="frankencalculator" sheetId="6" r:id="rId4"/>
    <sheet name="Calculator Outline" sheetId="7" r:id="rId5"/>
    <sheet name="Fairfax comparison" sheetId="5" r:id="rId6"/>
    <sheet name="Arlington comparison"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 i="4" l="1"/>
  <c r="G7" i="4"/>
  <c r="E7" i="4"/>
  <c r="D15" i="4"/>
  <c r="C15" i="4"/>
  <c r="B15" i="4"/>
  <c r="E6" i="4"/>
  <c r="F4" i="4"/>
  <c r="F5" i="4" s="1"/>
  <c r="D27" i="5"/>
  <c r="G29" i="5" s="1"/>
  <c r="C27" i="5"/>
  <c r="F29" i="5" s="1"/>
  <c r="B27" i="5"/>
  <c r="E29" i="5" s="1"/>
  <c r="D12" i="5"/>
  <c r="G14" i="5" s="1"/>
  <c r="C12" i="5"/>
  <c r="F14" i="5" s="1"/>
  <c r="B12" i="5"/>
  <c r="E14" i="5" s="1"/>
  <c r="D27" i="4"/>
  <c r="G18" i="4" s="1"/>
  <c r="C27" i="4"/>
  <c r="F18" i="4" s="1"/>
  <c r="B27" i="4"/>
  <c r="E19" i="4" s="1"/>
  <c r="C12" i="4"/>
  <c r="F9" i="4" s="1"/>
  <c r="D12" i="4"/>
  <c r="G9" i="4" s="1"/>
  <c r="B12" i="4"/>
  <c r="E9" i="4" s="1"/>
  <c r="F22" i="4" l="1"/>
  <c r="G20" i="4"/>
  <c r="G24" i="4"/>
  <c r="F24" i="4"/>
  <c r="E24" i="4"/>
  <c r="G23" i="4"/>
  <c r="G21" i="4"/>
  <c r="F21" i="4"/>
  <c r="G22" i="4"/>
  <c r="E21" i="4"/>
  <c r="E18" i="4"/>
  <c r="F20" i="4"/>
  <c r="E20" i="4"/>
  <c r="G19" i="4"/>
  <c r="F23" i="4"/>
  <c r="E22" i="4"/>
  <c r="E23" i="4"/>
  <c r="F19" i="4"/>
  <c r="F29" i="4"/>
  <c r="G29" i="4"/>
  <c r="F14" i="4"/>
  <c r="G14" i="4"/>
  <c r="E29" i="4"/>
  <c r="E14" i="4"/>
</calcChain>
</file>

<file path=xl/sharedStrings.xml><?xml version="1.0" encoding="utf-8"?>
<sst xmlns="http://schemas.openxmlformats.org/spreadsheetml/2006/main" count="454" uniqueCount="250">
  <si>
    <t>Organization</t>
  </si>
  <si>
    <t>Economic Policy Institute</t>
  </si>
  <si>
    <t>Tool name</t>
  </si>
  <si>
    <t>Family Budget Calculator</t>
  </si>
  <si>
    <t>Description</t>
  </si>
  <si>
    <t>EPI’s Family Budget Calculator measures the income a family needs in order to attain a modest yet adequate standard of living. The budgets estimate community-specific costs for 10 family types (one or two adults with zero to four children) in all counties and metro areas in the United States. Compared with the federal poverty line and the Supplemental Poverty Measure, EPI’s family budgets provide a more accurate and complete measure of economic security in America.</t>
  </si>
  <si>
    <t>Documentation</t>
  </si>
  <si>
    <t>Budget category</t>
  </si>
  <si>
    <t>Long description</t>
  </si>
  <si>
    <t>Data source</t>
  </si>
  <si>
    <t>Method</t>
  </si>
  <si>
    <t>Data Source Link</t>
  </si>
  <si>
    <t>NCR Coverage</t>
  </si>
  <si>
    <t>Time Period Coverage</t>
  </si>
  <si>
    <t>Resolution</t>
  </si>
  <si>
    <t>Notes</t>
  </si>
  <si>
    <t>Housing</t>
  </si>
  <si>
    <t>Housing costs are based on the Department of Housing and Urban Development’s fair market rents, which represent rental costs (shelter rent plus utilities) at the 40th percentile in a given area for privately owned, structurally safe, and sanitary rental housing of a modest nature with suitable amenities. Studio apartments were used for one-adult families, one-bedroom apartments for two-adult families, two-bedroom apartments for families with one or two children, and three-bedroom apartments for families with three or four children.</t>
  </si>
  <si>
    <t>HUD Fair market rents</t>
  </si>
  <si>
    <t>For each county that crosses into multiple FMR/metro areas, weighted FMR averages are calculated based on the share of the population living in each metro area located in the county’s borders. Finally, since FMRs within metro areas are provided at the metropolitan level only, counties within the same metro area all have the same FMR value. We adjust these numbers to create county-level variation using county-level ACS median gross rent data. We create a metro-level population-weighted average rent, and then apply the ratio of ACS metro rent to ACS county-within-metro rent to each county FMR that is calculated at the metro level.</t>
  </si>
  <si>
    <t>https://www.huduser.gov/portal/datasets/fmr.html</t>
  </si>
  <si>
    <t>Yes</t>
  </si>
  <si>
    <t>2000-2022</t>
  </si>
  <si>
    <t>Zip Code, County</t>
  </si>
  <si>
    <t>They have an API</t>
  </si>
  <si>
    <t>Food</t>
  </si>
  <si>
    <t>Food costs are based on the U.S. Department of Agriculture’s national “low-cost” food plan and adjusted to each area using multipliers from Feeding America’s Map the Meal Gap data. The low-cost plan is the second-least-expensive of the four Official USDA Food Plans and assumes almost all food is bought at the grocery store and then prepared at home. The USDA food plans represent the amount families need to spend to achieve nutritionally adequate diets.</t>
  </si>
  <si>
    <t>USDA Low cost food plan + Map the meal gap multipliers</t>
  </si>
  <si>
    <t>Use the USDA low cost plan as weekly cost of food, assuming all food are bought from grocery store and prepared at home. County level data are provided by adjustment according to Feeding America's Map 2021</t>
  </si>
  <si>
    <t>USDA food plan: https://www.fns.usda.gov/cnpp/usda-food-plans-cost-food-reports-monthly-reports
Map the Meal Gap: https://www.feedingamerica.org/research/map-the-meal-gap/by-county?s_src=WXXX1MTMG</t>
  </si>
  <si>
    <t>USDA food plan: 1994 - 2022, monthly
Map the Meal Gap: 2011-2019</t>
  </si>
  <si>
    <t>USDA: national
Map the Meal Gap: county</t>
  </si>
  <si>
    <t>USDA food plan: monthly reports in pdf only
Map the Meal Gap: need to fill in a data request form</t>
  </si>
  <si>
    <t>Child care</t>
  </si>
  <si>
    <t>Child care expenses are based on costs of center-based child care and family-based care for 4-year-olds and school-age children, as reported by the Child Care Aware of America. We assume all families in urban areas use center-based care and all families in rural areas use family-based care. For one-child families, we assume the child is 4 years old. For families with more than one child, we assume the additional children are ages 8, 12, and 16, respectively.</t>
  </si>
  <si>
    <t>Child care aware of america</t>
  </si>
  <si>
    <t xml:space="preserve"> To adjust child care costs to the county level, we create a ratio of the countylevel costs of rent for two-, three-, and four-bedroom apartments to the population5
weighted state average of the same costs. We then adjust 50 percent of the child care
costs using this ratio to estimate the variation in child care costs by county. We find this
method to be theoretically sound because rental costs are a significant portion of the cost
of running a child care operation (whether center-based or home-based), and variations in
rents are also a reasonable proxy for variations in costs of living in general and therefore
of wage differences within the state. Furthermore, on an empirical level, we find a similar
range of estimated costs as well as a high correlation between our county-level estimates
and those provided in the CCAoA report. If a metro area is in multiple states, we use a
metro area population-weighted average of the counties within the metro area to come up
with a single number for the metro area. All costs are inflated to 2020 dollars using the
consumer price index (CPI) for child care and nursery school for all urban consumers (BLS
2021b). We calculate our child care costs for our family types based on the following assumptions:
• One child = cost of 4-year-old care
• Two children = cost of 4-year-old care + cost of care for one school-age child
• Three children = cost of 4-year-old care + cost of care for one school-age child + cost
of full-day summer care for one school-age child
• Four children = cost of 4-year-old care + cost of care for one school-age child + cost of
full-day summer care for one school-age child
Linked Appendix explains in greater depth the precise meaning of the types of care listed above</t>
  </si>
  <si>
    <t>https://www.childcareaware.org/wp-content/uploads/2020/09/PUTP-Appendices-FINAL-9-18-20.pdf</t>
  </si>
  <si>
    <t>Data source is at state level, but calculator applies adjusters to make county-level estimates</t>
  </si>
  <si>
    <t>None</t>
  </si>
  <si>
    <t>Transportation</t>
  </si>
  <si>
    <t>Transportation expenses are a combination of the costs of auto ownership, auto use, and transit use. Transportation cost data were provided by the Center for Neighborhood Technology (CNT). CNT created a modified version of transportation costs from its Housing and Transportation Affordability Index to account for differences in family types in the Family Budget Calculator.</t>
  </si>
  <si>
    <t>Center for neighborhood technology</t>
  </si>
  <si>
    <t xml:space="preserve">The transportation model in the H+T Index estimates three components of travel behavior: auto
ownership, auto use, and transit use. To calculate total transportation costs, each of these modeled
outputs is multiplied by a cost per unit (e.g., cost per mile) and then summed to provide average values
for each block group. </t>
  </si>
  <si>
    <t>https://htaindex.cnt.org/about/HT_Index_Methods_2013.pdf</t>
  </si>
  <si>
    <t>2008 - 2022</t>
  </si>
  <si>
    <t>block groups, tract, county</t>
  </si>
  <si>
    <t xml:space="preserve">https://cnt.org/tools/housing-and-transportation-affordability-index  </t>
  </si>
  <si>
    <t>Health care</t>
  </si>
  <si>
    <t>Health care expenses include insurance premiums and out-of-pocket costs, and assume families purchase the lowest cost bronze plans on the health insurance exchange established under the Affordable Care Act. Data on premiums come from the Kaiser Family Foundation and the U.S. Department of Health and Human Services (HHS). Out-of-pocket medical costs are calculated from HHS’s Medical Expenditure Panel Survey.</t>
  </si>
  <si>
    <t>Kaiser family foundation + HHS + Medical expenditure panel survey</t>
  </si>
  <si>
    <t>assuming all families have purchased the ACA health insurance, the premium part is Kaiser foundation's calculator of the region's lowest plan for a 40-yr-old non-smoker. Out-of-pocket is the 3-year average of restricted-use geocoded version of the MEPS “Household Component (Full year Consolidated Files)” for 2017, 2018 and 2019, adjusted to 2020 dollars. Ouf-of-pocket amount are differentiated into regional, adult vs child, and metro vs non-metropolitan area</t>
  </si>
  <si>
    <t>HHS QHP landscape individual market medocal
https://data.healthcare.gov/dataset/b8in-sz6k
CMS QHP premium data https://www.cms.gov/CCIIO/Resources/Data-Resources/QHP-Choice-Premiums
MEPS HC-216
https://meps.ahrq.gov/mepsweb/data_stats/download_data_files_detail.jsp?cboPufNumber=HC-216</t>
  </si>
  <si>
    <t>Yes for HHS and CMS
No for MEPS</t>
  </si>
  <si>
    <t>HHS QHP landscape market medical:
yearly 2017, 2018 &amp; 2022
CMS QHP premium: yearly 2014-2022
MEPS pooled data can cover 1994 - 2019</t>
  </si>
  <si>
    <t>county
MEPS offers only regional code of northeast, west, south,  midwest</t>
  </si>
  <si>
    <t>HHS's official dataset offers an API, but is hard to retrieve full data set chronically. CMS offers an alternative dataset that summarizes yearly changes in a .xlsx MS Excel file, so also included here
MEPS offers code book and R/SAS/STATA/Excel API. The public file HC-216, formerly HC-212, are organized as a pooled data set here https://www.meps.ahrq.gov/mepsweb/data_stats/download_data_files_detail.jsp?cboPufNumber=HC-036BRR
It is suggested that more detailed geocode MEPS data is offered upon request only</t>
  </si>
  <si>
    <t>Other necessities</t>
  </si>
  <si>
    <t>Other necessities include apparel, personal care, household supplies (which include items ranging from furnishings to cleaning supplies to phone service), reading materials, and school supplies. The costs for these items come from the Bureau of Labor Statistics Consumer Expenditure Survey, and use data reported for households in the second (from the bottom) fifth of households in the household income distribution</t>
  </si>
  <si>
    <t>BLS CEX</t>
  </si>
  <si>
    <t>We include the following expenditures from
the CEX in our “other necessities” calculation: apparel, personal care, household supplies
(including furnishings and equipment, household operations, housekeeping supplies, and
telephone services), reading materials, and school supplies. We use the CEX data for families in the second fifth from the bottom of the overall income
distribution (those in the 20th- to 40th-percentile range). Using the 2019 CEX expenditure
table “Quintiles of income before taxes,” we sum the values of the categories mentioned
above to create an “other necessities” aggregate number, and then divide this by CEX
food and housing costs. In 2019, we determine this proportion to be 36.2%. Therefore, we
estimate the cost of other necessities by applying this percent to each respective family
budget’s food and housing costs.</t>
  </si>
  <si>
    <t>https://www.bls.gov/cex/tables/calendar-year/mean-item-share-average-standard-error/cu-income-quintiles-before-taxes-2019.pdf</t>
  </si>
  <si>
    <t xml:space="preserve">Yes  </t>
  </si>
  <si>
    <t>2012 - 2020</t>
  </si>
  <si>
    <t>National</t>
  </si>
  <si>
    <t>Taxes</t>
  </si>
  <si>
    <t>Taxes are calculated from the National Bureau of Economic Research’s Internet TAXSIM, an online tool that calculates information on federal personal income taxes, state income taxes, and federal Social Security and Medicare payroll taxes.</t>
  </si>
  <si>
    <t>National bureau of economic research's internet TAXSIM</t>
  </si>
  <si>
    <t xml:space="preserve">TAXSIM is the NBER's FORTRAN program for calculating liabilities under US Federal and State income tax laws from individual data. Scholars interested in using TAXSIM to calculate tax liabilities and marginal tax rates should follow few instructions for submitting data. Liabilities are returned as an online web page in a few seconds. The program itself is available to NBER associates and government agencies.
</t>
  </si>
  <si>
    <t>http://users.nber.org/~taxsim/taxsim32/                   http://users.nber.org/~taxsim/feenberg-coutts.pdf</t>
  </si>
  <si>
    <t>1977 - 2020</t>
  </si>
  <si>
    <t>State</t>
  </si>
  <si>
    <t>http://users.nber.org/~taxsim/state-rates/</t>
  </si>
  <si>
    <t>Massachussets Institute of Technology</t>
  </si>
  <si>
    <t>Living wage calculator</t>
  </si>
  <si>
    <t>The living wage shown is the hourly rate that an individual in a household must earn to support his or herself and their family. The assumption is the sole provider is working full-time (2080 hours per year). The tool provides information for individuals, and households with one or two working adults and zero to three children. In the case of households with two working adults, all values are per working adult, single or in a family unless otherwise noted</t>
  </si>
  <si>
    <t>The food component of the basic needs budget uses the USDA’s low-cost food plan3 national average in June 2019.4 The low-cost plan is the second least expensive food plan of a set of four food plans that provide nutritionally adequate food budgets at various price points. The low-cost plan assumes that families select lower-cost foods and that all meals (including snacks)
are prepared in the home. The food component’s value varies by family size and the ages of individual family members. Adult food consumption costs are estimated by averaging the low-cost plan food costs for males and females between 19 and 50. Child food consumption costs are estimated using the various categories in the low-cost food plan based on the child age assumptions detailed in the section Assumptions about Family Composition. The regional adjustment factor is based on estimated regional differences in raw and unprepared food prices. The regional adjustment factors by region are as follows: East (1.08), Midwest (0.95), South (0.93), and West
(1.11).</t>
  </si>
  <si>
    <t>USDA Low cost food plan + regional adjustment</t>
  </si>
  <si>
    <t>Based on USDA low cost plan, each adult's need is the average of male and female cost aged 19-50, each child is calculated following three assumed family composition: 1 young (4 yr); 1 young (4yr) and 1 child (9 yr); or 1 young (4 yr), 1 child (9 yr), 1 teenager (15 yr)
regional adjustment: East (1.08), Midwest (0.95), South (0.93), and West (1.11)</t>
  </si>
  <si>
    <t>https://www.fns.usda.gov/cnpp/usda-food-plans-cost-food-reports-monthly-reports</t>
  </si>
  <si>
    <t>No</t>
  </si>
  <si>
    <t>monthly, 1994 - 2022</t>
  </si>
  <si>
    <t>National
regional adjustments are quarter-national</t>
  </si>
  <si>
    <t>same fundamental data as epi, but a more generalized and obsolete regional adjuster is used</t>
  </si>
  <si>
    <t>Child Care</t>
  </si>
  <si>
    <t>Childcare cost data was collected from all counties within states in the country. We started with market rate surveys published by every state. Once these were established, we built a data base derived from local providers via either a database or contacting providers in the state directly. As far as possible the median estimates of childcare center costs were used. If median costs were not reported, the mean was used instead. Some county level market rate surveys only reported measures such as the 75th percentile of the range of childcare center costs. We converted all data to monthly rates. Unless a different rate was specified in the market rate survey publication. Next, the cheapest childcare option was identified. This was done as per the living wage user guide which states “we used the lowest cost option”, as they assume lower income families will choose the cheapest available option. As the market rate surveys were published in different years, we converted all values to 2019 dollars. Using the BLS tool7 we chose June-June inflation rates. Values were inflated from 2019 to 2020 dollars using the Consumer Price Index inflation multiplier from the Bureau of Labor Statistics.8 Some states required further imputation. This was necessary in the following cases • The survey only provided region- or zone-level estimates • The survey only provided state-wide estimates • Some counties were missing For those states that only provided region- or zone-level averages, the zone or region average was used for each county within that zone or region. For the states with missing counties, the strategy depended on how many counties were missing and the characteristics of the non-missing data. Median household income data was consolidated for every county in each state with missing data. Each county also had a corresponding ruralurban continuum code, a number between 1 and 9, indicative of how metropolitan the county is. Missing counties were imputed by indexing by median household income, while accounting for how rural or urban the county was.
If there were at least seven9 non-missing counties with the same rural-urban continuum code as
the missing county, the missing county cost was estimated by multiplying the weighted average
childcare cost of the non-missing counties of that rural-urban code with the ratio of the median
household income in that county to the weighted average of the median household income in the
counties of that rural-urban code.
If there were fewer than seven non-missing counties, we chose to use whether the county was
metro or non-metro in place of the code. This meant multiplying the weighted average childcare
cost of the (non)-metro counties with the ratio of the median household income in that county to
the weighted average of the median household income in the (non)-metro counties.</t>
  </si>
  <si>
    <t xml:space="preserve">Market rate childcare cost surveys </t>
  </si>
  <si>
    <t xml:space="preserve"> Childcare cost data was updated in 2019 and reflects county and state-level data
collected from state market rate surveys and a survey of county-level child care provider cost
data where available. If these were not available, they were aggregated from providers via either
a database or contacting providers in the state directly.
The lowest cost option was used and then averaged across the toddler and newborn age groups.
As far as possible the median estimates of childcare center costs were used. If median costs were
not reported, the mean was used instead. Values were inflated from 2019 to 2021 dollars using the Consumer Price Index inflation
multiplier from the Bureau of Labor Statistics.7 And, the state-wide cost was computed as the
weighted average (by population) of the county cost estimates. For those states that only provided region- or zone-level averages, the zone or region average
was used for each county within that zone or region.
For those states that only provided state-wide estimates, the counties estimates were calculated
by multiplying the state average by the ratio of the median household income in that county to
the weighted average of the median household income in the state by county population. For the states with missing counties, the strategy depended on how many counties were missing
and the characteristics of the non-missing data. Median household income data was consolidated
for every county in each state with missing data. Each county also had a corresponding
rural-urban continuum code, a number between 1 and 9, indicative of metropolitan population
size. Missing counties were imputed by indexing by median household income, while accounting
for how rural or urban the county was. If there were at least seven8 non-missing counties with the
same rural-urban continuum code as the missing county, the missing county cost was estimated
by multiplying the weighted average childcare cost of the non-missing counties of that
rural-urban code with the ratio of the median household income in that county to the weighted
average of the median household income in the counties of that rural-urban code. If there were
fewer than seven non-missing counties, we chose to use whether the county was metro or
non-metro in place of the code. This meant multiplying the weighted average childcare cost of
the (non)-metro counties with the ratio of the median household income in that county to the
weighted average of the median household income in the (non)-metro counties.</t>
  </si>
  <si>
    <t>https://www.dss.virginia.gov/files/division/cc/interested_subsidy_vendors/notices/Market_Rate_Survey.pdf https://osse.dc.gov/sites/default/files/dc/sites/osse/publication/attachments/Modeling%20the%20Cost%20of%20Child%20Care%20in%20the%20District%20of%20Columbia%202021.pdf  https://osse.dc.gov/sites/default/files/dc/sites/osse/publication/attachments/OSSE%20Cost%20Model%20Report_2018.pdf https://earlychildhood.marylandpublicschools.org/system/files/filedepot/2/market_rate_survey_final_report_july_2019_sr_07_08_19_pm_final_pdf_3.pdf</t>
  </si>
  <si>
    <t>Yes, but Maryland only has data for average, 30th, and 60th percentiles; D.C. only has data for average; Virginia only has data for 70th percentile</t>
  </si>
  <si>
    <t>2018 (VA), 2019 (MD), 2018 &amp; 2021 (DC)</t>
  </si>
  <si>
    <t>County</t>
  </si>
  <si>
    <t>I have added a link to the D.C. 2021 data for convenience although the calculator uses the 2018 inflated to 2021 dollars</t>
  </si>
  <si>
    <t>Medical</t>
  </si>
  <si>
    <t>Typical health-related expenses are difficult to estimate due to the multitude of variables that potentially impact health care expenditures, such as the relative health of household members and the range of coverage and affiliated costs under alternative medical plans. The health component of the basic needs budget includes: (1) health insurance costs for employer sponsored plans, (2) medical services, (3) drugs, and (4) medical supplies.10 Costs for medical services, drugs and medical supplies were derived from 2017 national expenditure estimates by household size provided in the 2019 Bureau of Labor Statistics Consumer Expenditure Survey.11 These estimates were further adjusted for regional differences using annual income expenditure shares reported by region.12 Values were inflated from 2019 to 2020 dollars using the Consumer Price Index inflation multiplier from the Bureau of Labor Statistics.13 Health insurance costs were calculated using the Health Insurance Component Analytical Tool (MEPSnet/IC) provided online by the Agency for Healthcare Research and Quality.14 This tool provides state-level estimates derived from the insurance component of the 2017 Medical Expenditure Panel Survey. The criteria for cost estimation using MEPSnet/IC tool were: “PrivateSector Establishments: State Specific Data for Private-Sector Establishments”, for each individual state, “Annual Premiums and Contributions per Enrolled Employee at Private-Sector Establishments”, All Employees Combined, either (1) “Single Plans”, (2) “Employee-plus-one Plans” or (3) “Family Plans.” We assumed that a single adult family uses a “Single Plan”, a two adult family uses an “Employee-Plus-One Plan,” and all other family types use a “Family Plan.15 Values were inflated from 2019 to 2020 dollars using the Consumer Price Index inflation
multiplier from the Bureau of Labor Statistics.16</t>
  </si>
  <si>
    <t>BLS CEX + MEPS</t>
  </si>
  <si>
    <t>Cost of drugs, medical services, and medical supplies derived from 2017 national expenditure estimates by household size, in 2020 BLS CEX (table 1400), adjusted to regional income expenditure shares (table 1800) and inflation
Health insurance cost is derived from 2017 MEPS data, estimated at state level. Single adult is assumed to use employee plan, two-adult family uses employee plus one, and others use family plan. Inflation adjusted to 2021 dollar</t>
  </si>
  <si>
    <t>BLS CEX tables: https://www.bls.gov/cex/tables.htm
table 1400: https://www.bls.gov/cex/2018/region/region.pdf
table 1800: https://www.bls.gov/cex/2018/region/region.pdf</t>
  </si>
  <si>
    <t>2012-2020</t>
  </si>
  <si>
    <t>regional (northeast, south, midwest, west)</t>
  </si>
  <si>
    <t>Experimental state level microdata does not include NCR</t>
  </si>
  <si>
    <t>The housing component captures the likely cost of rental housing in a given area in 2020 using HUD Fair Market Rents (FMR) estimates. The FMR estimates are produced at the subcounty and county levels.17 County FMRs were obtained by aggregating sub-county estimates (where sub-county estimates existed) using a population-weighted average using population estimates from the 2018 5-year estimates American Community Survey published by the Census Bureau.18 State and metropolitan area FMRs were also obtained by population weighting county FMRs. This year, HUD is replacing the national trend factor with local and regional trend factors in order to improve the accuracy of the FMRs.19 The FMR estimates include utility costs and vary depending on the number of bedrooms in each unit, from zero to four bedrooms. We assumed that a one adult family would rent a single occupancy unit (zero bedrooms) for an individual adult household, that a two adult family would rent a one-bedroom apartment, and that two adult and one or two child families would rent a twobedroom apartment. We further assumed that families with three children would rent a threebedroom apartment (the adults are allocated one bedroom and the children two bedrooms).</t>
  </si>
  <si>
    <t xml:space="preserve"> County FMRs were obtained by aggregating sub-county estimates (where sub-county estimates existed) using a population-weighted average using population estimates from the 2018 5-year American Community Survey estimates published by the Census Bureau. 17 State and metropolitan area FMRs were also obtained by population weighting county FMRs. The FMR estimates include utility costs and vary depending on the number of bedrooms in each unit, from zero to four bedrooms. We assumed that a one adult family would rent a single occupancy unit (zero bedrooms) for an individual adult household, that a two adult family would rent a one bedroom apartment, and that two adult and one or two child families would rent a two bedroom apartment. We further assumed that families with three children would rent a three bedroom apartment (the adults are allocated one bedroom and the children two bedrooms).</t>
  </si>
  <si>
    <t>https://www.huduser.gov/portal/datasets/fmr.html#2022_data</t>
  </si>
  <si>
    <t>The transportation component is constructed using 2019 national expenditure data by household size from the 2019 Bureau of Labor Statistics Consumer Expenditure Survey including: (1) Cars and trucks (used), (2) gasoline and motor oil, (3) other vehicle expenses, and (4) public transportation. Transportation costs cover operational expenses such as fuel and routine maintenance as well as vehicle financing and vehicle insurance but do not include the costs of purchasing a new automobile.20 These costs were further adjusted for regional differences using annual expenditure shares reported by region.21 Expenditures were selected by household size, instead of as a share of household income because transportation cost (i.e. gas, repairs, etc.) are roughly the same for all persons regardless of income. Values were inflated from 2019 to 2020 dollars using the Consumer Price Index inflation multiplier from the Bureau of Labor Statistics.22</t>
  </si>
  <si>
    <t>The Consumer Expenditure Survey (CE), administered by the Bureau of Labor Statistics (BLS), measures individual household spending in the United States, including transportation. It counts out-of-pocket spending and does not count spending on behalf of households, e.g., healthcare payments by insurance companies. For this reason, transportation accounts for a larger portion of all household spending than in total national household spending.</t>
  </si>
  <si>
    <t>https://data.bts.gov/stories/s/Transportation-Economic-Trends-Transportation-Spen/ida7-k95k/</t>
  </si>
  <si>
    <t>1999 - 2020</t>
  </si>
  <si>
    <t>Census region, Metro area, National, Region</t>
  </si>
  <si>
    <t>The data is represented in forms of charts and tables for different years</t>
  </si>
  <si>
    <t>The basic needs budget includes cost estimates for items not otherwise included in the major budget components such as clothing, personal care items, and housekeeping supplies. In 2020, we established a regionalized value for Broadband and Cell Phone Service. We first discuss the procedure followed to arrive at the cost of Broadband Service followed by a discussion of the calculation of Cellphone service. We followed a three step-process to create a combined average cost for both services. In 2020, based on changes in communications technologies, phone service based on a landline is
no longer considered the primary means of telecommunication. After consultation with users and a review of the Consumer Expenditure Survey, we made a determination to add a cost element for broadband and cell phone service. We first calculated the cost of Broadband. A preliminary analysis of broadband in the United States was conducted by looking at the types of connections (cable, fiber, ADSL, and satellite), geographic coverage, services available, and subscription plan costs of the ten largest broadband providers. Next, in order to obtain geographic data of the cost of broadband, we randomly selected three states from each of the major geographic regions (Northeast, South, Midwest, and West), listed the major broadband providers for each of those states, and obtained the lowest cost plan in an urban, suburban, and rural zip code. In order to acquire this data, we used the BroadbandNow tool, which lists available providers and prices by zip code.23 We also noted the top firms in each of the selected states and any additional costs associated with each plan, including monthly modem rental prices.
An analysis of the lowest cost broadband plan in urban, suburban, and rural zip codes in each geographic region (Northeast, South, Midwest, and West) confirmed no major geographic trends. The base cost of the cheapest Broadband plan available, including an additional equipment fee was approximately $60 per month. Research from other sources corroborated our findings that $60/month is a proper national estimate. The website cable.co.uk did a report on global broadband costs per country and found the average cost of broadband in the US as of 2020 was $50. A report from 2010 by the FCC found that the average broadband bill for those whose plans were not part of a bundle was $46.25. None of those costs include equipment for a modem however which from our data collection usually ranged around $10/month. That extra cost brings those estimates close to our $60/month estimate for internet cost. The next step was to calculate the cost of Cell Phone Service. We calculated the cost of a cell phone service plan based on a typical prepaid plan with unlimited call and text and 10 GB of data per month. We chose to include plans with up to 15 GB of data because there was no significant difference in cost between 10 GB plans and 11-15 GB plans. We included a factor representing the taxes and fees that customers would typically pay on a prepaid plan. We identified the average cumulative state and local sales tax by state and then found the weighted average of that tax by population for an average US sales tax of 7.39%, A monthly rate of $40 with 7.39% tax resulting in $42.96 as the typical amount someone would pay for a prepaid plan with unlimited text and call and 10 GB of data. We added an additional $204.50 for the purchase of a low-price cell phone with minimal smart phone features. We assumed that a consumer would purchase a new cell phone approximately once every three years. Expenditures for other necessities are based on 2019 data by household size from the 2019 Bureau of Labor Statistics Consumer Expenditure Survey including: (1) Apparel and services, (2) Housekeeping supplies, (3) Personal care products and services, (4) Miscellaneous. (5) Broadband and Cell Phone Service.These costs were further adjusted for regional differences using annual expenditure shares reported by region. Values were inflated from 2019 to 2020 dollars using the Consumer Price Index inflation multiplier from the Bureau of Labor Statistics.</t>
  </si>
  <si>
    <t xml:space="preserve">MIT Cost of broadband (broadband now), cell phone + CEX apparel + CEX housekeeping + CEX personal care + miscellaneous </t>
  </si>
  <si>
    <t>Expenditures for other necessities are based on 2020 data by household size from the 2020 Bureau of Labor Statistics Consumer Expenditure Survey including: (1) Apparel and services, (2) Housekeeping supplies, (3) Personal care products and services, (4) Reading, and (5) Miscellaneous. These costs were further adjusted for regional differences using annual expenditure shares reported by region. Values were inflated from 2020 to 2021 (12.3%) dollars using the Consumer Price Index inflation multiplier from the Bureau of Labor Statistics.                                               We combined broadband and cell-phone service into one cost estimate of $120.00. For both broadband and cell phone service an inflation rate of 2.6% was applied.</t>
  </si>
  <si>
    <t>https://www.bls.gov/cex/tables/calendar-year/aggregate-group-share/cu-size-2019.pdf https://www.bls.gov/cex/2018/region/region.pdf https://www.bls.gov/data/inflation_calculator.htm https://broadbandnow.com/ https://transition.fcc.gov/DiversityFAC/032410/consumer-survey-horrigan.pdf https://www.cable.co.uk/broadband/worldwide-pricing/2022/broadband_price_comparison_press_release.pdf</t>
  </si>
  <si>
    <t>2018 - 2020 or 2022 depending on source</t>
  </si>
  <si>
    <t xml:space="preserve">Regional  </t>
  </si>
  <si>
    <t>Documentation claims bls data from 2020 was used, but documentation also only gave links to 2018 and 2019 data. Additionally, only 2022 data was still available from cable.co.uk, but the calculator used 2020 data.</t>
  </si>
  <si>
    <t>Civic</t>
  </si>
  <si>
    <t>In 2020, after considerable investigation and consultation with long standing users, we developed an element of the tool that reflects of the cost of engaging in basic activities that enrich the lives of Americans. The civic engagement component is constructed using 2019 national expenditure data by household size from the 2019 Bureau of Labor Statistics Consumer Expenditure Survey including: (1) Fees and admissions, (2) audio and visual equipment and services, (3) pets, and (4) toys, (5) hobbies, and playground equipment, (6) other entertainment supplies, (7) equipment, and services, (8) reading, and (9) education. Civic engagement costs cover expenses related to participating in and engaging in civic activities. 29 These costs were further adjusted for regional differences using annual expenditure shares reported by region.30 Expenditures were selected by household size, instead of as a share of household income because civic engagement costs are roughly the same for all persons regardless of income. Values were inflated from 2019 to 2020 dollars using the Consumer Price Index inflation multiplier from the Bureau of Labor Statistics.31</t>
  </si>
  <si>
    <t>CEX "civic engagement costs"</t>
  </si>
  <si>
    <t>Based on 2020 BLS CEX expense by household size on 8 categories of civic engagement costs, adjusted to regional expenditure share and inflation</t>
  </si>
  <si>
    <t>Experimental state level microdata does not include NCR
Civic data is collected only in mit calculator</t>
  </si>
  <si>
    <t xml:space="preserve">Estimates for federal and state taxes are included in the calculation of a living wage. Property taxes and sales taxes are already represented in the budget estimates through the cost of rent and other necessities. Federal taxes are taken from the Urban-Brookings Tax Policy Center Microsimulation Model (version 0217-1)32 and include: individual income taxes (after tax credits including the refundable portion of earned income and child tax credits), payroll taxes (including both the employee and employer portion of social security and Medicare taxes), corporate income tax, estate tax, and excise tax. The federal tax rate for the middle quintile was 14.0% in 2017. The state tax rate is taken from the state income tax rate, as reported by the CCH State Tax
Handbook 2015, which reports 2016 tax rates.33 The tax rate tier applied is determined by the pretax living wage, and includes deductions.34 The 2016 tax rate has been inflated on an annual basis
in succession and updated to 2020. The gap between 2016 and 2020 is due to the irregular printing
of the State Tax Handbook. </t>
  </si>
  <si>
    <t>Urban-Brookings Tax Policy Center Microsimulation Model + CCH State Tax
Handbook</t>
  </si>
  <si>
    <t xml:space="preserve">The Urban-Brookings Tax Policy Center’s large-scale microsimulation model produces revenue and distribution estimates of the US federal tax system. The model is similar to those used by the Congressional Budget Office (CBO), the Joint Committee on Taxation (JCT), and the Treasury's Office of Tax Analysis.  The model is based on data from the 2004 public-use file (PUF) produced by the Statistics of Income Division (SOI) of the Internal Revenue Service (IRS). The PUF contains 150,047 records with detailed information from federal individual income tax returns filed in the 2004 calendar year. We attach additional information on demographics and sources of income that are not reported on tax returns through a constrained statistical match of the public-use file with the March 2005 Current Population Survey (CPS) of the US Census Bureau. That match also generates a sample of individuals who do not file income tax returns (“nonfilers”). The dataset combining filers from the PUF (augmented by demographic and other information from the CPS) and nonfilers from the CPS allows us to carry out distribution analysis on the entire population rather than just the segment that files individual income tax returns, and to model tax proposals that would potentially affect current nonfilers.  The tax model consists of two components: a statistical routine that “ages” or extrapolates the 2004 data to create a representative sample of both filing and nonfiling tax units for future years,1 and detailed tax calculators that compute individual income tax liability for all filers in the sample under current law and under alternative policy proposals, compute the employee and employer shares of payroll taxes for Social Security and Medicare, assign the burden of the corporate income tax to tax units, and determine the expected value of estate tax liability for each tax unit in the sample using an estate tax calculator combined with age-specific mortality rates.                                                                                                                                           The State Tax Handbook is the perfect quick-answer tool for tax practitioners and business professionals who work with multiple state tax jurisdictions. Save time by utilizing a single source of key state tax information instead of having to consult multiple sources. The Handbook is set out in four parts, which together deliver an overall picture of the states' levies, bases and rates of each tax, principal payment and return dates, and other important information on major state taxes.
</t>
  </si>
  <si>
    <t>https://www.urban.org/research/data-methods/data-analysis/quantitative-data-analysis/microsimulation/tax-policy-center-microsimulation-model  
https://www.taxpolicycenter.org/resources/brief-description-tax-model</t>
  </si>
  <si>
    <t xml:space="preserve">yes </t>
  </si>
  <si>
    <t>Urban-Brookings Tax Policy Center Microsimulation Model :   2005 to 2024</t>
  </si>
  <si>
    <t>The TPC microsimulation model’s primary data source is the 2006 public-use file (PUF) produced by the Statistics of Income (SOI) Division of the Internal Revenue Service (IRS). The 2006 PUF contains 145,858 records with detailed information from federal individual income tax returns from tax years 2003 to 2006 filed in the calendar year 2007.
Beginning with the 2006 data, we employ a two-step process to create a file that is nationally and state representative of the tax filing population for the 2011 tax year, the latest year for which information was available at the time we began our most recent comprehensive model update. In the first step of this process, we use published tax data to calculate per-return average growth rates for income, deductions, and other items between 2006 and 2011 by adjusted gross income (AGI) class. We then use these growth rates to adjust the dollar amounts on each PUF record.
In the second step of the process, we use a constrained optimization algorithm to reweight the records in order to match an extensive set of about 100 national targets and 39 to 51 state targets for both return counts and dollar amounts. We refer to the resulting file as the 2011 “Look-Alike Public Use File” or LAPUF.                                       The State tax handbook is actually available in a pdf format.</t>
  </si>
  <si>
    <t>The Center for Women's Welfare</t>
  </si>
  <si>
    <t>Name</t>
  </si>
  <si>
    <t>Self Sufficiency Standard</t>
  </si>
  <si>
    <t>The Center for Women’s Welfare Self-Sufficiency Standard defines the income working families need to meet a minimum yet adequate level, taking into account family composition, ages of children, and geographic differences in costs. The Standard is an affordability and living wage economic security measure that provides an alternative to the official poverty measure.</t>
  </si>
  <si>
    <t>For housing costs, the Standard uses the most recent Fair Market Rents (FMRs). These rates are calculated annually by the U.S. Department of Housing and Urban Development (HUD) for each state’s metropolitan and non-metropolitan areas to set levels of housing assistance. FMRs include utilities (except telephone and cable) and reflect the cost of housing that meets basic standards of decency. In most cases, FMRs are set at the 40th percentile, meaning that 40% of the housing in a given area is less expensive than the FMR. Since HUD calculates only one set of FMRs for an entire metropolitan area, in multiple county metropolitan areas the Standard uses HUD’s Small Area Fair Market Rents (SAFMR) to estimate county variation within metropolitan areas.</t>
  </si>
  <si>
    <t>HUD Fair market rents (Small area)</t>
  </si>
  <si>
    <t xml:space="preserve">Since HUD calculates only one set of FMRs for an entire metropolitan area, in multiple county metropolitan areas the Standard uses HUD’s Small Area Fair Market Rents (SAFMR) to estimate county variation within metropolitan areas. To determine the number of bedrooms required for a family, the Standard assumes that parents and
children do not share the same bedroom and no more than two children share a bedroom. Therefore,
the Standard assumes that single persons and couples without children have one-bedroom units,
families with one or two children require two bedrooms, families with three or four children require
three bedrooms, and families with five or six children require four bedrooms. Because there are few
efficiencies (studio apartments) in some areas, and their quality is very uneven, the Self-Sufficiency
Standard uses one-bedroom units for the single adult and childless couple. </t>
  </si>
  <si>
    <t>To calculate the cost of child care, the Standard assumes market-rate costs (defined as the 75th percentile) by facility type, age of children, and geographical location. Most states conduct or commission market-rate surveys biannually for setting child care assistance reimbursement rates. 
The Standard assumes infants (children 0 to 2 years old) and preschoolers (children 3 to 5 years old) are assumed to be in full-time care. Costs for schoolage children (6 to 12 years old) assume they receive before and after school care.</t>
  </si>
  <si>
    <t>State market-rate childcare surveys</t>
  </si>
  <si>
    <t>Rates for all states are updated for inflation from the data collection period using the Consumer
Price Index. Infant and preschooler costs are calculated assuming full-time care, and costs for
school-age children are calculated using part-time rates during the school year and full-time care
during the summer. When available, costs are calculated based on a weighted average of family child
care and center child care for each age group. Forty-three percent of infants are in family child care
and 57% are in child care centers. These proportions are 26% and 74% respectively, for
preschoolers, and 46% and 54% for school-age children.</t>
  </si>
  <si>
    <t>https://www.dss.virginia.gov/files/division/cc/interested_subsidy_vendors/notices/Market_Rate_Survey.pdf  https://earlychildhood.marylandpublicschools.org/system/files/filedepot/2/market_rate_survey_final_report_july_2019_sr_07_08_19_pm_final_pdf_3.pdf</t>
  </si>
  <si>
    <t>Market rate surveys collected for all of NCR, but the calculator in general does not cover D.C.</t>
  </si>
  <si>
    <t>2018, 2021 (VA) and 2019, 2022 (MD)</t>
  </si>
  <si>
    <t>Methodology page indicates 2021 and 2022 data was used for the calculator; however, I could not locate that data, so I have provided links to the older 2018 and 2019 data.</t>
  </si>
  <si>
    <t>The Standard uses the U.S. Department of Agriculture Low-Cost Food Plan for food costs. The Low-Cost Food Plan was designed to meet minimum nutritional standards using realistic assumptions about food preparation time and consumption. As a conservative estimate of food costs, the Low-Cost Food Plan does not allow for any take-out, fast-food, or restaurant meals.
To vary costs within states, geographic differences in food costs are calculated using data from Map the Meal Gap, published by Feeding America.</t>
  </si>
  <si>
    <t xml:space="preserve">USDA Low cost food plan + Map the meal gap </t>
  </si>
  <si>
    <r>
      <rPr>
        <b/>
        <sz val="12"/>
        <color theme="1"/>
        <rFont val="Calibri"/>
        <family val="2"/>
        <scheme val="minor"/>
      </rPr>
      <t>USDA food plan</t>
    </r>
    <r>
      <rPr>
        <sz val="12"/>
        <color theme="1"/>
        <rFont val="Calibri"/>
        <family val="2"/>
        <scheme val="minor"/>
      </rPr>
      <t xml:space="preserve">: https://www.fns.usda.gov/cnpp/usda-food-plans-cost-food-reports-monthly-reports
</t>
    </r>
    <r>
      <rPr>
        <b/>
        <sz val="12"/>
        <color theme="1"/>
        <rFont val="Calibri"/>
        <family val="2"/>
        <scheme val="minor"/>
      </rPr>
      <t>Map the Meal Gap</t>
    </r>
    <r>
      <rPr>
        <sz val="12"/>
        <color theme="1"/>
        <rFont val="Calibri"/>
        <family val="2"/>
        <scheme val="minor"/>
      </rPr>
      <t>: https://www.feedingamerica.org/research/map-the-meal-gap/by-county?s_src=WXXX1MTMG</t>
    </r>
  </si>
  <si>
    <r>
      <rPr>
        <b/>
        <sz val="12"/>
        <color theme="1"/>
        <rFont val="Calibri"/>
        <family val="2"/>
        <scheme val="minor"/>
      </rPr>
      <t>Same as epi</t>
    </r>
    <r>
      <rPr>
        <sz val="12"/>
        <color theme="1"/>
        <rFont val="Calibri"/>
        <family val="2"/>
        <scheme val="minor"/>
      </rPr>
      <t>:
USDA food plan: monthly reports in pdf only
Map the Meal Gap: need to fill in a data request form</t>
    </r>
  </si>
  <si>
    <t xml:space="preserve">If there is an “adequate” public transportation system in a given area, the Standard assumes workers use public transportation to get to and from work. A public transportation system is considered “adequate” if it is used by 7% or more of the working population in a given county. The cost of public transportation is calculated based on the price of a monthly adult pass.
If the area lacks “adequate” public transportation, private transportation is assumed. Private transportation costs are based on the average cost of owning and operating a car. One car is assumed for households with one adult and two cars are assumed for households with two adults (as both are working, but presumably at different places and/or different hours). Costs are calculated assuming that the car(s) will be used to commute to and from work five days per week, plus one trip per week per household for shopping and errands.
One adult in each household with young children is assumed to have a slightly longer weekday trip to allow for “linking” trips to a day care site. For per-mile costs, driving cost data from the American Automobile Association is used. The local commuting distance is computed from the National Household Travel Survey. The auto insurance premium is the average premium cost for a given state, calculated by the National Association of Insurance Commissioners. Geographic ratios are created using premiums for the automobile insurance companies with the largest market shares in the state.
To estimate the fixed costs of car ownership, the Standard uses Consumer Expenditure Survey amounts for families with incomes between the 20th and 40th percentile. The fixed costs include expenses such as fire, theft, property damage and liability insurance, license, registration, taxes, repairs, monthly payments, and finance charges. The monthly variable costs (e.g., gas, oil, tires, and maintenance) are also included, but the initial cost of purchasing a car is not. 
</t>
  </si>
  <si>
    <t>Public transportation + American automobile association + National household travel survey + National association of insurance commissioners + CEX fixed costs of car ownership</t>
  </si>
  <si>
    <t xml:space="preserve">If there is an “adequate” public transportation system in a given area, the Standard assumes workers use public transportation to get to and from work. A public transportation system is considered “adequate” if it is used by 7% or more of the working population in a given county. The cost of public transportation is calculated based on the price of a monthly adult pass. If the area lacks “adequate” public transportation, private transportation is assumed. Private transportation costs are based on the average cost of owning and operating a car. One car is assumed for households with one adult and two cars are assumed for households with two adults (as both are working, but presumably at different places and/or different hours). Costs are calculated assuming that the car(s) will be used to commute to and from work five days per week, plus one trip per week per household for shopping and errands. One adult in each household with young children is assumed to have a slightly longer weekday trip to allow for “linking” trips to a day care site. For per-mile costs, driving cost data from the American Automobile Association is used. The local commuting distance is computed from the National Household Travel Survey. The auto insurance premium is the average premium cost for a given state, calculated by the National Association of Insurance Commissioners. Geographic ratios are created using premiums for the automobile insurance companies with the largest market shares in the state.  To estimate the fixed costs of car ownership, the Standard uses Consumer Expenditure Survey amounts for families with incomes between the 20th and 40th percentile. The fixed costs include expenses such as fire, theft, property damage and liability insurance, license, registration, taxes, repairs, monthly payments, and finance charges. The monthly variable costs (e.g., gas, oil, tires, and maintenance) are also included, but the initial cost of purchasing a car is not. </t>
  </si>
  <si>
    <t>https://selfsufficiencystandard.org/the-standard/methodology/           https://nhts.ornl.gov/      https://selfsufficiencystandard.org/wp-content/uploads/2022/03/SSS2022_TechnicalBrief_03032022.pdf</t>
  </si>
  <si>
    <t>National household travel survey : 1983, 1990, 1995, 2001, 2009, 2017.   Consumer Expenditure Survey : 1984 - 2020</t>
  </si>
  <si>
    <t>National household travel survey: National</t>
  </si>
  <si>
    <t>National household travel survey: Data can be downloaded in various formats like csv, sas, xpt, dbf, spss.</t>
  </si>
  <si>
    <t>Health Care</t>
  </si>
  <si>
    <t>The Standard assumes that an integral part of a Self-Sufficiency Wage is employer-sponsored health insurance for workers and their families. The statewide average health care premiums paid by workers are from the national Medical Panel Survey (MEPS) and vary for single adults and for a family.
To vary premium costs within state, a county index is created based on the second lowest cost Silver plan available through the state or federal market place. Health care costs also include out-of-pocket costs calculated for adults and children by age and Census region, obtained from the MEPS.</t>
  </si>
  <si>
    <t>MEPS</t>
  </si>
  <si>
    <t>Only the insurance cost is counted towards to self-sufficiency cost, estimated by statewide cost of insurance premium paid by workers for single and for family</t>
  </si>
  <si>
    <t>https://datatools.ahrq.gov/meps-ic</t>
  </si>
  <si>
    <t>2001-2020</t>
  </si>
  <si>
    <t>The actual source that UW is using is ambiguous. This link only leads to a general visualization and data download API</t>
  </si>
  <si>
    <t>Miscellaneous</t>
  </si>
  <si>
    <t>Miscellaneous expenses are calculated by taking 10% of all other costs. This expense category consists of all other essentials including clothing, shoes, paper products, diapers, nonprescription medicines, cleaning products, household items, personal hygiene items, and telephone service. It does not allow for recreation, entertainment, savings, or debt repayment.</t>
  </si>
  <si>
    <t>10% of all other costs</t>
  </si>
  <si>
    <t>N/A</t>
  </si>
  <si>
    <t>Taxes include federal and state income tax, payroll taxes (Social Security), and state and local sales taxes where applicable. Additionally, the Standard includes federal tax credits (the Earned Income Tax Credit, the Child and Dependent Care Tax Credit, and the Child Tax Credit) and applicable state tax credits.</t>
  </si>
  <si>
    <t>Federal Tax Updates (2022): Internal Revenue Service, Revenue Procedure 2021-45,
https://www.irs.gov/pub/irs-drop/rp-21-45.pdf (accessed December 1, 2021).
Federal Income Tax: Internal Revenue Service, “1040 Instructions,” https://www.irs.gov/pub/irspdf/i1040gi.pdf (accessed December 21, 2021).
Federal Child Tax Credit: Internal Revenue Service, “Publication 972. Child Tax Credit,”
https://www.irs.gov/pub/irs-pdf/p972.pdf (accessed January 11, 2021).
Federal Earned Income Tax Credit: Internal Revenue Service, “Publication 596. Earned Income
Credit,” https://www.irs.gov/pub/irs-pdf/p596.pdf (accessed January 10, 2022).   Sales Tax: Tax Foundation, Janelle Cammenga, “State and Local Sales Tax Rates, Midyear 2021,”
https://taxfoundation.org/publications/state-and-local-sales-tax-rates/ (accessed November 5,
2021).
Grocery Tax: Tax Foundation, Janelle Cammenga,, "Tax Treatment of Groceries, Candy, and Soda
Can Get Tricky"/ https://taxfoundation.org/halloween-candy-tax-groceries-soda-sales-tax/
(accessed April 13, 2021). Center on Budget Priorities, Eric Figuroa and Juliette Legendre, “States
that Still Impose Sales Taxes on Groceries Should Consider Reducing or Eliminating Them,”
https://www.cbpp.org/research/state-budget-and-tax/states-that-still-impose-sales-taxes-ongroceries-should-consider#_ftn12, (accessed April 13, 2021).                                                                    Income Tax and Credits: Virginia Department of Taxation, "Resident Individual Income Tax Booklet,"
https://www.tax.virginia.gov/sites/default/files/vatax-pdf/2020-form-760-instructions.pdf. (accessed December 23, 2020).</t>
  </si>
  <si>
    <t>Federal taxes calculated in the Standard include income tax and payroll taxes. The first two adults in a family are assumed to be a married couple and taxes are calculated for the whole household together (i.e., as a family), with additional adults counted as adult dependents. Indirect taxes (e.g., property taxes paid by the landlord on housing) are assumed to be included in the price of housing passed on by the landlord to the tenant. Taxes on gasoline and automobiles are included in the calculated cost of owning and running a car and wireless taxes are included in the cost of a cell phone. The Standard includes federal tax credits (the Earned Income Tax Credit, the Child Care Tax Credit, and the Child Tax Credit) and applicable state tax credits. Tax credits are shown as received monthly in the Standard .                                The Earned Income Tax Credit (EITC), or as it is also called, the Earned Income Credit, is a federal tax refund intended to offset the loss of income from payroll taxes owed by low-income working families. The EITC is a “refundable” tax credit, meaning working adults may receive the tax credit whether or not they owe any federal taxes. The Child Care Tax Credit (CCTC), also known as the Child and Dependent Care Tax Credit, is a
federal tax credit that allows working parents to deduct a percentage of their child care costs from the federal income taxes they owe. Like the EITC, the CCTC is deducted from the total amount of money a family needs to be self-sufficient. Unlike the EITC, the federal CCTC is not a refundable federal tax credit; that is, a family may only receive the CCTC as a credit against federal income taxes owed. Therefore, families who owe very little or nothing in federal income taxes will receive little or
no CCTC. Up to $3,000 in child care costs are deductible for one qualifying child and up to $6,000 for two or more qualifying children. The Child Tax Credit (CTC) is like the EITC in that it is a refundable federal tax credit. Since 2018, the CTC provides parents with a nonrefundable credit up to $2,000 for each child under 17 years old and up to $1,400 as a refundable credit. For the Standard, the CTC is shown as received monthly.  State taxes calculated in the Standard include income tax, payroll taxes, and state sales tax where applicable. State sales taxes are assumed to apply to the miscellaneous amount plus groceries where
it is taxed. If the state has an EITC, child tax credit, child care tax credit, or similar family or low-income credit, it is included in the tax calculations. Renter’s credits and other tax credits that would be applicable to the population as a whole are included as well.</t>
  </si>
  <si>
    <t>https://selfsufficiencystandard.org/wp-content/uploads/2022/03/SSS2022_TechnicalBrief_03032022.pdf</t>
  </si>
  <si>
    <t>yes. Data available for 51 states</t>
  </si>
  <si>
    <t>2001 - 2020</t>
  </si>
  <si>
    <t xml:space="preserve"> state</t>
  </si>
  <si>
    <t>This technical brief outlines the methodology, assumptions, and data sources in The Self-Sufficiency
Standard for 2022.    https://selfsufficiencystandard.org/wp-content/uploads/2022/03/SSS2022_TechnicalBrief_03032022.pdf</t>
  </si>
  <si>
    <t>Emergency savings</t>
  </si>
  <si>
    <t>Emergency savings is the amount needed to cover living expenses when there is job loss net of the amount expected to be received in unemployment benefits. The amount calculated takes into account the average tenure on a job and the average length of unemployment of workers. In two-adult households, the second adult is assumed to be employed so that the savings only need to cover half of the family’s basic living expenses over the job loss period.</t>
  </si>
  <si>
    <t>FDIC, USDoL, IPUMS CPS, State unemployment guides</t>
  </si>
  <si>
    <t>The emergency savings amount is calculated to make up for the earnings of one adult becoming
unemployed over the average job loss period, less the amount expected to be received in
unemployment benefits. In two-adult households, it is assumed that the second adult continues to be
employed, so that the savings only need to cover half of the family’s basic living expenses over the
job loss period.
To determine the amount of resources needed, this estimate uses the average period of
unemployment in the state and assumes that the minimal cost of basic needs that must be met will
stay the same, i.e., the family’s Self- Sufficiency Standard. Since the monthly emergency savings
contribution requires additional earnings, the estimate includes the calculation of taxes of current
earnings (at the Self-Sufficiency Standard level). Savings are assumed to have accumulated based on
average savings account interest rates.                                           The emergency savings calculation is based on all current expenses in the Self-Sufficiency
Standard.13 The adult may not be commuting to work five days a week; however, the overall
transportation expenses may not change significantly. A weekly shopping trip is still a necessity, as is
driving young children to child care. Actively seeking employment requires being available for job
interviews, attending job fairs, and engaging in networking opportunities, in addition to the time
spent looking for and applying for positions. Therefore, saving enough to cover the cost of
continuing child care if unemployed is important for supporting active job seeking as well as the
benefit of keeping children in their normal routine during a time of crisis.
In addition to the income needed to cover the costs of housing, food, child care and transportation,
families need health insurance. The Standard assumes that adults work full time and in jobs that
provide employer-sponsored health insurance. In households with two adults, it is assumed that if
one adult loses employment the spouse’s health insurance will provide coverage for the entire family
at no additional cost.
In a one-adult household, it is assumed coverage will be provided through the state-operated
Affordable Insurance Exchanges under the Patient Protection and Affordable Care Act, at
approximately the same cost as when employed.14 In some cases, children, or the whole family, may
be covered under state Medicaid or the Children Health Insurance Program, depending upon income,
resources, and eligibility requirements in effect at the time, which would decrease health care costs
below these estimates.15</t>
  </si>
  <si>
    <t>https://cps.ipums.org/cps/ https://www.fdic.gov/resources/bankers/national-rates/previous-rates.html https://oui.doleta.gov/unemploy/data_summary/DataSum.asp https://www.dllr.state.md.us/employment/clmtguide/uiclmtpamphlet.pdf https://does.dc.gov/sites/default/files/dc/sites/does/page_content/attachments/9.12.19%20UI%20Claimant%27s%20Rights%20and%20Responsibilities.pdf https://law.lis.virginia.gov/vacode/title60.2/chapter6/section60.2-602/</t>
  </si>
  <si>
    <t>D.C. is not covered in the calculator, but I believe I have located and linked the necessary info to compute the emergency savings for D.C.</t>
  </si>
  <si>
    <t>D.C. Unemployment guide - 2019; MD Unemployment guide - 2021; other data up to 2022</t>
  </si>
  <si>
    <t>Link to VA unemployment guide no longer works; I am unsure where to access data from IPUMS link</t>
  </si>
  <si>
    <t>Frankencalculator</t>
  </si>
  <si>
    <t>Budget Category</t>
  </si>
  <si>
    <t>Data Source</t>
  </si>
  <si>
    <t>ACS DP04 (rent) + CPI Inflation (?) + HUD Forecasted
Expected Growth in
Gross Rents Trend
Factor
2020 to FY 2022</t>
  </si>
  <si>
    <t>https://www.huduser.gov/portal/sites/default/files/pdf/fmr-overview.pdf</t>
  </si>
  <si>
    <t>2010-2020 (more recent using CPI)</t>
  </si>
  <si>
    <t>tract</t>
  </si>
  <si>
    <t xml:space="preserve">FMR is calculated at county level but sourced from 5yr acs so it should be possible to calculate more granular values </t>
  </si>
  <si>
    <t>USDA Low cost food plan + Map the Meal Gap multipliers</t>
  </si>
  <si>
    <t xml:space="preserve">CareLuLu + Child Care Aware </t>
  </si>
  <si>
    <t>https://www.carelulu.com/</t>
  </si>
  <si>
    <t>2018 (Child Care Aware alone more recent)</t>
  </si>
  <si>
    <t>Zipcode/State</t>
  </si>
  <si>
    <t>Calculated at county level but data is sourced from acs 5yr sol it should be possible to calculate more granular values</t>
  </si>
  <si>
    <t>H+T Index</t>
  </si>
  <si>
    <t>zipcode/State, county, block group</t>
  </si>
  <si>
    <t>EPI = county , state or metro area</t>
  </si>
  <si>
    <t>BLS CEX (drug/supplies cost) + MEPS (insurance premium)</t>
  </si>
  <si>
    <t>CEX tract, MEPS tract</t>
  </si>
  <si>
    <t>Other necessities/civic/emergency savings</t>
  </si>
  <si>
    <t>CEX + Broadband Now</t>
  </si>
  <si>
    <t>BLS CEX tables: https://www.bls.gov/cex/tables.htm</t>
  </si>
  <si>
    <t>2012-2020 (Broadband Now more recent)</t>
  </si>
  <si>
    <t>CEX tract, Broadband Now zipcode</t>
  </si>
  <si>
    <t>TAXISM</t>
  </si>
  <si>
    <t>Proposed SDAD Calculator for Cost of Living</t>
  </si>
  <si>
    <t>Data Sources</t>
  </si>
  <si>
    <t>ACS DP04 (rent)
HUD Forecasted Expected Growth in Gross Rents Trend Factor 2020 to FY 2022</t>
  </si>
  <si>
    <t>2010-2020 (more recent using CPI to adjust for inflation)</t>
  </si>
  <si>
    <t>Tract</t>
  </si>
  <si>
    <t>USDA Low cost food plan</t>
  </si>
  <si>
    <t>1994 - 2022, monthly</t>
  </si>
  <si>
    <r>
      <rPr>
        <b/>
        <sz val="12"/>
        <color theme="1"/>
        <rFont val="Calibri (Body)"/>
      </rPr>
      <t>Already collected by UVA Data Commons team</t>
    </r>
    <r>
      <rPr>
        <b/>
        <sz val="12"/>
        <color theme="1"/>
        <rFont val="Calibri"/>
        <family val="2"/>
        <scheme val="minor"/>
      </rPr>
      <t xml:space="preserve"> </t>
    </r>
    <r>
      <rPr>
        <sz val="12"/>
        <color theme="1"/>
        <rFont val="Calibri"/>
        <family val="2"/>
        <scheme val="minor"/>
      </rPr>
      <t xml:space="preserve">
Use USDA national low cost plan as a benchmark, then apply regional cost multipliers to adjust for county level</t>
    </r>
  </si>
  <si>
    <r>
      <t xml:space="preserve">   </t>
    </r>
    <r>
      <rPr>
        <b/>
        <sz val="12"/>
        <color theme="1"/>
        <rFont val="Calibri"/>
        <family val="2"/>
        <scheme val="minor"/>
      </rPr>
      <t xml:space="preserve"> </t>
    </r>
    <r>
      <rPr>
        <b/>
        <sz val="12"/>
        <color theme="1"/>
        <rFont val="Calibri (Body)"/>
      </rPr>
      <t>Map the Meal Gap</t>
    </r>
  </si>
  <si>
    <t>https://www.feedingamerica.org/research/map-the-meal-gap/by-county?s_src=WXXX1MTMG</t>
  </si>
  <si>
    <t xml:space="preserve"> 2011-2019</t>
  </si>
  <si>
    <t xml:space="preserve">    Child Care Aware                                                                                                                                                                                                                                                                                                                                                                                                                          </t>
  </si>
  <si>
    <t>https://www.childcareaware.org/wp-content/uploads/2020/09/PUTP-Appendices-FINAL-9-18-20.pdf
https://vachildcare.com/data-2/child-care-supply-data-by-locality/</t>
  </si>
  <si>
    <t>Multiple sources were needed to standardize the percentile level at which costs were being measured</t>
  </si>
  <si>
    <t xml:space="preserve">    State Market Rate Surveys</t>
  </si>
  <si>
    <t>https://osse.dc.gov/sites/default/files/dc/sites/osse/publication/attachments/Modeling%20the%20Cost%20of%20Child%20Care%20in%20the%20District%20of%20Columbia%202021.pdf 
https://www.marylandfamilynetwork.org/sites/default/files/2020-03/2020_MFN_Demographics.pdf</t>
  </si>
  <si>
    <t>2020-2021</t>
  </si>
  <si>
    <t>CNT - H+T Index</t>
  </si>
  <si>
    <t>2008 - 2022. Live on their website</t>
  </si>
  <si>
    <t>Block group, Tract, County</t>
  </si>
  <si>
    <t>H + T have a detailed pdf about their model construction and their methods. We can download data from their website</t>
  </si>
  <si>
    <t>Esri Consumer (drug/supplies cost)</t>
  </si>
  <si>
    <t>https://doc.arcgis.com/en/esri-demographics/data/consumer-spending.htm</t>
  </si>
  <si>
    <t>2013-2021</t>
  </si>
  <si>
    <t>Esri consumer expenditure data is based on BLS CEX, but providing more granuality in geographies</t>
  </si>
  <si>
    <t>MEPS - IC data tool (insurance premium)</t>
  </si>
  <si>
    <t>Tract, County, State, Metropolitan Area</t>
  </si>
  <si>
    <t>Already collected by UVA Data Commons team</t>
  </si>
  <si>
    <t>Esri Consumer Spending</t>
  </si>
  <si>
    <t>Esri consumer spending tracks a list of categories of spendings, from which we will sum selected categories to estimate costs of appreals, clothing, education, and entertainment</t>
  </si>
  <si>
    <t>Broadband Now Internet Price Tool</t>
  </si>
  <si>
    <t>https://broadbandnow.com/</t>
  </si>
  <si>
    <t>NBER - TAXSIM</t>
  </si>
  <si>
    <t>http://users.nber.org/~taxsim/taxsim32
http://users.nber.org/~taxsim/feenberg-coutts.pdf</t>
  </si>
  <si>
    <t>We have to give different values as input and they have tax rates for year 1977 - 2020</t>
  </si>
  <si>
    <t>Single adult</t>
  </si>
  <si>
    <t>EPI</t>
  </si>
  <si>
    <t>MIT</t>
  </si>
  <si>
    <t>CFWW</t>
  </si>
  <si>
    <t>Total</t>
  </si>
  <si>
    <t>Wage</t>
  </si>
  <si>
    <t>Salary</t>
  </si>
  <si>
    <t>2 adults, 2 children</t>
  </si>
  <si>
    <t>food, housing, transportation, healthcare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</si>
</sst>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164" formatCode="&quot;$&quot;#,##0.00"/>
  </numFmts>
  <fonts count="25">
    <font>
      <sz val="12"/>
      <color theme="1"/>
      <name val="Calibri"/>
      <family val="2"/>
      <scheme val="minor"/>
    </font>
    <font>
      <sz val="12"/>
      <color theme="1"/>
      <name val="Calibri"/>
      <family val="2"/>
      <scheme val="minor"/>
    </font>
    <font>
      <b/>
      <sz val="12"/>
      <color theme="1"/>
      <name val="Calibri"/>
      <family val="2"/>
      <scheme val="minor"/>
    </font>
    <font>
      <sz val="12"/>
      <color theme="0"/>
      <name val="Calibri"/>
      <family val="2"/>
      <scheme val="minor"/>
    </font>
    <font>
      <sz val="12"/>
      <color rgb="FF333333"/>
      <name val="Calibri"/>
      <family val="2"/>
      <scheme val="minor"/>
    </font>
    <font>
      <sz val="10"/>
      <name val="Arial"/>
      <family val="2"/>
    </font>
    <font>
      <sz val="14"/>
      <color theme="1"/>
      <name val="Calibri"/>
      <family val="2"/>
      <scheme val="minor"/>
    </font>
    <font>
      <sz val="14"/>
      <color rgb="FF000000"/>
      <name val="Calibri"/>
      <family val="2"/>
      <scheme val="minor"/>
    </font>
    <font>
      <b/>
      <sz val="14"/>
      <color theme="1"/>
      <name val="Calibri"/>
      <family val="2"/>
      <scheme val="minor"/>
    </font>
    <font>
      <sz val="14"/>
      <color theme="0"/>
      <name val="Calibri"/>
      <family val="2"/>
      <scheme val="minor"/>
    </font>
    <font>
      <sz val="11"/>
      <name val="Calibri"/>
      <family val="2"/>
      <scheme val="minor"/>
    </font>
    <font>
      <u/>
      <sz val="12"/>
      <color theme="10"/>
      <name val="Calibri"/>
      <family val="2"/>
      <scheme val="minor"/>
    </font>
    <font>
      <sz val="12"/>
      <color rgb="FF333333"/>
      <name val="Calibri"/>
      <family val="2"/>
    </font>
    <font>
      <sz val="12"/>
      <color rgb="FF000000"/>
      <name val="Calibri"/>
      <family val="2"/>
    </font>
    <font>
      <sz val="12"/>
      <color rgb="FF333333"/>
      <name val="Roboto"/>
    </font>
    <font>
      <sz val="11"/>
      <color rgb="FF444444"/>
      <name val="Calibri"/>
      <family val="2"/>
    </font>
    <font>
      <sz val="12"/>
      <color rgb="FF000000"/>
      <name val="Calibri"/>
      <family val="2"/>
      <scheme val="minor"/>
    </font>
    <font>
      <sz val="18"/>
      <color theme="3"/>
      <name val="Calibri Light"/>
      <family val="2"/>
      <charset val="134"/>
      <scheme val="major"/>
    </font>
    <font>
      <b/>
      <sz val="15"/>
      <color theme="3"/>
      <name val="Calibri"/>
      <family val="2"/>
      <charset val="134"/>
      <scheme val="minor"/>
    </font>
    <font>
      <b/>
      <sz val="11"/>
      <color theme="1"/>
      <name val="Calibri"/>
      <family val="2"/>
      <charset val="134"/>
      <scheme val="minor"/>
    </font>
    <font>
      <sz val="26"/>
      <color theme="3"/>
      <name val="Calibri Light"/>
      <family val="2"/>
      <charset val="134"/>
      <scheme val="major"/>
    </font>
    <font>
      <b/>
      <sz val="14"/>
      <color theme="1"/>
      <name val="Calibri"/>
      <family val="2"/>
      <charset val="134"/>
      <scheme val="minor"/>
    </font>
    <font>
      <sz val="20"/>
      <color theme="3"/>
      <name val="Calibri"/>
      <family val="2"/>
      <scheme val="minor"/>
    </font>
    <font>
      <sz val="8"/>
      <name val="Calibri"/>
      <family val="2"/>
      <scheme val="minor"/>
    </font>
    <font>
      <b/>
      <sz val="12"/>
      <color theme="1"/>
      <name val="Calibri (Body)"/>
    </font>
  </fonts>
  <fills count="16">
    <fill>
      <patternFill patternType="none"/>
    </fill>
    <fill>
      <patternFill patternType="gray125"/>
    </fill>
    <fill>
      <patternFill patternType="solid">
        <fgColor theme="5"/>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8"/>
      </patternFill>
    </fill>
    <fill>
      <patternFill patternType="solid">
        <fgColor theme="8" tint="0.59999389629810485"/>
        <bgColor indexed="65"/>
      </patternFill>
    </fill>
    <fill>
      <patternFill patternType="solid">
        <fgColor theme="9"/>
      </patternFill>
    </fill>
    <fill>
      <patternFill patternType="solid">
        <fgColor theme="9" tint="0.59999389629810485"/>
        <bgColor indexed="65"/>
      </patternFill>
    </fill>
    <fill>
      <patternFill patternType="solid">
        <fgColor theme="5" tint="0.59999389629810485"/>
        <bgColor indexed="64"/>
      </patternFill>
    </fill>
    <fill>
      <patternFill patternType="solid">
        <fgColor rgb="FFF8CBAD"/>
        <bgColor indexed="64"/>
      </patternFill>
    </fill>
    <fill>
      <patternFill patternType="solid">
        <fgColor rgb="FFBDD7EE"/>
        <bgColor indexed="64"/>
      </patternFill>
    </fill>
    <fill>
      <patternFill patternType="solid">
        <fgColor theme="0" tint="-0.14999847407452621"/>
        <bgColor theme="0" tint="-0.14999847407452621"/>
      </patternFill>
    </fill>
    <fill>
      <patternFill patternType="solid">
        <fgColor theme="0" tint="-0.14996795556505021"/>
        <bgColor indexed="64"/>
      </patternFill>
    </fill>
    <fill>
      <patternFill patternType="solid">
        <fgColor rgb="FFD9D9D9"/>
        <bgColor indexed="64"/>
      </patternFill>
    </fill>
  </fills>
  <borders count="9">
    <border>
      <left/>
      <right/>
      <top/>
      <bottom/>
      <diagonal/>
    </border>
    <border>
      <left/>
      <right/>
      <top style="thin">
        <color indexed="22"/>
      </top>
      <bottom/>
      <diagonal/>
    </border>
    <border>
      <left/>
      <right/>
      <top/>
      <bottom style="thick">
        <color theme="4"/>
      </bottom>
      <diagonal/>
    </border>
    <border>
      <left/>
      <right/>
      <top style="thin">
        <color theme="4"/>
      </top>
      <bottom style="double">
        <color theme="4"/>
      </bottom>
      <diagonal/>
    </border>
    <border>
      <left/>
      <right/>
      <top/>
      <bottom style="thin">
        <color theme="1"/>
      </bottom>
      <diagonal/>
    </border>
    <border>
      <left/>
      <right/>
      <top style="thick">
        <color theme="1" tint="0.24994659260841701"/>
      </top>
      <bottom style="double">
        <color theme="1" tint="0.24994659260841701"/>
      </bottom>
      <diagonal/>
    </border>
    <border>
      <left/>
      <right style="medium">
        <color theme="1" tint="0.24994659260841701"/>
      </right>
      <top style="thick">
        <color theme="1" tint="0.24994659260841701"/>
      </top>
      <bottom style="double">
        <color theme="1" tint="0.24994659260841701"/>
      </bottom>
      <diagonal/>
    </border>
    <border>
      <left/>
      <right style="medium">
        <color theme="1" tint="0.24994659260841701"/>
      </right>
      <top/>
      <bottom/>
      <diagonal/>
    </border>
    <border>
      <left/>
      <right style="medium">
        <color theme="1" tint="0.24994659260841701"/>
      </right>
      <top/>
      <bottom style="thin">
        <color theme="1"/>
      </bottom>
      <diagonal/>
    </border>
  </borders>
  <cellStyleXfs count="16">
    <xf numFmtId="0" fontId="0" fillId="0" borderId="0"/>
    <xf numFmtId="44" fontId="1" fillId="0" borderId="0" applyFont="0" applyFill="0" applyBorder="0" applyAlignment="0" applyProtection="0"/>
    <xf numFmtId="0" fontId="3" fillId="2" borderId="0" applyNumberFormat="0" applyBorder="0" applyAlignment="0" applyProtection="0"/>
    <xf numFmtId="0" fontId="1" fillId="3" borderId="0" applyNumberFormat="0" applyBorder="0" applyAlignment="0" applyProtection="0"/>
    <xf numFmtId="0" fontId="3" fillId="4" borderId="0" applyNumberFormat="0" applyBorder="0" applyAlignment="0" applyProtection="0"/>
    <xf numFmtId="0" fontId="1" fillId="5" borderId="0" applyNumberFormat="0" applyBorder="0" applyAlignment="0" applyProtection="0"/>
    <xf numFmtId="0" fontId="3" fillId="6" borderId="0" applyNumberFormat="0" applyBorder="0" applyAlignment="0" applyProtection="0"/>
    <xf numFmtId="0" fontId="1" fillId="7" borderId="0" applyNumberFormat="0" applyBorder="0" applyAlignment="0" applyProtection="0"/>
    <xf numFmtId="0" fontId="3" fillId="8" borderId="0" applyNumberFormat="0" applyBorder="0" applyAlignment="0" applyProtection="0"/>
    <xf numFmtId="0" fontId="1" fillId="9" borderId="0" applyNumberFormat="0" applyBorder="0" applyAlignment="0" applyProtection="0"/>
    <xf numFmtId="0" fontId="5" fillId="0" borderId="0"/>
    <xf numFmtId="0" fontId="11" fillId="0" borderId="0" applyNumberFormat="0" applyFill="0" applyBorder="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2" applyNumberFormat="0" applyFill="0" applyAlignment="0" applyProtection="0"/>
    <xf numFmtId="0" fontId="19" fillId="0" borderId="3" applyNumberFormat="0" applyFill="0" applyAlignment="0" applyProtection="0"/>
  </cellStyleXfs>
  <cellXfs count="91">
    <xf numFmtId="0" fontId="0" fillId="0" borderId="0" xfId="0"/>
    <xf numFmtId="0" fontId="0" fillId="0" borderId="0" xfId="0" applyAlignment="1">
      <alignment horizontal="left" vertical="top" wrapText="1"/>
    </xf>
    <xf numFmtId="0" fontId="0" fillId="0" borderId="0" xfId="0" applyAlignment="1">
      <alignment horizontal="left" vertical="top"/>
    </xf>
    <xf numFmtId="0" fontId="4" fillId="0" borderId="0" xfId="0" applyFont="1" applyAlignment="1">
      <alignment horizontal="left" vertical="top" wrapText="1"/>
    </xf>
    <xf numFmtId="0" fontId="2" fillId="0" borderId="0" xfId="0" applyFont="1" applyAlignment="1">
      <alignment horizontal="left" vertical="top"/>
    </xf>
    <xf numFmtId="0" fontId="0" fillId="0" borderId="0" xfId="0" applyAlignment="1">
      <alignment vertical="top" wrapText="1"/>
    </xf>
    <xf numFmtId="0" fontId="4" fillId="0" borderId="0" xfId="0" applyFont="1" applyAlignment="1">
      <alignment vertical="top" wrapText="1"/>
    </xf>
    <xf numFmtId="0" fontId="0" fillId="0" borderId="0" xfId="0" applyAlignment="1">
      <alignment vertical="top"/>
    </xf>
    <xf numFmtId="0" fontId="6" fillId="0" borderId="0" xfId="0" applyFont="1"/>
    <xf numFmtId="164" fontId="6" fillId="0" borderId="0" xfId="0" applyNumberFormat="1" applyFont="1"/>
    <xf numFmtId="0" fontId="8" fillId="0" borderId="0" xfId="0" applyFont="1"/>
    <xf numFmtId="44" fontId="6" fillId="0" borderId="0" xfId="1" applyFont="1"/>
    <xf numFmtId="0" fontId="9" fillId="4" borderId="0" xfId="4" applyFont="1" applyAlignment="1">
      <alignment horizontal="center"/>
    </xf>
    <xf numFmtId="0" fontId="9" fillId="8" borderId="0" xfId="8" applyFont="1" applyAlignment="1">
      <alignment horizontal="center"/>
    </xf>
    <xf numFmtId="0" fontId="9" fillId="2" borderId="0" xfId="2" applyFont="1" applyAlignment="1">
      <alignment horizontal="center"/>
    </xf>
    <xf numFmtId="0" fontId="9" fillId="6" borderId="0" xfId="6" applyFont="1" applyAlignment="1">
      <alignment horizontal="center"/>
    </xf>
    <xf numFmtId="0" fontId="6" fillId="5" borderId="0" xfId="5" applyFont="1" applyAlignment="1">
      <alignment horizontal="left" vertical="top"/>
    </xf>
    <xf numFmtId="44" fontId="6" fillId="9" borderId="0" xfId="9" applyNumberFormat="1" applyFont="1" applyAlignment="1">
      <alignment horizontal="right" vertical="top"/>
    </xf>
    <xf numFmtId="44" fontId="6" fillId="3" borderId="0" xfId="3" applyNumberFormat="1" applyFont="1" applyAlignment="1">
      <alignment horizontal="right"/>
    </xf>
    <xf numFmtId="44" fontId="6" fillId="7" borderId="0" xfId="7" applyNumberFormat="1" applyFont="1" applyAlignment="1">
      <alignment horizontal="right"/>
    </xf>
    <xf numFmtId="44" fontId="6" fillId="9" borderId="0" xfId="9" applyNumberFormat="1" applyFont="1" applyAlignment="1">
      <alignment horizontal="right"/>
    </xf>
    <xf numFmtId="44" fontId="6" fillId="0" borderId="0" xfId="0" applyNumberFormat="1" applyFont="1" applyAlignment="1">
      <alignment horizontal="right"/>
    </xf>
    <xf numFmtId="44" fontId="6" fillId="0" borderId="1" xfId="10" applyNumberFormat="1" applyFont="1" applyBorder="1" applyAlignment="1">
      <alignment horizontal="right"/>
    </xf>
    <xf numFmtId="44" fontId="6" fillId="0" borderId="0" xfId="0" applyNumberFormat="1" applyFont="1"/>
    <xf numFmtId="0" fontId="9" fillId="4" borderId="0" xfId="4" applyFont="1" applyAlignment="1">
      <alignment horizontal="center" vertical="top"/>
    </xf>
    <xf numFmtId="44" fontId="7" fillId="0" borderId="0" xfId="0" applyNumberFormat="1" applyFont="1" applyAlignment="1">
      <alignment horizontal="right"/>
    </xf>
    <xf numFmtId="5" fontId="10" fillId="0" borderId="0" xfId="10" applyNumberFormat="1" applyFont="1" applyAlignment="1">
      <alignment horizontal="right"/>
    </xf>
    <xf numFmtId="44" fontId="6" fillId="3" borderId="0" xfId="1" applyFont="1" applyFill="1" applyAlignment="1">
      <alignment horizontal="right"/>
    </xf>
    <xf numFmtId="44" fontId="6" fillId="10" borderId="0" xfId="1" applyFont="1" applyFill="1"/>
    <xf numFmtId="0" fontId="2" fillId="0" borderId="0" xfId="0" applyFont="1" applyAlignment="1">
      <alignment vertical="top"/>
    </xf>
    <xf numFmtId="0" fontId="11" fillId="0" borderId="0" xfId="11" applyAlignment="1">
      <alignment horizontal="left" vertical="top"/>
    </xf>
    <xf numFmtId="0" fontId="2" fillId="0" borderId="0" xfId="0" applyFont="1"/>
    <xf numFmtId="0" fontId="11" fillId="0" borderId="0" xfId="11" applyAlignment="1">
      <alignment vertical="top"/>
    </xf>
    <xf numFmtId="0" fontId="14"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wrapText="1"/>
    </xf>
    <xf numFmtId="0" fontId="11" fillId="0" borderId="0" xfId="11" applyAlignment="1">
      <alignment vertical="top" wrapText="1"/>
    </xf>
    <xf numFmtId="44" fontId="6" fillId="3" borderId="0" xfId="3" applyNumberFormat="1" applyFont="1"/>
    <xf numFmtId="44" fontId="6" fillId="7" borderId="0" xfId="7" applyNumberFormat="1" applyFont="1" applyAlignment="1">
      <alignment vertical="top"/>
    </xf>
    <xf numFmtId="44" fontId="6" fillId="7" borderId="0" xfId="7" applyNumberFormat="1" applyFont="1"/>
    <xf numFmtId="44" fontId="6" fillId="11" borderId="0" xfId="9" applyNumberFormat="1" applyFont="1" applyFill="1" applyAlignment="1">
      <alignment horizontal="right"/>
    </xf>
    <xf numFmtId="44" fontId="6" fillId="12" borderId="0" xfId="9" applyNumberFormat="1" applyFont="1" applyFill="1" applyAlignment="1">
      <alignment horizontal="right"/>
    </xf>
    <xf numFmtId="10" fontId="0" fillId="0" borderId="0" xfId="12" applyNumberFormat="1" applyFont="1"/>
    <xf numFmtId="0" fontId="12" fillId="0" borderId="0" xfId="0" applyFont="1" applyAlignment="1">
      <alignment vertical="top" wrapText="1"/>
    </xf>
    <xf numFmtId="0" fontId="13" fillId="0" borderId="0" xfId="0" applyFont="1" applyAlignment="1">
      <alignment vertical="top" wrapText="1"/>
    </xf>
    <xf numFmtId="0" fontId="15" fillId="0" borderId="0" xfId="0" applyFont="1" applyAlignment="1">
      <alignment vertical="top" wrapText="1"/>
    </xf>
    <xf numFmtId="0" fontId="16" fillId="0" borderId="0" xfId="11" applyFont="1" applyAlignment="1">
      <alignment vertical="top" wrapText="1"/>
    </xf>
    <xf numFmtId="0" fontId="11" fillId="0" borderId="0" xfId="11" applyFill="1" applyAlignment="1">
      <alignment vertical="top" wrapText="1"/>
    </xf>
    <xf numFmtId="0" fontId="11" fillId="0" borderId="0" xfId="11" applyAlignment="1">
      <alignment wrapText="1"/>
    </xf>
    <xf numFmtId="0" fontId="16" fillId="0" borderId="0" xfId="0" applyFont="1" applyAlignment="1">
      <alignment vertical="top" wrapText="1"/>
    </xf>
    <xf numFmtId="0" fontId="16" fillId="0" borderId="0" xfId="0" applyFont="1" applyAlignment="1">
      <alignment vertical="top"/>
    </xf>
    <xf numFmtId="0" fontId="0" fillId="13" borderId="0" xfId="0" applyFill="1" applyAlignment="1">
      <alignment vertical="top" wrapText="1"/>
    </xf>
    <xf numFmtId="0" fontId="21" fillId="0" borderId="5" xfId="15" applyFont="1" applyBorder="1" applyAlignment="1">
      <alignment horizontal="center" vertical="center"/>
    </xf>
    <xf numFmtId="49" fontId="21" fillId="0" borderId="6" xfId="15" applyNumberFormat="1" applyFont="1" applyBorder="1" applyAlignment="1">
      <alignment horizontal="center" vertical="center"/>
    </xf>
    <xf numFmtId="49" fontId="8" fillId="13" borderId="7" xfId="0" applyNumberFormat="1" applyFont="1" applyFill="1" applyBorder="1" applyAlignment="1">
      <alignment horizontal="center" vertical="center"/>
    </xf>
    <xf numFmtId="49" fontId="8" fillId="0" borderId="7" xfId="0" applyNumberFormat="1" applyFont="1" applyBorder="1" applyAlignment="1">
      <alignment horizontal="center" vertical="center"/>
    </xf>
    <xf numFmtId="49" fontId="8" fillId="13" borderId="8" xfId="0" applyNumberFormat="1"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13" borderId="0" xfId="0" applyFill="1" applyAlignment="1">
      <alignment horizontal="center" vertical="center" wrapText="1"/>
    </xf>
    <xf numFmtId="0" fontId="0" fillId="13" borderId="0" xfId="0" applyFill="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vertical="center" wrapText="1"/>
    </xf>
    <xf numFmtId="0" fontId="0" fillId="13" borderId="4" xfId="0" applyFill="1" applyBorder="1" applyAlignment="1">
      <alignment horizontal="center" vertical="center" wrapText="1"/>
    </xf>
    <xf numFmtId="0" fontId="0" fillId="13" borderId="4" xfId="0" applyFill="1" applyBorder="1" applyAlignment="1">
      <alignment horizontal="center" vertical="center"/>
    </xf>
    <xf numFmtId="0" fontId="0" fillId="14" borderId="0" xfId="0" applyFill="1" applyAlignment="1">
      <alignment horizontal="center" vertical="center" wrapText="1"/>
    </xf>
    <xf numFmtId="0" fontId="0" fillId="15" borderId="0" xfId="0" applyFill="1" applyAlignment="1">
      <alignment horizontal="center" vertical="center" wrapText="1"/>
    </xf>
    <xf numFmtId="0" fontId="16" fillId="15" borderId="0" xfId="0" applyFont="1" applyFill="1" applyAlignment="1">
      <alignment horizontal="center" vertical="center"/>
    </xf>
    <xf numFmtId="0" fontId="16" fillId="15" borderId="0" xfId="0" applyFont="1" applyFill="1" applyAlignment="1">
      <alignment horizontal="center" vertical="center" wrapText="1"/>
    </xf>
    <xf numFmtId="0" fontId="0" fillId="13" borderId="0" xfId="0" applyFill="1" applyAlignment="1">
      <alignment horizontal="left" vertical="center" wrapText="1" indent="10"/>
    </xf>
    <xf numFmtId="0" fontId="0" fillId="0" borderId="0" xfId="0" applyAlignment="1">
      <alignment horizontal="left" vertical="center" wrapText="1" indent="10"/>
    </xf>
    <xf numFmtId="0" fontId="0" fillId="0" borderId="0" xfId="0" applyAlignment="1">
      <alignment horizontal="left" vertical="center" indent="10"/>
    </xf>
    <xf numFmtId="0" fontId="0" fillId="15" borderId="0" xfId="0" applyFill="1" applyAlignment="1">
      <alignment horizontal="left" vertical="center" indent="10"/>
    </xf>
    <xf numFmtId="0" fontId="0" fillId="13" borderId="4" xfId="0" applyFill="1" applyBorder="1" applyAlignment="1">
      <alignment horizontal="left" vertical="center" wrapText="1" indent="10"/>
    </xf>
    <xf numFmtId="0" fontId="0" fillId="13" borderId="0" xfId="0" applyFill="1" applyAlignment="1">
      <alignment horizontal="center" vertical="top" wrapText="1"/>
    </xf>
    <xf numFmtId="0" fontId="0" fillId="15" borderId="0" xfId="0" applyFill="1" applyAlignment="1">
      <alignment horizontal="center" vertical="top" wrapText="1"/>
    </xf>
    <xf numFmtId="0" fontId="0" fillId="0" borderId="0" xfId="0" applyAlignment="1">
      <alignment horizontal="center" vertical="top" wrapText="1"/>
    </xf>
    <xf numFmtId="0" fontId="24" fillId="0" borderId="0" xfId="0" applyFont="1" applyAlignment="1">
      <alignment horizontal="left" vertical="center" wrapText="1" indent="10"/>
    </xf>
    <xf numFmtId="0" fontId="24" fillId="13" borderId="0" xfId="0" applyFont="1" applyFill="1" applyAlignment="1">
      <alignment horizontal="left" vertical="center" wrapText="1" indent="10"/>
    </xf>
    <xf numFmtId="0" fontId="24" fillId="0" borderId="0" xfId="0" applyFont="1" applyAlignment="1">
      <alignment horizontal="center" vertical="center" wrapText="1"/>
    </xf>
    <xf numFmtId="0" fontId="24" fillId="15" borderId="0" xfId="0" applyFont="1" applyFill="1" applyAlignment="1">
      <alignment horizontal="center" vertical="center" wrapText="1"/>
    </xf>
    <xf numFmtId="0" fontId="11" fillId="15" borderId="0" xfId="11" applyFill="1" applyAlignment="1">
      <alignment horizontal="center" vertical="center" wrapText="1"/>
    </xf>
    <xf numFmtId="44" fontId="0" fillId="0" borderId="0" xfId="0" applyNumberFormat="1"/>
    <xf numFmtId="49" fontId="8" fillId="13" borderId="7" xfId="0" applyNumberFormat="1" applyFont="1" applyFill="1" applyBorder="1" applyAlignment="1">
      <alignment horizontal="center" vertical="center"/>
    </xf>
    <xf numFmtId="49" fontId="8" fillId="0" borderId="7" xfId="0" applyNumberFormat="1" applyFont="1" applyBorder="1" applyAlignment="1">
      <alignment horizontal="center" vertical="center" wrapText="1"/>
    </xf>
    <xf numFmtId="0" fontId="20" fillId="0" borderId="0" xfId="13" applyFont="1" applyBorder="1" applyAlignment="1">
      <alignment horizontal="center"/>
    </xf>
    <xf numFmtId="0" fontId="22" fillId="0" borderId="0" xfId="14" applyFont="1" applyBorder="1" applyAlignment="1">
      <alignment horizontal="center"/>
    </xf>
    <xf numFmtId="49" fontId="8" fillId="0" borderId="7" xfId="0" applyNumberFormat="1"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8" fillId="0" borderId="0" xfId="0" applyFont="1" applyAlignment="1">
      <alignment horizontal="center"/>
    </xf>
  </cellXfs>
  <cellStyles count="16">
    <cellStyle name="40% - Accent2" xfId="3" builtinId="35"/>
    <cellStyle name="40% - Accent3" xfId="5" builtinId="39"/>
    <cellStyle name="40% - Accent5" xfId="7" builtinId="47"/>
    <cellStyle name="40% - Accent6" xfId="9" builtinId="51"/>
    <cellStyle name="Accent2" xfId="2" builtinId="33"/>
    <cellStyle name="Accent3" xfId="4" builtinId="37"/>
    <cellStyle name="Accent5" xfId="6" builtinId="45"/>
    <cellStyle name="Accent6" xfId="8" builtinId="49"/>
    <cellStyle name="Currency" xfId="1" builtinId="4"/>
    <cellStyle name="Heading 1" xfId="14" builtinId="16"/>
    <cellStyle name="Hyperlink" xfId="11" builtinId="8"/>
    <cellStyle name="Normal" xfId="0" builtinId="0"/>
    <cellStyle name="Normal 2" xfId="10" xr:uid="{8D1FD0FE-520A-0E49-AB7C-A3C1B9152CDB}"/>
    <cellStyle name="Percent" xfId="12" builtinId="5"/>
    <cellStyle name="Title" xfId="13" builtinId="15"/>
    <cellStyle name="Total" xfId="15"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image" Target="../media/image10.png"/><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image" Target="../media/image9.png"/><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1.wdp"/><Relationship Id="rId11" Type="http://schemas.microsoft.com/office/2007/relationships/hdphoto" Target="../media/hdphoto3.wdp"/><Relationship Id="rId5" Type="http://schemas.openxmlformats.org/officeDocument/2006/relationships/image" Target="../media/image5.png"/><Relationship Id="rId15" Type="http://schemas.openxmlformats.org/officeDocument/2006/relationships/image" Target="../media/image12.png"/><Relationship Id="rId10"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image" Target="../media/image7.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152400</xdr:colOff>
      <xdr:row>4</xdr:row>
      <xdr:rowOff>104775</xdr:rowOff>
    </xdr:from>
    <xdr:to>
      <xdr:col>1</xdr:col>
      <xdr:colOff>762085</xdr:colOff>
      <xdr:row>4</xdr:row>
      <xdr:rowOff>552512</xdr:rowOff>
    </xdr:to>
    <xdr:pic>
      <xdr:nvPicPr>
        <xdr:cNvPr id="3" name="Picture 2">
          <a:extLst>
            <a:ext uri="{FF2B5EF4-FFF2-40B4-BE49-F238E27FC236}">
              <a16:creationId xmlns:a16="http://schemas.microsoft.com/office/drawing/2014/main" id="{FB7BC862-C801-4FC3-B630-ED97B86207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1150" y="1876425"/>
          <a:ext cx="609685" cy="447737"/>
        </a:xfrm>
        <a:prstGeom prst="rect">
          <a:avLst/>
        </a:prstGeom>
      </xdr:spPr>
    </xdr:pic>
    <xdr:clientData/>
  </xdr:twoCellAnchor>
  <xdr:twoCellAnchor>
    <xdr:from>
      <xdr:col>1</xdr:col>
      <xdr:colOff>9525</xdr:colOff>
      <xdr:row>5</xdr:row>
      <xdr:rowOff>1</xdr:rowOff>
    </xdr:from>
    <xdr:to>
      <xdr:col>1</xdr:col>
      <xdr:colOff>933450</xdr:colOff>
      <xdr:row>5</xdr:row>
      <xdr:rowOff>514825</xdr:rowOff>
    </xdr:to>
    <xdr:pic>
      <xdr:nvPicPr>
        <xdr:cNvPr id="5" name="Picture 4">
          <a:extLst>
            <a:ext uri="{FF2B5EF4-FFF2-40B4-BE49-F238E27FC236}">
              <a16:creationId xmlns:a16="http://schemas.microsoft.com/office/drawing/2014/main" id="{EF939A8A-C593-8A2C-487F-0491FE85D8F5}"/>
            </a:ext>
            <a:ext uri="{147F2762-F138-4A5C-976F-8EAC2B608ADB}">
              <a16:predDERef xmlns:a16="http://schemas.microsoft.com/office/drawing/2014/main" pred="{FB7BC862-C801-4FC3-B630-ED97B8620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8275" y="2419351"/>
          <a:ext cx="923925" cy="514824"/>
        </a:xfrm>
        <a:prstGeom prst="rect">
          <a:avLst/>
        </a:prstGeom>
      </xdr:spPr>
    </xdr:pic>
    <xdr:clientData/>
  </xdr:twoCellAnchor>
  <xdr:twoCellAnchor>
    <xdr:from>
      <xdr:col>1</xdr:col>
      <xdr:colOff>0</xdr:colOff>
      <xdr:row>9</xdr:row>
      <xdr:rowOff>142875</xdr:rowOff>
    </xdr:from>
    <xdr:to>
      <xdr:col>1</xdr:col>
      <xdr:colOff>904875</xdr:colOff>
      <xdr:row>9</xdr:row>
      <xdr:rowOff>476250</xdr:rowOff>
    </xdr:to>
    <xdr:pic>
      <xdr:nvPicPr>
        <xdr:cNvPr id="11" name="Picture 10">
          <a:extLst>
            <a:ext uri="{FF2B5EF4-FFF2-40B4-BE49-F238E27FC236}">
              <a16:creationId xmlns:a16="http://schemas.microsoft.com/office/drawing/2014/main" id="{EC43F550-737A-4220-133D-B21646AA2109}"/>
            </a:ext>
            <a:ext uri="{147F2762-F138-4A5C-976F-8EAC2B608ADB}">
              <a16:predDERef xmlns:a16="http://schemas.microsoft.com/office/drawing/2014/main" pred="{EF939A8A-C593-8A2C-487F-0491FE85D8F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4837" t="13112" r="46057" b="15500"/>
        <a:stretch/>
      </xdr:blipFill>
      <xdr:spPr>
        <a:xfrm>
          <a:off x="1428750" y="4629150"/>
          <a:ext cx="904875" cy="333375"/>
        </a:xfrm>
        <a:prstGeom prst="rect">
          <a:avLst/>
        </a:prstGeom>
      </xdr:spPr>
    </xdr:pic>
    <xdr:clientData/>
  </xdr:twoCellAnchor>
  <xdr:twoCellAnchor>
    <xdr:from>
      <xdr:col>1</xdr:col>
      <xdr:colOff>47625</xdr:colOff>
      <xdr:row>11</xdr:row>
      <xdr:rowOff>257175</xdr:rowOff>
    </xdr:from>
    <xdr:to>
      <xdr:col>1</xdr:col>
      <xdr:colOff>904875</xdr:colOff>
      <xdr:row>11</xdr:row>
      <xdr:rowOff>571500</xdr:rowOff>
    </xdr:to>
    <xdr:pic>
      <xdr:nvPicPr>
        <xdr:cNvPr id="13" name="Picture 12">
          <a:extLst>
            <a:ext uri="{FF2B5EF4-FFF2-40B4-BE49-F238E27FC236}">
              <a16:creationId xmlns:a16="http://schemas.microsoft.com/office/drawing/2014/main" id="{2406A40C-E33B-0A1F-2CD1-19B43712E1D5}"/>
            </a:ext>
            <a:ext uri="{147F2762-F138-4A5C-976F-8EAC2B608ADB}">
              <a16:predDERef xmlns:a16="http://schemas.microsoft.com/office/drawing/2014/main" pred="{EC43F550-737A-4220-133D-B21646AA210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837" t="13112" r="46057" b="15500"/>
        <a:stretch/>
      </xdr:blipFill>
      <xdr:spPr>
        <a:xfrm>
          <a:off x="1476375" y="6019800"/>
          <a:ext cx="857250" cy="314325"/>
        </a:xfrm>
        <a:prstGeom prst="rect">
          <a:avLst/>
        </a:prstGeom>
      </xdr:spPr>
    </xdr:pic>
    <xdr:clientData/>
  </xdr:twoCellAnchor>
  <xdr:twoCellAnchor>
    <xdr:from>
      <xdr:col>0</xdr:col>
      <xdr:colOff>1381125</xdr:colOff>
      <xdr:row>5</xdr:row>
      <xdr:rowOff>609600</xdr:rowOff>
    </xdr:from>
    <xdr:to>
      <xdr:col>1</xdr:col>
      <xdr:colOff>1028700</xdr:colOff>
      <xdr:row>6</xdr:row>
      <xdr:rowOff>571500</xdr:rowOff>
    </xdr:to>
    <xdr:pic>
      <xdr:nvPicPr>
        <xdr:cNvPr id="35" name="Picture 17">
          <a:extLst>
            <a:ext uri="{FF2B5EF4-FFF2-40B4-BE49-F238E27FC236}">
              <a16:creationId xmlns:a16="http://schemas.microsoft.com/office/drawing/2014/main" id="{31AA170C-136E-1E42-FB80-DEFB07F1A1A6}"/>
            </a:ext>
            <a:ext uri="{147F2762-F138-4A5C-976F-8EAC2B608ADB}">
              <a16:predDERef xmlns:a16="http://schemas.microsoft.com/office/drawing/2014/main" pred="{2406A40C-E33B-0A1F-2CD1-19B43712E1D5}"/>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9474" b="89474" l="9605" r="93220">
                      <a14:foregroundMark x1="22599" y1="73684" x2="24294" y2="73684"/>
                      <a14:foregroundMark x1="50847" y1="9474" x2="50847" y2="9474"/>
                      <a14:foregroundMark x1="13559" y1="32632" x2="13559" y2="32632"/>
                      <a14:foregroundMark x1="22599" y1="30526" x2="22599" y2="35789"/>
                      <a14:foregroundMark x1="31073" y1="40000" x2="31638" y2="46316"/>
                      <a14:foregroundMark x1="32203" y1="29474" x2="32203" y2="29474"/>
                      <a14:foregroundMark x1="35593" y1="45263" x2="35593" y2="45263"/>
                      <a14:foregroundMark x1="44068" y1="46316" x2="44068" y2="46316"/>
                      <a14:foregroundMark x1="53672" y1="47368" x2="53672" y2="47368"/>
                      <a14:foregroundMark x1="68927" y1="42105" x2="68927" y2="42105"/>
                      <a14:foregroundMark x1="49718" y1="57895" x2="49718" y2="57895"/>
                      <a14:foregroundMark x1="93220" y1="50526" x2="93220" y2="50526"/>
                      <a14:backgroundMark x1="57062" y1="83158" x2="88701" y2="86316"/>
                      <a14:backgroundMark x1="66102" y1="53684" x2="66102" y2="53684"/>
                      <a14:backgroundMark x1="42373" y1="31579" x2="42373" y2="31579"/>
                      <a14:backgroundMark x1="45763" y1="62105" x2="45763" y2="62105"/>
                      <a14:backgroundMark x1="47458" y1="42105" x2="47458" y2="42105"/>
                      <a14:backgroundMark x1="47458" y1="46316" x2="47458" y2="46316"/>
                      <a14:backgroundMark x1="42938" y1="42105" x2="42938" y2="42105"/>
                      <a14:backgroundMark x1="67232" y1="63158" x2="67232" y2="63158"/>
                      <a14:backgroundMark x1="51412" y1="64211" x2="51412" y2="64211"/>
                      <a14:backgroundMark x1="50847" y1="60000" x2="50847" y2="60000"/>
                    </a14:backgroundRemoval>
                  </a14:imgEffect>
                </a14:imgLayer>
              </a14:imgProps>
            </a:ext>
            <a:ext uri="{28A0092B-C50C-407E-A947-70E740481C1C}">
              <a14:useLocalDpi xmlns:a14="http://schemas.microsoft.com/office/drawing/2010/main" val="0"/>
            </a:ext>
          </a:extLst>
        </a:blip>
        <a:stretch>
          <a:fillRect/>
        </a:stretch>
      </xdr:blipFill>
      <xdr:spPr>
        <a:xfrm>
          <a:off x="1381125" y="3028950"/>
          <a:ext cx="1076325" cy="581025"/>
        </a:xfrm>
        <a:prstGeom prst="rect">
          <a:avLst/>
        </a:prstGeom>
      </xdr:spPr>
    </xdr:pic>
    <xdr:clientData/>
  </xdr:twoCellAnchor>
  <xdr:twoCellAnchor>
    <xdr:from>
      <xdr:col>1</xdr:col>
      <xdr:colOff>38100</xdr:colOff>
      <xdr:row>10</xdr:row>
      <xdr:rowOff>152400</xdr:rowOff>
    </xdr:from>
    <xdr:to>
      <xdr:col>1</xdr:col>
      <xdr:colOff>857250</xdr:colOff>
      <xdr:row>10</xdr:row>
      <xdr:rowOff>457200</xdr:rowOff>
    </xdr:to>
    <xdr:pic>
      <xdr:nvPicPr>
        <xdr:cNvPr id="10" name="Picture 19">
          <a:extLst>
            <a:ext uri="{FF2B5EF4-FFF2-40B4-BE49-F238E27FC236}">
              <a16:creationId xmlns:a16="http://schemas.microsoft.com/office/drawing/2014/main" id="{6FAB1566-BA70-D68B-5145-6FC338D5D157}"/>
            </a:ext>
            <a:ext uri="{147F2762-F138-4A5C-976F-8EAC2B608ADB}">
              <a16:predDERef xmlns:a16="http://schemas.microsoft.com/office/drawing/2014/main" pred="{31AA170C-136E-1E42-FB80-DEFB07F1A1A6}"/>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8065" b="88710" l="3086" r="95062">
                      <a14:foregroundMark x1="43827" y1="59677" x2="43827" y2="59677"/>
                      <a14:foregroundMark x1="65432" y1="46774" x2="65432" y2="46774"/>
                      <a14:foregroundMark x1="83333" y1="50000" x2="83333" y2="50000"/>
                      <a14:foregroundMark x1="93827" y1="64516" x2="93827" y2="64516"/>
                      <a14:foregroundMark x1="95062" y1="37097" x2="95062" y2="37097"/>
                      <a14:foregroundMark x1="37037" y1="29032" x2="37037" y2="29032"/>
                      <a14:foregroundMark x1="22222" y1="69355" x2="22222" y2="69355"/>
                      <a14:foregroundMark x1="9877" y1="58065" x2="9877" y2="58065"/>
                      <a14:foregroundMark x1="9877" y1="80645" x2="9877" y2="80645"/>
                      <a14:foregroundMark x1="3086" y1="77419" x2="3086" y2="77419"/>
                    </a14:backgroundRemoval>
                  </a14:imgEffect>
                </a14:imgLayer>
              </a14:imgProps>
            </a:ext>
            <a:ext uri="{28A0092B-C50C-407E-A947-70E740481C1C}">
              <a14:useLocalDpi xmlns:a14="http://schemas.microsoft.com/office/drawing/2010/main" val="0"/>
            </a:ext>
          </a:extLst>
        </a:blip>
        <a:stretch>
          <a:fillRect/>
        </a:stretch>
      </xdr:blipFill>
      <xdr:spPr>
        <a:xfrm>
          <a:off x="1457325" y="6115050"/>
          <a:ext cx="819150" cy="304800"/>
        </a:xfrm>
        <a:prstGeom prst="rect">
          <a:avLst/>
        </a:prstGeom>
      </xdr:spPr>
    </xdr:pic>
    <xdr:clientData/>
  </xdr:twoCellAnchor>
  <xdr:twoCellAnchor>
    <xdr:from>
      <xdr:col>0</xdr:col>
      <xdr:colOff>1285876</xdr:colOff>
      <xdr:row>3</xdr:row>
      <xdr:rowOff>0</xdr:rowOff>
    </xdr:from>
    <xdr:to>
      <xdr:col>1</xdr:col>
      <xdr:colOff>1037872</xdr:colOff>
      <xdr:row>3</xdr:row>
      <xdr:rowOff>617444</xdr:rowOff>
    </xdr:to>
    <xdr:pic>
      <xdr:nvPicPr>
        <xdr:cNvPr id="27" name="Picture 26">
          <a:extLst>
            <a:ext uri="{FF2B5EF4-FFF2-40B4-BE49-F238E27FC236}">
              <a16:creationId xmlns:a16="http://schemas.microsoft.com/office/drawing/2014/main" id="{DD6F0432-613A-3D2C-5075-75F2BA1D7391}"/>
            </a:ext>
            <a:ext uri="{147F2762-F138-4A5C-976F-8EAC2B608ADB}">
              <a16:predDERef xmlns:a16="http://schemas.microsoft.com/office/drawing/2014/main" pred="{B9013C96-39D8-1B13-9258-FC693A30502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85876" y="1152525"/>
          <a:ext cx="1180746" cy="617444"/>
        </a:xfrm>
        <a:prstGeom prst="rect">
          <a:avLst/>
        </a:prstGeom>
      </xdr:spPr>
    </xdr:pic>
    <xdr:clientData/>
  </xdr:twoCellAnchor>
  <xdr:twoCellAnchor>
    <xdr:from>
      <xdr:col>1</xdr:col>
      <xdr:colOff>0</xdr:colOff>
      <xdr:row>13</xdr:row>
      <xdr:rowOff>228600</xdr:rowOff>
    </xdr:from>
    <xdr:to>
      <xdr:col>1</xdr:col>
      <xdr:colOff>857250</xdr:colOff>
      <xdr:row>13</xdr:row>
      <xdr:rowOff>428625</xdr:rowOff>
    </xdr:to>
    <xdr:pic>
      <xdr:nvPicPr>
        <xdr:cNvPr id="24" name="Picture 21">
          <a:extLst>
            <a:ext uri="{FF2B5EF4-FFF2-40B4-BE49-F238E27FC236}">
              <a16:creationId xmlns:a16="http://schemas.microsoft.com/office/drawing/2014/main" id="{B9013C96-39D8-1B13-9258-FC693A30502F}"/>
            </a:ext>
            <a:ext uri="{147F2762-F138-4A5C-976F-8EAC2B608ADB}">
              <a16:predDERef xmlns:a16="http://schemas.microsoft.com/office/drawing/2014/main" pred="{DD6F0432-613A-3D2C-5075-75F2BA1D7391}"/>
            </a:ext>
          </a:extLst>
        </xdr:cNvPr>
        <xdr:cNvPicPr>
          <a:picLocks noChangeAspect="1"/>
        </xdr:cNvPicPr>
      </xdr:nvPicPr>
      <xdr:blipFill rotWithShape="1">
        <a:blip xmlns:r="http://schemas.openxmlformats.org/officeDocument/2006/relationships" r:embed="rId10" cstate="print">
          <a:extLst>
            <a:ext uri="{BEBA8EAE-BF5A-486C-A8C5-ECC9F3942E4B}">
              <a14:imgProps xmlns:a14="http://schemas.microsoft.com/office/drawing/2010/main">
                <a14:imgLayer r:embed="rId11">
                  <a14:imgEffect>
                    <a14:backgroundRemoval t="4918" b="88525" l="4369" r="94660">
                      <a14:foregroundMark x1="15836" y1="34123" x2="15836" y2="34123"/>
                      <a14:foregroundMark x1="4839" y1="63507" x2="4839" y2="63507"/>
                      <a14:foregroundMark x1="58651" y1="37441" x2="58651" y2="37441"/>
                      <a14:foregroundMark x1="77126" y1="36019" x2="77126" y2="36019"/>
                      <a14:foregroundMark x1="91202" y1="25592" x2="91202" y2="25592"/>
                      <a14:foregroundMark x1="91642" y1="52607" x2="91642" y2="52607"/>
                      <a14:foregroundMark x1="95015" y1="67773" x2="95015" y2="67773"/>
                      <a14:foregroundMark x1="65396" y1="45498" x2="65396" y2="45498"/>
                      <a14:foregroundMark x1="70088" y1="28436" x2="70088" y2="28436"/>
                      <a14:foregroundMark x1="20388" y1="11475" x2="20388" y2="11475"/>
                      <a14:foregroundMark x1="66990" y1="4918" x2="66990" y2="4918"/>
                      <a14:backgroundMark x1="66990" y1="47541" x2="66990" y2="47541"/>
                      <a14:backgroundMark x1="85437" y1="19672" x2="85437" y2="19672"/>
                      <a14:backgroundMark x1="37379" y1="22951" x2="37379" y2="22951"/>
                      <a14:backgroundMark x1="38835" y1="59016" x2="38835" y2="59016"/>
                      <a14:backgroundMark x1="18447" y1="24590" x2="18447" y2="24590"/>
                    </a14:backgroundRemoval>
                  </a14:imgEffect>
                </a14:imgLayer>
              </a14:imgProps>
            </a:ext>
            <a:ext uri="{28A0092B-C50C-407E-A947-70E740481C1C}">
              <a14:useLocalDpi xmlns:a14="http://schemas.microsoft.com/office/drawing/2010/main" val="0"/>
            </a:ext>
          </a:extLst>
        </a:blip>
        <a:srcRect b="21812"/>
        <a:stretch/>
      </xdr:blipFill>
      <xdr:spPr>
        <a:xfrm>
          <a:off x="1419225" y="8248650"/>
          <a:ext cx="857250" cy="200025"/>
        </a:xfrm>
        <a:prstGeom prst="rect">
          <a:avLst/>
        </a:prstGeom>
      </xdr:spPr>
    </xdr:pic>
    <xdr:clientData/>
  </xdr:twoCellAnchor>
  <xdr:twoCellAnchor>
    <xdr:from>
      <xdr:col>1</xdr:col>
      <xdr:colOff>19050</xdr:colOff>
      <xdr:row>8</xdr:row>
      <xdr:rowOff>19050</xdr:rowOff>
    </xdr:from>
    <xdr:to>
      <xdr:col>1</xdr:col>
      <xdr:colOff>885825</xdr:colOff>
      <xdr:row>8</xdr:row>
      <xdr:rowOff>485775</xdr:rowOff>
    </xdr:to>
    <xdr:pic>
      <xdr:nvPicPr>
        <xdr:cNvPr id="36" name="Picture 28">
          <a:extLst>
            <a:ext uri="{FF2B5EF4-FFF2-40B4-BE49-F238E27FC236}">
              <a16:creationId xmlns:a16="http://schemas.microsoft.com/office/drawing/2014/main" id="{143EE30D-FEAC-8D2F-E5D7-A96379B3E841}"/>
            </a:ext>
            <a:ext uri="{147F2762-F138-4A5C-976F-8EAC2B608ADB}">
              <a16:predDERef xmlns:a16="http://schemas.microsoft.com/office/drawing/2014/main" pred="{DD6F0432-613A-3D2C-5075-75F2BA1D7391}"/>
            </a:ext>
          </a:extLst>
        </xdr:cNvPr>
        <xdr:cNvPicPr>
          <a:picLocks noChangeAspect="1"/>
        </xdr:cNvPicPr>
      </xdr:nvPicPr>
      <xdr:blipFill>
        <a:blip xmlns:r="http://schemas.openxmlformats.org/officeDocument/2006/relationships" r:embed="rId12">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1447800" y="3857625"/>
          <a:ext cx="866775" cy="466725"/>
        </a:xfrm>
        <a:prstGeom prst="rect">
          <a:avLst/>
        </a:prstGeom>
      </xdr:spPr>
    </xdr:pic>
    <xdr:clientData/>
  </xdr:twoCellAnchor>
  <xdr:twoCellAnchor>
    <xdr:from>
      <xdr:col>1</xdr:col>
      <xdr:colOff>55655</xdr:colOff>
      <xdr:row>12</xdr:row>
      <xdr:rowOff>17742</xdr:rowOff>
    </xdr:from>
    <xdr:to>
      <xdr:col>1</xdr:col>
      <xdr:colOff>1179978</xdr:colOff>
      <xdr:row>12</xdr:row>
      <xdr:rowOff>195542</xdr:rowOff>
    </xdr:to>
    <xdr:pic>
      <xdr:nvPicPr>
        <xdr:cNvPr id="17" name="Picture 1">
          <a:extLst>
            <a:ext uri="{FF2B5EF4-FFF2-40B4-BE49-F238E27FC236}">
              <a16:creationId xmlns:a16="http://schemas.microsoft.com/office/drawing/2014/main" id="{672C7F71-AB2A-875A-9205-0AC910AEC2D2}"/>
            </a:ext>
            <a:ext uri="{147F2762-F138-4A5C-976F-8EAC2B608ADB}">
              <a16:predDERef xmlns:a16="http://schemas.microsoft.com/office/drawing/2014/main" pred="{143EE30D-FEAC-8D2F-E5D7-A96379B3E841}"/>
            </a:ext>
          </a:extLst>
        </xdr:cNvPr>
        <xdr:cNvPicPr>
          <a:picLocks noChangeAspect="1"/>
        </xdr:cNvPicPr>
      </xdr:nvPicPr>
      <xdr:blipFill>
        <a:blip xmlns:r="http://schemas.openxmlformats.org/officeDocument/2006/relationships" r:embed="rId13"/>
        <a:stretch>
          <a:fillRect/>
        </a:stretch>
      </xdr:blipFill>
      <xdr:spPr>
        <a:xfrm>
          <a:off x="1474880" y="7456767"/>
          <a:ext cx="1124323" cy="177800"/>
        </a:xfrm>
        <a:prstGeom prst="rect">
          <a:avLst/>
        </a:prstGeom>
      </xdr:spPr>
    </xdr:pic>
    <xdr:clientData/>
  </xdr:twoCellAnchor>
  <xdr:twoCellAnchor editAs="oneCell">
    <xdr:from>
      <xdr:col>1</xdr:col>
      <xdr:colOff>400050</xdr:colOff>
      <xdr:row>7</xdr:row>
      <xdr:rowOff>19050</xdr:rowOff>
    </xdr:from>
    <xdr:to>
      <xdr:col>1</xdr:col>
      <xdr:colOff>990600</xdr:colOff>
      <xdr:row>7</xdr:row>
      <xdr:rowOff>457200</xdr:rowOff>
    </xdr:to>
    <xdr:pic>
      <xdr:nvPicPr>
        <xdr:cNvPr id="14" name="Picture 13">
          <a:extLst>
            <a:ext uri="{FF2B5EF4-FFF2-40B4-BE49-F238E27FC236}">
              <a16:creationId xmlns:a16="http://schemas.microsoft.com/office/drawing/2014/main" id="{4F21300B-11EF-5529-29FE-D8BBFCF433C8}"/>
            </a:ext>
            <a:ext uri="{147F2762-F138-4A5C-976F-8EAC2B608ADB}">
              <a16:predDERef xmlns:a16="http://schemas.microsoft.com/office/drawing/2014/main" pred="{672C7F71-AB2A-875A-9205-0AC910AEC2D2}"/>
            </a:ext>
          </a:extLst>
        </xdr:cNvPr>
        <xdr:cNvPicPr>
          <a:picLocks noChangeAspect="1"/>
        </xdr:cNvPicPr>
      </xdr:nvPicPr>
      <xdr:blipFill>
        <a:blip xmlns:r="http://schemas.openxmlformats.org/officeDocument/2006/relationships" r:embed="rId14"/>
        <a:stretch>
          <a:fillRect/>
        </a:stretch>
      </xdr:blipFill>
      <xdr:spPr>
        <a:xfrm>
          <a:off x="1819275" y="3886200"/>
          <a:ext cx="590550" cy="438150"/>
        </a:xfrm>
        <a:prstGeom prst="rect">
          <a:avLst/>
        </a:prstGeom>
      </xdr:spPr>
    </xdr:pic>
    <xdr:clientData/>
  </xdr:twoCellAnchor>
  <xdr:twoCellAnchor editAs="oneCell">
    <xdr:from>
      <xdr:col>1</xdr:col>
      <xdr:colOff>28575</xdr:colOff>
      <xdr:row>7</xdr:row>
      <xdr:rowOff>466725</xdr:rowOff>
    </xdr:from>
    <xdr:to>
      <xdr:col>1</xdr:col>
      <xdr:colOff>946150</xdr:colOff>
      <xdr:row>7</xdr:row>
      <xdr:rowOff>774700</xdr:rowOff>
    </xdr:to>
    <xdr:pic>
      <xdr:nvPicPr>
        <xdr:cNvPr id="15" name="Picture 14">
          <a:extLst>
            <a:ext uri="{FF2B5EF4-FFF2-40B4-BE49-F238E27FC236}">
              <a16:creationId xmlns:a16="http://schemas.microsoft.com/office/drawing/2014/main" id="{11D94DDE-B3F4-092A-F2C5-EB9D83979E3C}"/>
            </a:ext>
            <a:ext uri="{147F2762-F138-4A5C-976F-8EAC2B608ADB}">
              <a16:predDERef xmlns:a16="http://schemas.microsoft.com/office/drawing/2014/main" pred="{4F21300B-11EF-5529-29FE-D8BBFCF433C8}"/>
            </a:ext>
          </a:extLst>
        </xdr:cNvPr>
        <xdr:cNvPicPr>
          <a:picLocks noChangeAspect="1"/>
        </xdr:cNvPicPr>
      </xdr:nvPicPr>
      <xdr:blipFill>
        <a:blip xmlns:r="http://schemas.openxmlformats.org/officeDocument/2006/relationships" r:embed="rId15"/>
        <a:stretch>
          <a:fillRect/>
        </a:stretch>
      </xdr:blipFill>
      <xdr:spPr>
        <a:xfrm>
          <a:off x="1447800" y="4333875"/>
          <a:ext cx="914400" cy="304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users.nber.org/~taxsim/state-rates/" TargetMode="External"/><Relationship Id="rId3" Type="http://schemas.openxmlformats.org/officeDocument/2006/relationships/hyperlink" Target="https://www.huduser.gov/portal/datasets/fmr.html" TargetMode="External"/><Relationship Id="rId7" Type="http://schemas.openxmlformats.org/officeDocument/2006/relationships/hyperlink" Target="https://www.bls.gov/cex/tables/calendar-year/mean-item-share-average-standard-error/cu-income-quintiles-before-taxes-2019.pdf" TargetMode="External"/><Relationship Id="rId2" Type="http://schemas.openxmlformats.org/officeDocument/2006/relationships/hyperlink" Target="https://www.epi.org/resources/budget/" TargetMode="External"/><Relationship Id="rId1" Type="http://schemas.openxmlformats.org/officeDocument/2006/relationships/hyperlink" Target="https://www.epi.org/publication/family-budget-calculator-documentation/" TargetMode="External"/><Relationship Id="rId6" Type="http://schemas.openxmlformats.org/officeDocument/2006/relationships/hyperlink" Target="https://cnt.org/tools/housing-and-transportation-affordability-index" TargetMode="External"/><Relationship Id="rId5" Type="http://schemas.openxmlformats.org/officeDocument/2006/relationships/hyperlink" Target="https://htaindex.cnt.org/about/HT_Index_Methods_2013.pdf" TargetMode="External"/><Relationship Id="rId4" Type="http://schemas.openxmlformats.org/officeDocument/2006/relationships/hyperlink" Target="https://www.childcareaware.org/wp-content/uploads/2020/09/PUTP-Appendices-FINAL-9-18-20.pdf" TargetMode="External"/><Relationship Id="rId9" Type="http://schemas.openxmlformats.org/officeDocument/2006/relationships/hyperlink" Target="http://users.nber.org/~taxsim/taxsim32/%20%20%20%20%20%20%20%20%20%20%20%20%20%20%20%20%20%20%20http:/users.nber.org/~taxsim/feenberg-coutts.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huduser.gov/portal/datasets/fmr.html" TargetMode="External"/><Relationship Id="rId7" Type="http://schemas.openxmlformats.org/officeDocument/2006/relationships/hyperlink" Target="https://www.bls.gov/cex/tables/calendar-year/aggregate-group-share/cu-size-2019.pdf%20https:/www.bls.gov/cex/2018/region/region.pdf%20https:/www.bls.gov/data/inflation_calculator.htm%20https:/broadbandnow.com/%20https:/transition.fcc.gov/DiversityFAC/032410/consumer-survey-horrigan.pdf%20https:/www.cable.co.uk/broadband/worldwide-pricing/2022/broadband_price_comparison_press_release.pdf" TargetMode="External"/><Relationship Id="rId2" Type="http://schemas.openxmlformats.org/officeDocument/2006/relationships/hyperlink" Target="https://livingwage.mit.edu/" TargetMode="External"/><Relationship Id="rId1" Type="http://schemas.openxmlformats.org/officeDocument/2006/relationships/hyperlink" Target="https://livingwage.mit.edu/resources/Living-Wage-Users-Guide-Technical-Documentation-2022-05-10.pdf" TargetMode="External"/><Relationship Id="rId6" Type="http://schemas.openxmlformats.org/officeDocument/2006/relationships/hyperlink" Target="https://www.urban.org/research/data-methods/data-analysis/quantitative-data-analysis/microsimulation/tax-policy-center-microsimulation-model%20%20https:/www.taxpolicycenter.org/resources/brief-description-tax-model" TargetMode="External"/><Relationship Id="rId5" Type="http://schemas.openxmlformats.org/officeDocument/2006/relationships/hyperlink" Target="https://data.bts.gov/stories/s/Transportation-Economic-Trends-Transportation-Spen/ida7-k95k/" TargetMode="External"/><Relationship Id="rId4" Type="http://schemas.openxmlformats.org/officeDocument/2006/relationships/hyperlink" Target="https://www.dss.virginia.gov/files/division/cc/interested_subsidy_vendors/notices/Market_Rate_Survey.pdf%20https:/osse.dc.gov/sites/default/files/dc/sites/osse/publication/attachments/Modeling%20the%20Cost%20of%20Child%20Care%20in%20the%20District%20of%20Columbia%202021.pdf%20%20https:/osse.dc.gov/sites/default/files/dc/sites/osse/publication/attachments/OSSE%20Cost%20Model%20Report_2018.pdf%20https:/earlychildhood.marylandpublicschools.org/system/files/filedepot/2/market_rate_survey_final_report_july_2019_sr_07_08_19_pm_final_pdf_3.pd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dss.virginia.gov/files/division/cc/interested_subsidy_vendors/notices/Market_Rate_Survey.pdf%20%20https:/earlychildhood.marylandpublicschools.org/system/files/filedepot/2/market_rate_survey_final_report_july_2019_sr_07_08_19_pm_final_pdf_3.pdf" TargetMode="External"/><Relationship Id="rId3" Type="http://schemas.openxmlformats.org/officeDocument/2006/relationships/hyperlink" Target="https://www.huduser.gov/portal/datasets/fmr.html" TargetMode="External"/><Relationship Id="rId7" Type="http://schemas.openxmlformats.org/officeDocument/2006/relationships/hyperlink" Target="https://selfsufficiencystandard.org/wp-content/uploads/2022/03/SSS2022_TechnicalBrief_03032022.pdf" TargetMode="External"/><Relationship Id="rId2" Type="http://schemas.openxmlformats.org/officeDocument/2006/relationships/hyperlink" Target="https://selfsufficiencystandard.org/virginia/" TargetMode="External"/><Relationship Id="rId1" Type="http://schemas.openxmlformats.org/officeDocument/2006/relationships/hyperlink" Target="https://selfsufficiencystandard.org/the-standard/methodology/" TargetMode="External"/><Relationship Id="rId6" Type="http://schemas.openxmlformats.org/officeDocument/2006/relationships/hyperlink" Target="https://datatools.ahrq.gov/meps-ic" TargetMode="External"/><Relationship Id="rId5" Type="http://schemas.openxmlformats.org/officeDocument/2006/relationships/hyperlink" Target="https://cps.ipums.org/cps/%20https:/www.fdic.gov/resources/bankers/national-rates/previous-rates.html%20https:/oui.doleta.gov/unemploy/data_summary/DataSum.asp%20https:/www.dllr.state.md.us/employment/clmtguide/uiclmtpamphlet.pdf%20https:/does.dc.gov/sites/default/files/dc/sites/does/page_content/attachments/9.12.19%20UI%20Claimant%27s%20Rights%20and%20Responsibilities.pdf%20https:/law.lis.virginia.gov/vacode/title60.2/chapter6/section60.2-602/" TargetMode="External"/><Relationship Id="rId4" Type="http://schemas.openxmlformats.org/officeDocument/2006/relationships/hyperlink" Target="https://selfsufficiencystandard.org/the-standard/methodology/%20%20%20%20%20%20%20%20%20%20%20https:/nhts.ornl.gov/%20%20%20%20%20%20https:/selfsufficiencystandard.org/wp-content/uploads/2022/03/SSS2022_TechnicalBrief_03032022.pdf"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users.nber.org/~taxsim/taxsim32/%20%20%20%20%20%20%20%20%20%20%20%20%20%20%20%20%20%20%20http:/users.nber.org/~taxsim/feenberg-coutts.pdf" TargetMode="External"/><Relationship Id="rId2" Type="http://schemas.openxmlformats.org/officeDocument/2006/relationships/hyperlink" Target="https://htaindex.cnt.org/about/HT_Index_Methods_2013.pdf" TargetMode="External"/><Relationship Id="rId1" Type="http://schemas.openxmlformats.org/officeDocument/2006/relationships/hyperlink" Target="https://www.huduser.gov/portal/sites/default/files/pdf/fmr-overview.pdf"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huduser.gov/portal/sites/default/files/pdf/fmr-overview.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0113D-C22C-2948-BF12-8D763E30F704}">
  <dimension ref="A1:I13"/>
  <sheetViews>
    <sheetView topLeftCell="A8" zoomScale="83" zoomScaleNormal="140" workbookViewId="0">
      <selection activeCell="C11" sqref="C11"/>
    </sheetView>
  </sheetViews>
  <sheetFormatPr defaultColWidth="11" defaultRowHeight="15.6"/>
  <cols>
    <col min="1" max="1" width="17.125" customWidth="1"/>
    <col min="2" max="2" width="41.125" customWidth="1"/>
    <col min="3" max="3" width="18.625" customWidth="1"/>
    <col min="4" max="4" width="51" customWidth="1"/>
    <col min="5" max="5" width="18.375" customWidth="1"/>
    <col min="6" max="6" width="14.625" customWidth="1"/>
    <col min="7" max="7" width="18.625" customWidth="1"/>
    <col min="8" max="8" width="15" customWidth="1"/>
    <col min="9" max="9" width="24.625" customWidth="1"/>
  </cols>
  <sheetData>
    <row r="1" spans="1:9">
      <c r="A1" s="2" t="s">
        <v>0</v>
      </c>
      <c r="B1" s="4" t="s">
        <v>1</v>
      </c>
    </row>
    <row r="2" spans="1:9">
      <c r="A2" s="2" t="s">
        <v>2</v>
      </c>
      <c r="B2" s="30" t="s">
        <v>3</v>
      </c>
    </row>
    <row r="3" spans="1:9" ht="123" customHeight="1">
      <c r="A3" s="2" t="s">
        <v>4</v>
      </c>
      <c r="B3" s="1" t="s">
        <v>5</v>
      </c>
    </row>
    <row r="4" spans="1:9" ht="21" customHeight="1">
      <c r="A4" s="30" t="s">
        <v>6</v>
      </c>
      <c r="B4" s="1"/>
    </row>
    <row r="6" spans="1:9">
      <c r="A6" s="4" t="s">
        <v>7</v>
      </c>
      <c r="B6" s="31" t="s">
        <v>8</v>
      </c>
      <c r="C6" s="31" t="s">
        <v>9</v>
      </c>
      <c r="D6" s="31" t="s">
        <v>10</v>
      </c>
      <c r="E6" s="31" t="s">
        <v>11</v>
      </c>
      <c r="F6" s="31" t="s">
        <v>12</v>
      </c>
      <c r="G6" s="31" t="s">
        <v>13</v>
      </c>
      <c r="H6" s="31" t="s">
        <v>14</v>
      </c>
      <c r="I6" s="31" t="s">
        <v>15</v>
      </c>
    </row>
    <row r="7" spans="1:9" ht="190.5" customHeight="1">
      <c r="A7" s="2" t="s">
        <v>16</v>
      </c>
      <c r="B7" s="3" t="s">
        <v>17</v>
      </c>
      <c r="C7" s="5" t="s">
        <v>18</v>
      </c>
      <c r="D7" s="43" t="s">
        <v>19</v>
      </c>
      <c r="E7" s="36" t="s">
        <v>20</v>
      </c>
      <c r="F7" s="5" t="s">
        <v>21</v>
      </c>
      <c r="G7" s="5" t="s">
        <v>22</v>
      </c>
      <c r="H7" s="5" t="s">
        <v>23</v>
      </c>
      <c r="I7" s="5" t="s">
        <v>24</v>
      </c>
    </row>
    <row r="8" spans="1:9" ht="192" customHeight="1">
      <c r="A8" s="2" t="s">
        <v>25</v>
      </c>
      <c r="B8" s="3" t="s">
        <v>26</v>
      </c>
      <c r="C8" s="5" t="s">
        <v>27</v>
      </c>
      <c r="D8" s="5" t="s">
        <v>28</v>
      </c>
      <c r="E8" s="5" t="s">
        <v>29</v>
      </c>
      <c r="F8" s="7" t="s">
        <v>21</v>
      </c>
      <c r="G8" s="5" t="s">
        <v>30</v>
      </c>
      <c r="H8" s="5" t="s">
        <v>31</v>
      </c>
      <c r="I8" s="5" t="s">
        <v>32</v>
      </c>
    </row>
    <row r="9" spans="1:9" ht="96.75" customHeight="1">
      <c r="A9" s="2" t="s">
        <v>33</v>
      </c>
      <c r="B9" s="3" t="s">
        <v>34</v>
      </c>
      <c r="C9" s="5" t="s">
        <v>35</v>
      </c>
      <c r="D9" s="5" t="s">
        <v>36</v>
      </c>
      <c r="E9" s="36" t="s">
        <v>37</v>
      </c>
      <c r="F9" s="7" t="s">
        <v>21</v>
      </c>
      <c r="G9" s="2">
        <v>2019</v>
      </c>
      <c r="H9" s="7" t="s">
        <v>38</v>
      </c>
      <c r="I9" s="7" t="s">
        <v>39</v>
      </c>
    </row>
    <row r="10" spans="1:9" ht="139.5">
      <c r="A10" s="2" t="s">
        <v>40</v>
      </c>
      <c r="B10" s="3" t="s">
        <v>41</v>
      </c>
      <c r="C10" s="5" t="s">
        <v>42</v>
      </c>
      <c r="D10" s="5" t="s">
        <v>43</v>
      </c>
      <c r="E10" s="5" t="s">
        <v>44</v>
      </c>
      <c r="F10" s="7" t="s">
        <v>21</v>
      </c>
      <c r="G10" s="7" t="s">
        <v>45</v>
      </c>
      <c r="H10" s="5" t="s">
        <v>46</v>
      </c>
      <c r="I10" s="36" t="s">
        <v>47</v>
      </c>
    </row>
    <row r="11" spans="1:9" ht="336.75" customHeight="1">
      <c r="A11" s="2" t="s">
        <v>48</v>
      </c>
      <c r="B11" s="3" t="s">
        <v>49</v>
      </c>
      <c r="C11" s="5" t="s">
        <v>50</v>
      </c>
      <c r="D11" s="5" t="s">
        <v>51</v>
      </c>
      <c r="E11" s="5" t="s">
        <v>52</v>
      </c>
      <c r="F11" s="5" t="s">
        <v>53</v>
      </c>
      <c r="G11" s="5" t="s">
        <v>54</v>
      </c>
      <c r="H11" s="5" t="s">
        <v>55</v>
      </c>
      <c r="I11" s="5" t="s">
        <v>56</v>
      </c>
    </row>
    <row r="12" spans="1:9" ht="97.5" customHeight="1">
      <c r="A12" s="2" t="s">
        <v>57</v>
      </c>
      <c r="B12" s="3" t="s">
        <v>58</v>
      </c>
      <c r="C12" s="5" t="s">
        <v>59</v>
      </c>
      <c r="D12" s="5" t="s">
        <v>60</v>
      </c>
      <c r="E12" s="36" t="s">
        <v>61</v>
      </c>
      <c r="F12" s="7" t="s">
        <v>62</v>
      </c>
      <c r="G12" s="7" t="s">
        <v>63</v>
      </c>
      <c r="H12" s="7" t="s">
        <v>64</v>
      </c>
      <c r="I12" s="7" t="s">
        <v>39</v>
      </c>
    </row>
    <row r="13" spans="1:9" ht="114" customHeight="1">
      <c r="A13" s="2" t="s">
        <v>65</v>
      </c>
      <c r="B13" s="3" t="s">
        <v>66</v>
      </c>
      <c r="C13" s="5" t="s">
        <v>67</v>
      </c>
      <c r="D13" s="5" t="s">
        <v>68</v>
      </c>
      <c r="E13" s="47" t="s">
        <v>69</v>
      </c>
      <c r="F13" s="7" t="s">
        <v>21</v>
      </c>
      <c r="G13" s="7" t="s">
        <v>70</v>
      </c>
      <c r="H13" s="7" t="s">
        <v>71</v>
      </c>
      <c r="I13" s="36" t="s">
        <v>72</v>
      </c>
    </row>
  </sheetData>
  <hyperlinks>
    <hyperlink ref="A4" r:id="rId1" xr:uid="{3C6334B1-7727-D44D-B58A-5A687BDE1FC2}"/>
    <hyperlink ref="B2" r:id="rId2" xr:uid="{D2682DF1-A942-0D46-96DE-0E3D2AADFC0A}"/>
    <hyperlink ref="E7" r:id="rId3" xr:uid="{29D0E392-1ED7-6444-8FA8-084CC2C5AC54}"/>
    <hyperlink ref="E9" r:id="rId4" xr:uid="{6D7BCB03-331C-4BFC-B950-F5FE3DC7AFDB}"/>
    <hyperlink ref="E10" r:id="rId5" xr:uid="{ACFA4A04-EB86-46F4-ACB7-9211C10AE0B5}"/>
    <hyperlink ref="I10" r:id="rId6" xr:uid="{ABF71DE6-74BF-4AA9-9C5A-5EFBF601DBD1}"/>
    <hyperlink ref="E12" r:id="rId7" xr:uid="{EAA172FA-5419-4F64-B7FB-EAE345A155C7}"/>
    <hyperlink ref="I13" r:id="rId8" xr:uid="{9004EA65-7969-4FDF-8384-BFD301401DF1}"/>
    <hyperlink ref="E13" r:id="rId9" xr:uid="{5E4B3D0C-C21A-49E6-BE4F-74DABD46A07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A8293-E25E-1D4E-A74F-F7D6182679FC}">
  <dimension ref="A1:I14"/>
  <sheetViews>
    <sheetView topLeftCell="A10" zoomScale="75" zoomScaleNormal="140" workbookViewId="0">
      <selection activeCell="I11" sqref="I11"/>
    </sheetView>
  </sheetViews>
  <sheetFormatPr defaultColWidth="11" defaultRowHeight="15.6"/>
  <cols>
    <col min="1" max="1" width="15.375" customWidth="1"/>
    <col min="2" max="2" width="65.375" customWidth="1"/>
    <col min="3" max="3" width="16.5" customWidth="1"/>
    <col min="4" max="4" width="68.375" customWidth="1"/>
    <col min="5" max="5" width="16.625" customWidth="1"/>
    <col min="6" max="6" width="16.125" customWidth="1"/>
    <col min="7" max="7" width="20.875" customWidth="1"/>
    <col min="8" max="8" width="15.125" customWidth="1"/>
    <col min="9" max="9" width="70.875" customWidth="1"/>
  </cols>
  <sheetData>
    <row r="1" spans="1:9">
      <c r="A1" s="2" t="s">
        <v>0</v>
      </c>
      <c r="B1" s="4" t="s">
        <v>73</v>
      </c>
    </row>
    <row r="2" spans="1:9">
      <c r="A2" s="2" t="s">
        <v>2</v>
      </c>
      <c r="B2" s="30" t="s">
        <v>74</v>
      </c>
    </row>
    <row r="3" spans="1:9" ht="108.6">
      <c r="A3" s="2" t="s">
        <v>4</v>
      </c>
      <c r="B3" s="1" t="s">
        <v>75</v>
      </c>
    </row>
    <row r="4" spans="1:9">
      <c r="A4" s="30" t="s">
        <v>6</v>
      </c>
      <c r="B4" s="2"/>
    </row>
    <row r="5" spans="1:9">
      <c r="A5" s="2"/>
      <c r="B5" s="2"/>
    </row>
    <row r="6" spans="1:9">
      <c r="A6" s="34" t="s">
        <v>7</v>
      </c>
      <c r="B6" s="34" t="s">
        <v>8</v>
      </c>
      <c r="C6" s="35" t="s">
        <v>9</v>
      </c>
      <c r="D6" s="35" t="s">
        <v>10</v>
      </c>
      <c r="E6" s="35" t="s">
        <v>11</v>
      </c>
      <c r="F6" s="35" t="s">
        <v>12</v>
      </c>
      <c r="G6" s="35" t="s">
        <v>13</v>
      </c>
      <c r="H6" s="35" t="s">
        <v>14</v>
      </c>
      <c r="I6" s="35" t="s">
        <v>15</v>
      </c>
    </row>
    <row r="7" spans="1:9" ht="239.1" customHeight="1">
      <c r="A7" s="1" t="s">
        <v>25</v>
      </c>
      <c r="B7" s="1" t="s">
        <v>76</v>
      </c>
      <c r="C7" s="1" t="s">
        <v>77</v>
      </c>
      <c r="D7" s="5" t="s">
        <v>78</v>
      </c>
      <c r="E7" s="5" t="s">
        <v>79</v>
      </c>
      <c r="F7" s="5" t="s">
        <v>80</v>
      </c>
      <c r="G7" s="5" t="s">
        <v>81</v>
      </c>
      <c r="H7" s="5" t="s">
        <v>82</v>
      </c>
      <c r="I7" s="5" t="s">
        <v>83</v>
      </c>
    </row>
    <row r="8" spans="1:9" ht="316.5" customHeight="1">
      <c r="A8" s="1" t="s">
        <v>84</v>
      </c>
      <c r="B8" s="1" t="s">
        <v>85</v>
      </c>
      <c r="C8" s="5" t="s">
        <v>86</v>
      </c>
      <c r="D8" s="5" t="s">
        <v>87</v>
      </c>
      <c r="E8" s="36" t="s">
        <v>88</v>
      </c>
      <c r="F8" s="5" t="s">
        <v>89</v>
      </c>
      <c r="G8" s="5" t="s">
        <v>90</v>
      </c>
      <c r="H8" s="5" t="s">
        <v>91</v>
      </c>
      <c r="I8" s="5" t="s">
        <v>92</v>
      </c>
    </row>
    <row r="9" spans="1:9" ht="402.95">
      <c r="A9" s="1" t="s">
        <v>93</v>
      </c>
      <c r="B9" s="1" t="s">
        <v>94</v>
      </c>
      <c r="C9" s="5" t="s">
        <v>95</v>
      </c>
      <c r="D9" s="5" t="s">
        <v>96</v>
      </c>
      <c r="E9" s="5" t="s">
        <v>97</v>
      </c>
      <c r="F9" s="5" t="s">
        <v>80</v>
      </c>
      <c r="G9" s="5" t="s">
        <v>98</v>
      </c>
      <c r="H9" s="5" t="s">
        <v>99</v>
      </c>
      <c r="I9" s="5" t="s">
        <v>100</v>
      </c>
    </row>
    <row r="10" spans="1:9" ht="268.5" customHeight="1">
      <c r="A10" s="1" t="s">
        <v>16</v>
      </c>
      <c r="B10" s="1" t="s">
        <v>101</v>
      </c>
      <c r="C10" s="5" t="s">
        <v>18</v>
      </c>
      <c r="D10" s="5" t="s">
        <v>102</v>
      </c>
      <c r="E10" s="36" t="s">
        <v>103</v>
      </c>
      <c r="F10" s="5" t="s">
        <v>21</v>
      </c>
      <c r="G10" s="5" t="s">
        <v>22</v>
      </c>
      <c r="H10" s="5" t="s">
        <v>23</v>
      </c>
      <c r="I10" s="5" t="s">
        <v>24</v>
      </c>
    </row>
    <row r="11" spans="1:9" ht="206.25" customHeight="1">
      <c r="A11" s="1" t="s">
        <v>40</v>
      </c>
      <c r="B11" s="1" t="s">
        <v>104</v>
      </c>
      <c r="C11" s="5" t="s">
        <v>59</v>
      </c>
      <c r="D11" s="5" t="s">
        <v>105</v>
      </c>
      <c r="E11" s="36" t="s">
        <v>106</v>
      </c>
      <c r="F11" s="5" t="s">
        <v>21</v>
      </c>
      <c r="G11" s="5" t="s">
        <v>107</v>
      </c>
      <c r="H11" s="44" t="s">
        <v>108</v>
      </c>
      <c r="I11" s="5" t="s">
        <v>109</v>
      </c>
    </row>
    <row r="12" spans="1:9" ht="408.95" customHeight="1">
      <c r="A12" s="1" t="s">
        <v>57</v>
      </c>
      <c r="B12" s="1" t="s">
        <v>110</v>
      </c>
      <c r="C12" s="5" t="s">
        <v>111</v>
      </c>
      <c r="D12" s="5" t="s">
        <v>112</v>
      </c>
      <c r="E12" s="32" t="s">
        <v>113</v>
      </c>
      <c r="F12" s="5" t="s">
        <v>21</v>
      </c>
      <c r="G12" s="5" t="s">
        <v>114</v>
      </c>
      <c r="H12" s="5" t="s">
        <v>115</v>
      </c>
      <c r="I12" s="5" t="s">
        <v>116</v>
      </c>
    </row>
    <row r="13" spans="1:9" ht="252.75" customHeight="1">
      <c r="A13" s="1" t="s">
        <v>117</v>
      </c>
      <c r="B13" s="1" t="s">
        <v>118</v>
      </c>
      <c r="C13" s="5" t="s">
        <v>119</v>
      </c>
      <c r="D13" s="5" t="s">
        <v>120</v>
      </c>
      <c r="E13" s="5" t="s">
        <v>97</v>
      </c>
      <c r="F13" s="5" t="s">
        <v>80</v>
      </c>
      <c r="G13" s="5" t="s">
        <v>98</v>
      </c>
      <c r="H13" s="5" t="s">
        <v>99</v>
      </c>
      <c r="I13" s="5" t="s">
        <v>121</v>
      </c>
    </row>
    <row r="14" spans="1:9" ht="409.5">
      <c r="A14" s="1" t="s">
        <v>65</v>
      </c>
      <c r="B14" s="1" t="s">
        <v>122</v>
      </c>
      <c r="C14" s="5" t="s">
        <v>123</v>
      </c>
      <c r="D14" s="1" t="s">
        <v>124</v>
      </c>
      <c r="E14" s="36" t="s">
        <v>125</v>
      </c>
      <c r="F14" s="5" t="s">
        <v>126</v>
      </c>
      <c r="G14" s="45" t="s">
        <v>127</v>
      </c>
      <c r="H14" s="5" t="s">
        <v>71</v>
      </c>
      <c r="I14" s="5" t="s">
        <v>128</v>
      </c>
    </row>
  </sheetData>
  <hyperlinks>
    <hyperlink ref="A4" r:id="rId1" xr:uid="{B84559A3-9224-7241-86BB-283A849F4FD4}"/>
    <hyperlink ref="B2" r:id="rId2" xr:uid="{8C3B801A-B827-B44B-9A80-53C5445BAC70}"/>
    <hyperlink ref="E10" r:id="rId3" location="2022_data" xr:uid="{AC532141-B8E3-4F49-B1C2-A003FCC05A33}"/>
    <hyperlink ref="E8" r:id="rId4" display="https://www.dss.virginia.gov/files/division/cc/interested_subsidy_vendors/notices/Market_Rate_Survey.pdf https://osse.dc.gov/sites/default/files/dc/sites/osse/publication/attachments/Modeling%20the%20Cost%20of%20Child%20Care%20in%20the%20District%20of%20Columbia%202021.pdf  https://osse.dc.gov/sites/default/files/dc/sites/osse/publication/attachments/OSSE%20Cost%20Model%20Report_2018.pdf https://earlychildhood.marylandpublicschools.org/system/files/filedepot/2/market_rate_survey_final_report_july_2019_sr_07_08_19_pm_final_pdf_3.pdf" xr:uid="{227ECE7A-D811-4DC0-86ED-1803513286B1}"/>
    <hyperlink ref="E11" r:id="rId5" xr:uid="{46AE011F-45EA-492A-8184-281474E27279}"/>
    <hyperlink ref="E14" r:id="rId6" display="https://www.urban.org/research/data-methods/data-analysis/quantitative-data-analysis/microsimulation/tax-policy-center-microsimulation-model  https://www.taxpolicycenter.org/resources/brief-description-tax-model" xr:uid="{62E778D8-355B-466A-B5AB-B3CDD984AA9B}"/>
    <hyperlink ref="E12" r:id="rId7" display="https://www.bls.gov/cex/tables/calendar-year/aggregate-group-share/cu-size-2019.pdf https://www.bls.gov/cex/2018/region/region.pdf https://www.bls.gov/data/inflation_calculator.htm https://broadbandnow.com/ https://transition.fcc.gov/DiversityFAC/032410/consumer-survey-horrigan.pdf https://www.cable.co.uk/broadband/worldwide-pricing/2022/broadband_price_comparison_press_release.pdf" xr:uid="{B61C17ED-DECC-453B-ABD4-CD624A7E3D2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79873-44D7-1747-93EE-E6730CB3E9DD}">
  <dimension ref="A1:I14"/>
  <sheetViews>
    <sheetView topLeftCell="A10" zoomScale="98" zoomScaleNormal="85" workbookViewId="0">
      <selection activeCell="B10" sqref="B10"/>
    </sheetView>
  </sheetViews>
  <sheetFormatPr defaultColWidth="11" defaultRowHeight="15.6"/>
  <cols>
    <col min="1" max="1" width="15.5" customWidth="1"/>
    <col min="2" max="2" width="65" customWidth="1"/>
    <col min="3" max="3" width="56.125" customWidth="1"/>
    <col min="4" max="4" width="53.625" customWidth="1"/>
    <col min="5" max="5" width="16" customWidth="1"/>
    <col min="6" max="6" width="15.125" customWidth="1"/>
    <col min="7" max="7" width="20.625" customWidth="1"/>
    <col min="8" max="8" width="14.875" customWidth="1"/>
    <col min="9" max="9" width="57" customWidth="1"/>
  </cols>
  <sheetData>
    <row r="1" spans="1:9">
      <c r="A1" s="7" t="s">
        <v>0</v>
      </c>
      <c r="B1" s="29" t="s">
        <v>129</v>
      </c>
    </row>
    <row r="2" spans="1:9">
      <c r="A2" s="7" t="s">
        <v>130</v>
      </c>
      <c r="B2" s="32" t="s">
        <v>131</v>
      </c>
    </row>
    <row r="3" spans="1:9" ht="104.1" customHeight="1">
      <c r="A3" s="7" t="s">
        <v>4</v>
      </c>
      <c r="B3" s="6" t="s">
        <v>132</v>
      </c>
    </row>
    <row r="4" spans="1:9" ht="18" customHeight="1">
      <c r="A4" s="32" t="s">
        <v>6</v>
      </c>
      <c r="B4" s="6"/>
    </row>
    <row r="5" spans="1:9">
      <c r="A5" s="7"/>
      <c r="B5" s="7"/>
    </row>
    <row r="6" spans="1:9">
      <c r="A6" s="29" t="s">
        <v>7</v>
      </c>
      <c r="B6" s="29" t="s">
        <v>8</v>
      </c>
      <c r="C6" s="31" t="s">
        <v>9</v>
      </c>
      <c r="D6" s="31" t="s">
        <v>10</v>
      </c>
      <c r="E6" s="31" t="s">
        <v>11</v>
      </c>
      <c r="F6" s="31" t="s">
        <v>12</v>
      </c>
      <c r="G6" s="31" t="s">
        <v>13</v>
      </c>
      <c r="H6" s="31" t="s">
        <v>14</v>
      </c>
      <c r="I6" s="31" t="s">
        <v>15</v>
      </c>
    </row>
    <row r="7" spans="1:9" ht="203.1" customHeight="1">
      <c r="A7" s="7" t="s">
        <v>16</v>
      </c>
      <c r="B7" s="5" t="s">
        <v>133</v>
      </c>
      <c r="C7" s="5" t="s">
        <v>134</v>
      </c>
      <c r="D7" s="5" t="s">
        <v>135</v>
      </c>
      <c r="E7" s="36" t="s">
        <v>103</v>
      </c>
      <c r="F7" s="5" t="s">
        <v>21</v>
      </c>
      <c r="G7" s="7" t="s">
        <v>22</v>
      </c>
      <c r="H7" s="5" t="s">
        <v>23</v>
      </c>
      <c r="I7" s="5" t="s">
        <v>24</v>
      </c>
    </row>
    <row r="8" spans="1:9" ht="153.94999999999999" customHeight="1">
      <c r="A8" s="7" t="s">
        <v>84</v>
      </c>
      <c r="B8" s="6" t="s">
        <v>136</v>
      </c>
      <c r="C8" s="5" t="s">
        <v>137</v>
      </c>
      <c r="D8" s="5" t="s">
        <v>138</v>
      </c>
      <c r="E8" s="48" t="s">
        <v>139</v>
      </c>
      <c r="F8" s="5" t="s">
        <v>140</v>
      </c>
      <c r="G8" s="5" t="s">
        <v>141</v>
      </c>
      <c r="H8" s="7" t="s">
        <v>91</v>
      </c>
      <c r="I8" s="5" t="s">
        <v>142</v>
      </c>
    </row>
    <row r="9" spans="1:9" ht="159.94999999999999" customHeight="1">
      <c r="A9" s="7" t="s">
        <v>25</v>
      </c>
      <c r="B9" s="5" t="s">
        <v>143</v>
      </c>
      <c r="C9" s="5" t="s">
        <v>144</v>
      </c>
      <c r="D9" s="5" t="s">
        <v>28</v>
      </c>
      <c r="E9" s="5" t="s">
        <v>145</v>
      </c>
      <c r="F9" s="7" t="s">
        <v>21</v>
      </c>
      <c r="G9" s="5" t="s">
        <v>30</v>
      </c>
      <c r="H9" s="5" t="s">
        <v>31</v>
      </c>
      <c r="I9" s="5" t="s">
        <v>146</v>
      </c>
    </row>
    <row r="10" spans="1:9" ht="409.5">
      <c r="A10" s="7" t="s">
        <v>40</v>
      </c>
      <c r="B10" s="6" t="s">
        <v>147</v>
      </c>
      <c r="C10" s="5" t="s">
        <v>148</v>
      </c>
      <c r="D10" s="5" t="s">
        <v>149</v>
      </c>
      <c r="E10" s="36" t="s">
        <v>150</v>
      </c>
      <c r="F10" s="7" t="s">
        <v>21</v>
      </c>
      <c r="G10" s="44" t="s">
        <v>151</v>
      </c>
      <c r="H10" s="46" t="s">
        <v>152</v>
      </c>
      <c r="I10" s="5" t="s">
        <v>153</v>
      </c>
    </row>
    <row r="11" spans="1:9" ht="170.1" customHeight="1">
      <c r="A11" s="7" t="s">
        <v>154</v>
      </c>
      <c r="B11" s="5" t="s">
        <v>155</v>
      </c>
      <c r="C11" s="7" t="s">
        <v>156</v>
      </c>
      <c r="D11" s="43" t="s">
        <v>157</v>
      </c>
      <c r="E11" s="47" t="s">
        <v>158</v>
      </c>
      <c r="F11" s="7" t="s">
        <v>21</v>
      </c>
      <c r="G11" s="7" t="s">
        <v>159</v>
      </c>
      <c r="H11" s="7" t="s">
        <v>71</v>
      </c>
      <c r="I11" s="5" t="s">
        <v>160</v>
      </c>
    </row>
    <row r="12" spans="1:9" ht="104.1" customHeight="1">
      <c r="A12" s="7" t="s">
        <v>161</v>
      </c>
      <c r="B12" s="6" t="s">
        <v>162</v>
      </c>
      <c r="C12" s="5" t="s">
        <v>163</v>
      </c>
      <c r="D12" s="33" t="s">
        <v>163</v>
      </c>
      <c r="E12" s="7" t="s">
        <v>164</v>
      </c>
      <c r="F12" s="7" t="s">
        <v>164</v>
      </c>
      <c r="G12" s="7" t="s">
        <v>164</v>
      </c>
      <c r="H12" s="7" t="s">
        <v>164</v>
      </c>
      <c r="I12" s="7" t="s">
        <v>39</v>
      </c>
    </row>
    <row r="13" spans="1:9" ht="408.75" customHeight="1">
      <c r="A13" s="7" t="s">
        <v>65</v>
      </c>
      <c r="B13" s="6" t="s">
        <v>165</v>
      </c>
      <c r="C13" s="6" t="s">
        <v>166</v>
      </c>
      <c r="D13" s="6" t="s">
        <v>167</v>
      </c>
      <c r="E13" s="6" t="s">
        <v>168</v>
      </c>
      <c r="F13" s="6" t="s">
        <v>169</v>
      </c>
      <c r="G13" s="6" t="s">
        <v>170</v>
      </c>
      <c r="H13" s="6" t="s">
        <v>171</v>
      </c>
      <c r="I13" s="6" t="s">
        <v>172</v>
      </c>
    </row>
    <row r="14" spans="1:9" ht="135" customHeight="1">
      <c r="A14" s="7" t="s">
        <v>173</v>
      </c>
      <c r="B14" s="6" t="s">
        <v>174</v>
      </c>
      <c r="C14" s="5" t="s">
        <v>175</v>
      </c>
      <c r="D14" s="5" t="s">
        <v>176</v>
      </c>
      <c r="E14" s="32" t="s">
        <v>177</v>
      </c>
      <c r="F14" s="7" t="s">
        <v>178</v>
      </c>
      <c r="G14" s="7" t="s">
        <v>179</v>
      </c>
      <c r="H14" s="7" t="s">
        <v>91</v>
      </c>
      <c r="I14" s="5" t="s">
        <v>180</v>
      </c>
    </row>
  </sheetData>
  <hyperlinks>
    <hyperlink ref="A4" r:id="rId1" xr:uid="{753AA028-5807-2444-BAA6-3803EF43AED7}"/>
    <hyperlink ref="B2" r:id="rId2" xr:uid="{8B141DE9-F553-AF4F-90E5-C40C81DADC0B}"/>
    <hyperlink ref="E7" r:id="rId3" location="2022_data" xr:uid="{7F1A5B17-79D5-452C-B4D4-5D02F3ACA08F}"/>
    <hyperlink ref="E10" r:id="rId4" xr:uid="{442B1484-1171-49CB-AAE1-7DB4A48E20AE}"/>
    <hyperlink ref="E14" r:id="rId5" display="https://cps.ipums.org/cps/ https://www.fdic.gov/resources/bankers/national-rates/previous-rates.html https://oui.doleta.gov/unemploy/data_summary/DataSum.asp https://www.dllr.state.md.us/employment/clmtguide/uiclmtpamphlet.pdf https://does.dc.gov/sites/default/files/dc/sites/does/page_content/attachments/9.12.19%20UI%20Claimant%27s%20Rights%20and%20Responsibilities.pdf https://law.lis.virginia.gov/vacode/title60.2/chapter6/section60.2-602/" xr:uid="{220993B2-57CA-4B8F-A47D-025BC85F81D5}"/>
    <hyperlink ref="E11" r:id="rId6" xr:uid="{B7464ED7-B3D3-4094-A490-1F9640DF06AE}"/>
    <hyperlink ref="E13" r:id="rId7" xr:uid="{54F0E719-3971-43D3-A0DA-0208F9ED872C}"/>
    <hyperlink ref="E8" r:id="rId8" xr:uid="{7EBFE4AE-02F3-499A-BB7E-698C4A44A0D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8FA72-7F94-5443-9985-2C7DAF8BF9F5}">
  <dimension ref="A1:H11"/>
  <sheetViews>
    <sheetView topLeftCell="A5" workbookViewId="0">
      <selection activeCell="D10" sqref="D10"/>
    </sheetView>
  </sheetViews>
  <sheetFormatPr defaultColWidth="11" defaultRowHeight="15.6"/>
  <cols>
    <col min="1" max="1" width="20.125" customWidth="1"/>
    <col min="2" max="2" width="24.5" customWidth="1"/>
    <col min="3" max="3" width="32.625" hidden="1" customWidth="1"/>
    <col min="4" max="4" width="20.5" customWidth="1"/>
    <col min="5" max="5" width="19.5" customWidth="1"/>
    <col min="6" max="6" width="22.125" customWidth="1"/>
  </cols>
  <sheetData>
    <row r="1" spans="1:8">
      <c r="A1" s="31" t="s">
        <v>181</v>
      </c>
    </row>
    <row r="3" spans="1:8">
      <c r="A3" s="31" t="s">
        <v>182</v>
      </c>
      <c r="B3" s="31" t="s">
        <v>183</v>
      </c>
      <c r="C3" s="31" t="s">
        <v>10</v>
      </c>
      <c r="D3" s="31" t="s">
        <v>11</v>
      </c>
      <c r="E3" s="31" t="s">
        <v>12</v>
      </c>
      <c r="F3" s="31" t="s">
        <v>13</v>
      </c>
      <c r="G3" s="31" t="s">
        <v>14</v>
      </c>
      <c r="H3" s="31" t="s">
        <v>15</v>
      </c>
    </row>
    <row r="4" spans="1:8" ht="96.95" customHeight="1">
      <c r="A4" s="7" t="s">
        <v>16</v>
      </c>
      <c r="B4" s="5" t="s">
        <v>184</v>
      </c>
      <c r="C4" s="7"/>
      <c r="D4" s="36" t="s">
        <v>185</v>
      </c>
      <c r="E4" s="7" t="s">
        <v>21</v>
      </c>
      <c r="F4" s="5" t="s">
        <v>186</v>
      </c>
      <c r="G4" s="7" t="s">
        <v>187</v>
      </c>
      <c r="H4" s="5" t="s">
        <v>188</v>
      </c>
    </row>
    <row r="5" spans="1:8" ht="201.75" customHeight="1">
      <c r="A5" s="7" t="s">
        <v>25</v>
      </c>
      <c r="B5" s="5" t="s">
        <v>189</v>
      </c>
      <c r="C5" s="7"/>
      <c r="D5" s="5" t="s">
        <v>29</v>
      </c>
      <c r="E5" s="7" t="s">
        <v>21</v>
      </c>
      <c r="F5" s="5" t="s">
        <v>30</v>
      </c>
      <c r="G5" s="5" t="s">
        <v>31</v>
      </c>
      <c r="H5" s="7"/>
    </row>
    <row r="6" spans="1:8" ht="66" customHeight="1">
      <c r="A6" s="7" t="s">
        <v>33</v>
      </c>
      <c r="B6" s="5" t="s">
        <v>190</v>
      </c>
      <c r="C6" s="5"/>
      <c r="D6" s="5" t="s">
        <v>191</v>
      </c>
      <c r="E6" s="7" t="s">
        <v>21</v>
      </c>
      <c r="F6" s="5" t="s">
        <v>192</v>
      </c>
      <c r="G6" s="5" t="s">
        <v>193</v>
      </c>
      <c r="H6" s="5" t="s">
        <v>194</v>
      </c>
    </row>
    <row r="7" spans="1:8" ht="46.5">
      <c r="A7" s="7" t="s">
        <v>40</v>
      </c>
      <c r="B7" s="7" t="s">
        <v>195</v>
      </c>
      <c r="C7" s="7"/>
      <c r="D7" s="36" t="s">
        <v>44</v>
      </c>
      <c r="E7" s="50" t="s">
        <v>21</v>
      </c>
      <c r="F7" s="50" t="s">
        <v>45</v>
      </c>
      <c r="G7" s="49" t="s">
        <v>196</v>
      </c>
      <c r="H7" s="5" t="s">
        <v>197</v>
      </c>
    </row>
    <row r="8" spans="1:8" ht="201.6">
      <c r="A8" s="7" t="s">
        <v>48</v>
      </c>
      <c r="B8" s="5" t="s">
        <v>198</v>
      </c>
      <c r="C8" s="7"/>
      <c r="D8" s="5" t="s">
        <v>97</v>
      </c>
      <c r="E8" s="5" t="s">
        <v>21</v>
      </c>
      <c r="F8" s="5" t="s">
        <v>98</v>
      </c>
      <c r="G8" s="5" t="s">
        <v>199</v>
      </c>
      <c r="H8" s="7"/>
    </row>
    <row r="9" spans="1:8" ht="62.1">
      <c r="A9" s="5" t="s">
        <v>200</v>
      </c>
      <c r="B9" s="5" t="s">
        <v>201</v>
      </c>
      <c r="C9" s="7"/>
      <c r="D9" s="5" t="s">
        <v>202</v>
      </c>
      <c r="E9" s="7" t="s">
        <v>21</v>
      </c>
      <c r="F9" s="5" t="s">
        <v>203</v>
      </c>
      <c r="G9" s="5" t="s">
        <v>204</v>
      </c>
      <c r="H9" s="7"/>
    </row>
    <row r="10" spans="1:8" ht="77.45">
      <c r="A10" s="5" t="s">
        <v>65</v>
      </c>
      <c r="B10" s="5" t="s">
        <v>205</v>
      </c>
      <c r="C10" s="7"/>
      <c r="D10" s="36" t="s">
        <v>69</v>
      </c>
      <c r="E10" s="7" t="s">
        <v>21</v>
      </c>
      <c r="F10" s="7" t="s">
        <v>70</v>
      </c>
      <c r="G10" s="7" t="s">
        <v>71</v>
      </c>
      <c r="H10" s="7"/>
    </row>
    <row r="11" spans="1:8">
      <c r="A11" s="7"/>
      <c r="B11" s="7"/>
      <c r="C11" s="7"/>
      <c r="D11" s="7"/>
      <c r="E11" s="7"/>
    </row>
  </sheetData>
  <hyperlinks>
    <hyperlink ref="D4" r:id="rId1" xr:uid="{881263CB-E6B0-475A-97EE-58DD6B7E9E4F}"/>
    <hyperlink ref="D7" r:id="rId2" xr:uid="{D9696993-9F46-AB48-B46D-0384694819A2}"/>
    <hyperlink ref="D10" r:id="rId3" xr:uid="{C7620171-6C63-5E49-8D6B-C91CDD244FC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9F474-787E-4A17-AD6E-2D65C1F7F613}">
  <dimension ref="A1:G14"/>
  <sheetViews>
    <sheetView zoomScale="83" zoomScaleNormal="85" workbookViewId="0">
      <selection activeCell="C4" sqref="C4"/>
    </sheetView>
  </sheetViews>
  <sheetFormatPr defaultColWidth="8.875" defaultRowHeight="15.6"/>
  <cols>
    <col min="1" max="1" width="18.625" customWidth="1"/>
    <col min="2" max="2" width="52.5" customWidth="1"/>
    <col min="3" max="3" width="35" customWidth="1"/>
    <col min="4" max="4" width="14.625" customWidth="1"/>
    <col min="5" max="5" width="22.875" customWidth="1"/>
    <col min="6" max="6" width="16.125" customWidth="1"/>
    <col min="7" max="7" width="47.125" customWidth="1"/>
  </cols>
  <sheetData>
    <row r="1" spans="1:7" ht="33.6">
      <c r="A1" s="85" t="s">
        <v>206</v>
      </c>
      <c r="B1" s="85"/>
      <c r="C1" s="85"/>
      <c r="D1" s="85"/>
      <c r="E1" s="85"/>
      <c r="F1" s="85"/>
      <c r="G1" s="85"/>
    </row>
    <row r="2" spans="1:7" ht="26.45" thickBot="1">
      <c r="A2" s="86" t="s">
        <v>207</v>
      </c>
      <c r="B2" s="86"/>
      <c r="C2" s="86"/>
      <c r="D2" s="86"/>
      <c r="E2" s="86"/>
      <c r="F2" s="86"/>
      <c r="G2" s="86"/>
    </row>
    <row r="3" spans="1:7" ht="30" customHeight="1">
      <c r="A3" s="53" t="s">
        <v>182</v>
      </c>
      <c r="B3" s="52" t="s">
        <v>183</v>
      </c>
      <c r="C3" s="52" t="s">
        <v>11</v>
      </c>
      <c r="D3" s="52" t="s">
        <v>12</v>
      </c>
      <c r="E3" s="52" t="s">
        <v>13</v>
      </c>
      <c r="F3" s="52" t="s">
        <v>14</v>
      </c>
      <c r="G3" s="52" t="s">
        <v>15</v>
      </c>
    </row>
    <row r="4" spans="1:7" ht="46.5">
      <c r="A4" s="54" t="s">
        <v>16</v>
      </c>
      <c r="B4" s="69" t="s">
        <v>208</v>
      </c>
      <c r="C4" s="81" t="s">
        <v>185</v>
      </c>
      <c r="D4" s="60" t="s">
        <v>21</v>
      </c>
      <c r="E4" s="51" t="s">
        <v>209</v>
      </c>
      <c r="F4" s="60" t="s">
        <v>210</v>
      </c>
      <c r="G4" s="74" t="s">
        <v>188</v>
      </c>
    </row>
    <row r="5" spans="1:7" ht="51" customHeight="1">
      <c r="A5" s="87" t="s">
        <v>25</v>
      </c>
      <c r="B5" s="77" t="s">
        <v>211</v>
      </c>
      <c r="C5" s="76" t="s">
        <v>79</v>
      </c>
      <c r="D5" s="88" t="s">
        <v>21</v>
      </c>
      <c r="E5" s="57" t="s">
        <v>212</v>
      </c>
      <c r="F5" s="58" t="s">
        <v>64</v>
      </c>
      <c r="G5" s="89" t="s">
        <v>213</v>
      </c>
    </row>
    <row r="6" spans="1:7" ht="46.5">
      <c r="A6" s="87"/>
      <c r="B6" s="70" t="s">
        <v>214</v>
      </c>
      <c r="C6" s="57" t="s">
        <v>215</v>
      </c>
      <c r="D6" s="88"/>
      <c r="E6" s="57" t="s">
        <v>216</v>
      </c>
      <c r="F6" s="57" t="s">
        <v>91</v>
      </c>
      <c r="G6" s="89"/>
    </row>
    <row r="7" spans="1:7" ht="63" customHeight="1">
      <c r="A7" s="83" t="s">
        <v>33</v>
      </c>
      <c r="B7" s="69" t="s">
        <v>217</v>
      </c>
      <c r="C7" s="75" t="s">
        <v>218</v>
      </c>
      <c r="D7" s="60" t="s">
        <v>21</v>
      </c>
      <c r="E7" s="59">
        <v>2022</v>
      </c>
      <c r="F7" s="59" t="s">
        <v>91</v>
      </c>
      <c r="G7" s="59" t="s">
        <v>219</v>
      </c>
    </row>
    <row r="8" spans="1:7" ht="63" customHeight="1">
      <c r="A8" s="83"/>
      <c r="B8" s="69" t="s">
        <v>220</v>
      </c>
      <c r="C8" s="75" t="s">
        <v>221</v>
      </c>
      <c r="D8" s="60" t="s">
        <v>21</v>
      </c>
      <c r="E8" s="59" t="s">
        <v>222</v>
      </c>
      <c r="F8" s="59" t="s">
        <v>91</v>
      </c>
      <c r="G8" s="59"/>
    </row>
    <row r="9" spans="1:7" ht="51" customHeight="1">
      <c r="A9" s="55" t="s">
        <v>40</v>
      </c>
      <c r="B9" s="71" t="s">
        <v>223</v>
      </c>
      <c r="C9" s="76" t="s">
        <v>44</v>
      </c>
      <c r="D9" s="61" t="s">
        <v>21</v>
      </c>
      <c r="E9" s="62" t="s">
        <v>224</v>
      </c>
      <c r="F9" s="62" t="s">
        <v>225</v>
      </c>
      <c r="G9" s="57" t="s">
        <v>226</v>
      </c>
    </row>
    <row r="10" spans="1:7" ht="51" customHeight="1">
      <c r="A10" s="83" t="s">
        <v>48</v>
      </c>
      <c r="B10" s="72" t="s">
        <v>227</v>
      </c>
      <c r="C10" s="65" t="s">
        <v>228</v>
      </c>
      <c r="D10" s="67" t="s">
        <v>21</v>
      </c>
      <c r="E10" s="67" t="s">
        <v>229</v>
      </c>
      <c r="F10" s="68" t="s">
        <v>210</v>
      </c>
      <c r="G10" s="66" t="s">
        <v>230</v>
      </c>
    </row>
    <row r="11" spans="1:7" ht="49.5" customHeight="1">
      <c r="A11" s="83"/>
      <c r="B11" s="78" t="s">
        <v>231</v>
      </c>
      <c r="C11" s="65" t="s">
        <v>158</v>
      </c>
      <c r="D11" s="59" t="s">
        <v>21</v>
      </c>
      <c r="E11" s="59" t="s">
        <v>159</v>
      </c>
      <c r="F11" s="59" t="s">
        <v>232</v>
      </c>
      <c r="G11" s="80" t="s">
        <v>233</v>
      </c>
    </row>
    <row r="12" spans="1:7" ht="66.75" customHeight="1">
      <c r="A12" s="84" t="s">
        <v>57</v>
      </c>
      <c r="B12" s="70" t="s">
        <v>234</v>
      </c>
      <c r="C12" s="57" t="s">
        <v>228</v>
      </c>
      <c r="D12" s="58" t="s">
        <v>21</v>
      </c>
      <c r="E12" s="57" t="s">
        <v>229</v>
      </c>
      <c r="F12" s="57" t="s">
        <v>210</v>
      </c>
      <c r="G12" s="57" t="s">
        <v>235</v>
      </c>
    </row>
    <row r="13" spans="1:7" ht="45.75" customHeight="1">
      <c r="A13" s="84"/>
      <c r="B13" s="77" t="s">
        <v>236</v>
      </c>
      <c r="C13" s="57" t="s">
        <v>237</v>
      </c>
      <c r="D13" s="58" t="s">
        <v>21</v>
      </c>
      <c r="E13" s="57">
        <v>2021</v>
      </c>
      <c r="F13" s="57" t="s">
        <v>225</v>
      </c>
      <c r="G13" s="79" t="s">
        <v>233</v>
      </c>
    </row>
    <row r="14" spans="1:7" ht="51" customHeight="1">
      <c r="A14" s="56" t="s">
        <v>65</v>
      </c>
      <c r="B14" s="73" t="s">
        <v>238</v>
      </c>
      <c r="C14" s="63" t="s">
        <v>239</v>
      </c>
      <c r="D14" s="64" t="s">
        <v>21</v>
      </c>
      <c r="E14" s="64" t="s">
        <v>70</v>
      </c>
      <c r="F14" s="64" t="s">
        <v>71</v>
      </c>
      <c r="G14" s="63" t="s">
        <v>240</v>
      </c>
    </row>
  </sheetData>
  <mergeCells count="8">
    <mergeCell ref="A10:A11"/>
    <mergeCell ref="A12:A13"/>
    <mergeCell ref="A1:G1"/>
    <mergeCell ref="A2:G2"/>
    <mergeCell ref="A5:A6"/>
    <mergeCell ref="D5:D6"/>
    <mergeCell ref="G5:G6"/>
    <mergeCell ref="A7:A8"/>
  </mergeCells>
  <phoneticPr fontId="23" type="noConversion"/>
  <hyperlinks>
    <hyperlink ref="C4" r:id="rId1" xr:uid="{FA6C71BF-1D58-4F1C-9636-C740915752A3}"/>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C3BC9-A557-BB46-9C7E-CBEA9E061DD6}">
  <dimension ref="A1:G29"/>
  <sheetViews>
    <sheetView workbookViewId="0">
      <selection activeCell="C7" sqref="C7"/>
    </sheetView>
  </sheetViews>
  <sheetFormatPr defaultColWidth="11" defaultRowHeight="15.6"/>
  <cols>
    <col min="1" max="1" width="18.375" customWidth="1"/>
    <col min="2" max="2" width="15.375" customWidth="1"/>
    <col min="3" max="3" width="16.5" customWidth="1"/>
    <col min="4" max="4" width="16" customWidth="1"/>
  </cols>
  <sheetData>
    <row r="1" spans="1:7" ht="18.600000000000001">
      <c r="A1" s="90" t="s">
        <v>241</v>
      </c>
      <c r="B1" s="90"/>
      <c r="C1" s="90"/>
      <c r="D1" s="90"/>
    </row>
    <row r="2" spans="1:7" ht="18.600000000000001">
      <c r="A2" s="12" t="s">
        <v>7</v>
      </c>
      <c r="B2" s="13" t="s">
        <v>242</v>
      </c>
      <c r="C2" s="14" t="s">
        <v>243</v>
      </c>
      <c r="D2" s="15" t="s">
        <v>244</v>
      </c>
    </row>
    <row r="3" spans="1:7" ht="18.600000000000001">
      <c r="A3" s="16" t="s">
        <v>16</v>
      </c>
      <c r="B3" s="17">
        <v>1693</v>
      </c>
      <c r="C3" s="37">
        <v>1637.0833333333333</v>
      </c>
      <c r="D3" s="19">
        <v>1722</v>
      </c>
      <c r="E3" s="26"/>
    </row>
    <row r="4" spans="1:7" ht="18.600000000000001">
      <c r="A4" s="16" t="s">
        <v>25</v>
      </c>
      <c r="B4" s="17">
        <v>335</v>
      </c>
      <c r="C4" s="37">
        <v>279.25</v>
      </c>
      <c r="D4" s="19">
        <v>332</v>
      </c>
      <c r="E4" s="26"/>
    </row>
    <row r="5" spans="1:7" ht="18.600000000000001">
      <c r="A5" s="16" t="s">
        <v>33</v>
      </c>
      <c r="B5" s="17">
        <v>0</v>
      </c>
      <c r="C5" s="37">
        <v>0</v>
      </c>
      <c r="D5" s="38">
        <v>0</v>
      </c>
      <c r="E5" s="26"/>
    </row>
    <row r="6" spans="1:7" ht="18.600000000000001">
      <c r="A6" s="16" t="s">
        <v>40</v>
      </c>
      <c r="B6" s="17">
        <v>734</v>
      </c>
      <c r="C6" s="37">
        <v>459.08333333333331</v>
      </c>
      <c r="D6" s="19">
        <v>303</v>
      </c>
      <c r="E6" s="26"/>
    </row>
    <row r="7" spans="1:7" ht="18.600000000000001">
      <c r="A7" s="16" t="s">
        <v>48</v>
      </c>
      <c r="B7" s="17">
        <v>428</v>
      </c>
      <c r="C7" s="37">
        <v>228</v>
      </c>
      <c r="D7" s="19">
        <v>209</v>
      </c>
      <c r="E7" s="26"/>
    </row>
    <row r="8" spans="1:7" ht="18.600000000000001">
      <c r="A8" s="16" t="s">
        <v>57</v>
      </c>
      <c r="B8" s="17">
        <v>735</v>
      </c>
      <c r="C8" s="37">
        <v>375.66666666666669</v>
      </c>
      <c r="D8" s="19">
        <v>257</v>
      </c>
      <c r="E8" s="26"/>
    </row>
    <row r="9" spans="1:7" ht="18.600000000000001">
      <c r="A9" s="16" t="s">
        <v>65</v>
      </c>
      <c r="B9" s="17">
        <v>911</v>
      </c>
      <c r="C9" s="37">
        <v>784.5</v>
      </c>
      <c r="D9" s="19">
        <v>737</v>
      </c>
      <c r="E9" s="26"/>
    </row>
    <row r="10" spans="1:7" ht="18.600000000000001">
      <c r="A10" s="16" t="s">
        <v>117</v>
      </c>
      <c r="B10" s="17"/>
      <c r="C10" s="37">
        <v>208.583333333333</v>
      </c>
      <c r="D10" s="38"/>
    </row>
    <row r="11" spans="1:7" ht="18.600000000000001">
      <c r="A11" s="16" t="s">
        <v>173</v>
      </c>
      <c r="B11" s="20"/>
      <c r="C11" s="37"/>
      <c r="D11" s="39">
        <v>86</v>
      </c>
    </row>
    <row r="12" spans="1:7" ht="18.600000000000001">
      <c r="A12" s="16" t="s">
        <v>245</v>
      </c>
      <c r="B12" s="20">
        <f>SUM(B3:B11)</f>
        <v>4836</v>
      </c>
      <c r="C12" s="40">
        <f>SUM(C3:C11)</f>
        <v>3972.1666666666661</v>
      </c>
      <c r="D12" s="41">
        <f t="shared" ref="D12" si="0">SUM(D3:D11)</f>
        <v>3646</v>
      </c>
    </row>
    <row r="13" spans="1:7" ht="18.600000000000001">
      <c r="A13" s="10" t="s">
        <v>246</v>
      </c>
      <c r="B13" s="9">
        <v>27.9</v>
      </c>
      <c r="C13" s="9">
        <v>22.98</v>
      </c>
      <c r="D13" s="9">
        <v>20.22</v>
      </c>
    </row>
    <row r="14" spans="1:7" ht="18.600000000000001">
      <c r="A14" s="10" t="s">
        <v>247</v>
      </c>
      <c r="B14" s="11">
        <v>58035</v>
      </c>
      <c r="C14" s="11">
        <v>47788</v>
      </c>
      <c r="D14" s="11">
        <v>42714</v>
      </c>
      <c r="E14">
        <f>B14/B12</f>
        <v>12.000620347394541</v>
      </c>
      <c r="F14">
        <f>C14/C12</f>
        <v>12.030713716275754</v>
      </c>
      <c r="G14">
        <f>D14/D12</f>
        <v>11.715304443225453</v>
      </c>
    </row>
    <row r="15" spans="1:7" ht="18.600000000000001">
      <c r="A15" s="8"/>
      <c r="B15" s="8"/>
      <c r="C15" s="8"/>
      <c r="D15" s="8"/>
    </row>
    <row r="16" spans="1:7" ht="18.600000000000001">
      <c r="A16" s="90" t="s">
        <v>248</v>
      </c>
      <c r="B16" s="90"/>
      <c r="C16" s="90"/>
      <c r="D16" s="90"/>
    </row>
    <row r="17" spans="1:7" ht="18.600000000000001">
      <c r="A17" s="24" t="s">
        <v>7</v>
      </c>
      <c r="B17" s="13" t="s">
        <v>242</v>
      </c>
      <c r="C17" s="14" t="s">
        <v>243</v>
      </c>
      <c r="D17" s="15" t="s">
        <v>244</v>
      </c>
    </row>
    <row r="18" spans="1:7" ht="18.600000000000001">
      <c r="A18" s="16" t="s">
        <v>16</v>
      </c>
      <c r="B18" s="17">
        <v>1975</v>
      </c>
      <c r="C18" s="27">
        <v>1909.75</v>
      </c>
      <c r="D18" s="19">
        <v>1962</v>
      </c>
    </row>
    <row r="19" spans="1:7" ht="18.600000000000001">
      <c r="A19" s="16" t="s">
        <v>25</v>
      </c>
      <c r="B19" s="17">
        <v>966</v>
      </c>
      <c r="C19" s="28">
        <v>821.33333333333337</v>
      </c>
      <c r="D19" s="19">
        <v>1013</v>
      </c>
    </row>
    <row r="20" spans="1:7" ht="18.600000000000001">
      <c r="A20" s="16" t="s">
        <v>33</v>
      </c>
      <c r="B20" s="17">
        <v>1815</v>
      </c>
      <c r="C20" s="27">
        <v>2406.6666666666665</v>
      </c>
      <c r="D20" s="19">
        <v>2563</v>
      </c>
    </row>
    <row r="21" spans="1:7" ht="18.600000000000001">
      <c r="A21" s="16" t="s">
        <v>40</v>
      </c>
      <c r="B21" s="17">
        <v>1154</v>
      </c>
      <c r="C21" s="27">
        <v>1251</v>
      </c>
      <c r="D21" s="19">
        <v>596</v>
      </c>
    </row>
    <row r="22" spans="1:7" ht="18.600000000000001">
      <c r="A22" s="16" t="s">
        <v>48</v>
      </c>
      <c r="B22" s="17">
        <v>1294</v>
      </c>
      <c r="C22" s="27">
        <v>705.58333333333337</v>
      </c>
      <c r="D22" s="19">
        <v>749</v>
      </c>
    </row>
    <row r="23" spans="1:7" ht="18.600000000000001">
      <c r="A23" s="16" t="s">
        <v>57</v>
      </c>
      <c r="B23" s="17">
        <v>1067</v>
      </c>
      <c r="C23" s="27">
        <v>745.66666666666663</v>
      </c>
      <c r="D23" s="19">
        <v>688</v>
      </c>
    </row>
    <row r="24" spans="1:7" ht="18.600000000000001">
      <c r="A24" s="16" t="s">
        <v>65</v>
      </c>
      <c r="B24" s="17">
        <v>1523</v>
      </c>
      <c r="C24" s="27">
        <v>2058.4166666666665</v>
      </c>
      <c r="D24" s="19">
        <v>1996</v>
      </c>
    </row>
    <row r="25" spans="1:7" ht="18.600000000000001">
      <c r="A25" s="16" t="s">
        <v>117</v>
      </c>
      <c r="B25" s="17"/>
      <c r="C25" s="27">
        <v>540.25</v>
      </c>
      <c r="D25" s="19"/>
    </row>
    <row r="26" spans="1:7" ht="18.600000000000001">
      <c r="A26" s="16" t="s">
        <v>173</v>
      </c>
      <c r="B26" s="20"/>
      <c r="C26" s="27"/>
      <c r="D26" s="19">
        <v>135</v>
      </c>
    </row>
    <row r="27" spans="1:7" ht="18.600000000000001">
      <c r="A27" s="16" t="s">
        <v>245</v>
      </c>
      <c r="B27" s="20">
        <f>SUM(B18:B26)</f>
        <v>9794</v>
      </c>
      <c r="C27" s="40">
        <f>SUM(C18:C26)</f>
        <v>10438.666666666666</v>
      </c>
      <c r="D27" s="41">
        <f t="shared" ref="D27" si="1">SUM(D18:D26)</f>
        <v>9702</v>
      </c>
    </row>
    <row r="28" spans="1:7" ht="18.600000000000001">
      <c r="A28" s="10" t="s">
        <v>246</v>
      </c>
      <c r="B28" s="21">
        <v>28.26</v>
      </c>
      <c r="C28" s="21">
        <v>30.14</v>
      </c>
      <c r="D28" s="22">
        <v>25.95</v>
      </c>
    </row>
    <row r="29" spans="1:7" ht="18.600000000000001">
      <c r="A29" s="10" t="s">
        <v>247</v>
      </c>
      <c r="B29" s="25">
        <v>117561</v>
      </c>
      <c r="C29" s="23">
        <v>125387</v>
      </c>
      <c r="D29" s="23">
        <v>109614</v>
      </c>
      <c r="E29">
        <f>B29/B27</f>
        <v>12.003369409842762</v>
      </c>
      <c r="F29">
        <f>C29/C27</f>
        <v>12.0117831140631</v>
      </c>
      <c r="G29">
        <f>D29/D27</f>
        <v>11.298082869511441</v>
      </c>
    </row>
  </sheetData>
  <mergeCells count="2">
    <mergeCell ref="A1:D1"/>
    <mergeCell ref="A16:D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9208-8E1D-B643-9C3A-DCBFAB690202}">
  <dimension ref="A1:H29"/>
  <sheetViews>
    <sheetView tabSelected="1" zoomScaleNormal="140" workbookViewId="0">
      <selection activeCell="C14" sqref="C14"/>
    </sheetView>
  </sheetViews>
  <sheetFormatPr defaultColWidth="11" defaultRowHeight="15.6"/>
  <cols>
    <col min="1" max="1" width="20" customWidth="1"/>
    <col min="2" max="2" width="15.625" customWidth="1"/>
    <col min="3" max="3" width="16" customWidth="1"/>
    <col min="4" max="4" width="15.875" customWidth="1"/>
    <col min="5" max="7" width="11.875" bestFit="1" customWidth="1"/>
  </cols>
  <sheetData>
    <row r="1" spans="1:7" ht="18.600000000000001">
      <c r="A1" s="90" t="s">
        <v>241</v>
      </c>
      <c r="B1" s="90"/>
      <c r="C1" s="90"/>
      <c r="D1" s="90"/>
    </row>
    <row r="2" spans="1:7" ht="18.600000000000001">
      <c r="A2" s="12" t="s">
        <v>7</v>
      </c>
      <c r="B2" s="13" t="s">
        <v>242</v>
      </c>
      <c r="C2" s="14" t="s">
        <v>243</v>
      </c>
      <c r="D2" s="15" t="s">
        <v>244</v>
      </c>
    </row>
    <row r="3" spans="1:7" ht="18.600000000000001">
      <c r="A3" s="16" t="s">
        <v>16</v>
      </c>
      <c r="B3" s="17">
        <v>1712</v>
      </c>
      <c r="C3" s="37">
        <v>1457</v>
      </c>
      <c r="D3" s="19">
        <v>1852.06</v>
      </c>
    </row>
    <row r="4" spans="1:7" ht="18.600000000000001">
      <c r="A4" s="16" t="s">
        <v>25</v>
      </c>
      <c r="B4" s="17">
        <v>335</v>
      </c>
      <c r="C4" s="37">
        <v>264.75</v>
      </c>
      <c r="D4" s="19">
        <v>374.55</v>
      </c>
      <c r="F4" s="82">
        <f>B3+B4</f>
        <v>2047</v>
      </c>
    </row>
    <row r="5" spans="1:7" ht="18.600000000000001">
      <c r="A5" s="16" t="s">
        <v>33</v>
      </c>
      <c r="B5" s="17">
        <v>0</v>
      </c>
      <c r="C5" s="37">
        <v>0</v>
      </c>
      <c r="D5" s="38">
        <v>0</v>
      </c>
      <c r="F5" s="82">
        <f>F4*0.36</f>
        <v>736.92</v>
      </c>
    </row>
    <row r="6" spans="1:7" ht="18.600000000000001">
      <c r="A6" s="16" t="s">
        <v>40</v>
      </c>
      <c r="B6" s="17">
        <v>534</v>
      </c>
      <c r="C6" s="37">
        <v>426.08333333333331</v>
      </c>
      <c r="D6" s="19">
        <v>189</v>
      </c>
      <c r="E6" s="82">
        <f>D6*12</f>
        <v>2268</v>
      </c>
    </row>
    <row r="7" spans="1:7" ht="18.600000000000001">
      <c r="A7" s="16" t="s">
        <v>48</v>
      </c>
      <c r="B7" s="17">
        <v>313</v>
      </c>
      <c r="C7" s="37">
        <v>238.83333333333334</v>
      </c>
      <c r="D7" s="19">
        <v>221.12</v>
      </c>
      <c r="E7">
        <f>B7*12/B14</f>
        <v>6.6807776453638321E-2</v>
      </c>
      <c r="F7">
        <f t="shared" ref="F7:G7" si="0">C7*12/C14</f>
        <v>6.9165238796244907E-2</v>
      </c>
      <c r="G7">
        <f t="shared" si="0"/>
        <v>6.031093735794163E-2</v>
      </c>
    </row>
    <row r="8" spans="1:7" ht="18.600000000000001">
      <c r="A8" s="16" t="s">
        <v>57</v>
      </c>
      <c r="B8" s="17">
        <v>826</v>
      </c>
      <c r="C8" s="37">
        <v>239.58333333333334</v>
      </c>
      <c r="D8" s="19">
        <v>263.67</v>
      </c>
      <c r="E8" s="42"/>
      <c r="F8" s="42"/>
      <c r="G8" s="42"/>
    </row>
    <row r="9" spans="1:7" ht="18.600000000000001">
      <c r="A9" s="16" t="s">
        <v>65</v>
      </c>
      <c r="B9" s="17">
        <v>967</v>
      </c>
      <c r="C9" s="37">
        <v>675.83333333333337</v>
      </c>
      <c r="D9" s="19">
        <v>765.96</v>
      </c>
      <c r="E9" s="42">
        <f>B9/B12</f>
        <v>0.20631534030296564</v>
      </c>
      <c r="F9" s="42">
        <f t="shared" ref="F9:G9" si="1">C9/C12</f>
        <v>0.1957235254368182</v>
      </c>
      <c r="G9" s="42">
        <f t="shared" si="1"/>
        <v>0.20402748921208247</v>
      </c>
    </row>
    <row r="10" spans="1:7" ht="18.600000000000001">
      <c r="A10" s="16" t="s">
        <v>117</v>
      </c>
      <c r="B10" s="17"/>
      <c r="C10" s="37">
        <v>150.91666666666666</v>
      </c>
      <c r="D10" s="38"/>
    </row>
    <row r="11" spans="1:7" ht="18.600000000000001">
      <c r="A11" s="16" t="s">
        <v>173</v>
      </c>
      <c r="B11" s="20"/>
      <c r="C11" s="37"/>
      <c r="D11" s="39">
        <v>87.84</v>
      </c>
    </row>
    <row r="12" spans="1:7" ht="18.600000000000001">
      <c r="A12" s="16" t="s">
        <v>245</v>
      </c>
      <c r="B12" s="20">
        <f>SUM(B3:B11)</f>
        <v>4687</v>
      </c>
      <c r="C12" s="40">
        <f>SUM(C3:C11)</f>
        <v>3453.0000000000005</v>
      </c>
      <c r="D12" s="41">
        <f t="shared" ref="D12" si="2">SUM(D3:D11)</f>
        <v>3754.2000000000003</v>
      </c>
    </row>
    <row r="13" spans="1:7" ht="18.600000000000001">
      <c r="A13" s="10" t="s">
        <v>246</v>
      </c>
      <c r="B13" s="9">
        <v>27.03</v>
      </c>
      <c r="C13" s="9">
        <v>19.920000000000002</v>
      </c>
      <c r="D13" s="9">
        <v>20.83</v>
      </c>
    </row>
    <row r="14" spans="1:7" ht="18.600000000000001">
      <c r="A14" s="10" t="s">
        <v>247</v>
      </c>
      <c r="B14" s="11">
        <v>56221</v>
      </c>
      <c r="C14" s="11">
        <v>41437</v>
      </c>
      <c r="D14" s="11">
        <v>43996</v>
      </c>
      <c r="E14">
        <f>B14/B12</f>
        <v>11.995092809899722</v>
      </c>
      <c r="F14">
        <f>C14/C12</f>
        <v>12.000289603243555</v>
      </c>
      <c r="G14">
        <f>D14/D12</f>
        <v>11.719141228490756</v>
      </c>
    </row>
    <row r="15" spans="1:7" ht="18.600000000000001">
      <c r="A15" s="8"/>
      <c r="B15" s="8">
        <f>B9*12/B14</f>
        <v>0.20639974386794971</v>
      </c>
      <c r="C15" s="8">
        <f>C9*12/C14</f>
        <v>0.19571880203682698</v>
      </c>
      <c r="D15" s="8">
        <f>D9*12/D14</f>
        <v>0.20891717428857171</v>
      </c>
    </row>
    <row r="16" spans="1:7" ht="18.600000000000001">
      <c r="A16" s="90" t="s">
        <v>248</v>
      </c>
      <c r="B16" s="90"/>
      <c r="C16" s="90"/>
      <c r="D16" s="90"/>
    </row>
    <row r="17" spans="1:8" ht="18.600000000000001">
      <c r="A17" s="24" t="s">
        <v>7</v>
      </c>
      <c r="B17" s="13" t="s">
        <v>242</v>
      </c>
      <c r="C17" s="14" t="s">
        <v>243</v>
      </c>
      <c r="D17" s="15" t="s">
        <v>244</v>
      </c>
    </row>
    <row r="18" spans="1:8" ht="18.600000000000001">
      <c r="A18" s="16" t="s">
        <v>16</v>
      </c>
      <c r="B18" s="17">
        <v>2040</v>
      </c>
      <c r="C18" s="18">
        <v>1707</v>
      </c>
      <c r="D18" s="19">
        <v>2109.13</v>
      </c>
      <c r="E18">
        <f t="shared" ref="E18:E21" si="3">B18/B$27</f>
        <v>0.21489518592647214</v>
      </c>
      <c r="F18">
        <f t="shared" ref="F18:F21" si="4">C18/C$27</f>
        <v>0.16773115849464482</v>
      </c>
      <c r="G18">
        <f t="shared" ref="G18:G21" si="5">D18/D$27</f>
        <v>0.19445850470719159</v>
      </c>
      <c r="H18" t="s">
        <v>249</v>
      </c>
    </row>
    <row r="19" spans="1:8" ht="18.600000000000001">
      <c r="A19" s="16" t="s">
        <v>25</v>
      </c>
      <c r="B19" s="17">
        <v>966</v>
      </c>
      <c r="C19" s="18">
        <v>775.41666666666663</v>
      </c>
      <c r="D19" s="19">
        <v>1143.53</v>
      </c>
      <c r="E19">
        <f t="shared" si="3"/>
        <v>0.10175919098282946</v>
      </c>
      <c r="F19">
        <f t="shared" si="4"/>
        <v>7.6193049687203182E-2</v>
      </c>
      <c r="G19">
        <f t="shared" si="5"/>
        <v>0.10543168694571448</v>
      </c>
    </row>
    <row r="20" spans="1:8" ht="18.600000000000001">
      <c r="A20" s="16" t="s">
        <v>33</v>
      </c>
      <c r="B20" s="17">
        <v>1801</v>
      </c>
      <c r="C20" s="18">
        <v>3025</v>
      </c>
      <c r="D20" s="19">
        <v>3106.2</v>
      </c>
      <c r="E20">
        <f t="shared" si="3"/>
        <v>0.18971874012430212</v>
      </c>
      <c r="F20">
        <f t="shared" si="4"/>
        <v>0.29723887196619836</v>
      </c>
      <c r="G20">
        <f t="shared" si="5"/>
        <v>0.28638680750901008</v>
      </c>
    </row>
    <row r="21" spans="1:8" ht="18.600000000000001">
      <c r="A21" s="16" t="s">
        <v>40</v>
      </c>
      <c r="B21" s="17">
        <v>854</v>
      </c>
      <c r="C21" s="18">
        <v>1158</v>
      </c>
      <c r="D21" s="19">
        <v>378</v>
      </c>
      <c r="E21">
        <f t="shared" si="3"/>
        <v>8.9961023912356469E-2</v>
      </c>
      <c r="F21">
        <f t="shared" si="4"/>
        <v>0.11378598801218436</v>
      </c>
      <c r="G21">
        <f t="shared" si="5"/>
        <v>3.4851011924024795E-2</v>
      </c>
    </row>
    <row r="22" spans="1:8" ht="18.600000000000001">
      <c r="A22" s="16" t="s">
        <v>48</v>
      </c>
      <c r="B22" s="17">
        <v>949</v>
      </c>
      <c r="C22" s="18">
        <v>699.5</v>
      </c>
      <c r="D22" s="19">
        <v>797.83</v>
      </c>
      <c r="E22">
        <f>B22/B$27</f>
        <v>9.9968397766775519E-2</v>
      </c>
      <c r="F22">
        <f t="shared" ref="F22:G22" si="6">C22/C$27</f>
        <v>6.8733418492679582E-2</v>
      </c>
      <c r="G22">
        <f t="shared" si="6"/>
        <v>7.3558684770753183E-2</v>
      </c>
    </row>
    <row r="23" spans="1:8" ht="18.600000000000001">
      <c r="A23" s="16" t="s">
        <v>57</v>
      </c>
      <c r="B23" s="17">
        <v>1213</v>
      </c>
      <c r="C23" s="18">
        <v>518</v>
      </c>
      <c r="D23" s="19">
        <v>753.47</v>
      </c>
      <c r="E23">
        <f t="shared" ref="E23:E24" si="7">B23/B$27</f>
        <v>0.12777836300431897</v>
      </c>
      <c r="F23">
        <f t="shared" ref="F23:F24" si="8">C23/C$27</f>
        <v>5.0899086174707682E-2</v>
      </c>
      <c r="G23">
        <f t="shared" ref="G23:G24" si="9">D23/D$27</f>
        <v>6.9468761784113653E-2</v>
      </c>
    </row>
    <row r="24" spans="1:8" ht="18.600000000000001">
      <c r="A24" s="16" t="s">
        <v>65</v>
      </c>
      <c r="B24" s="17">
        <v>1670</v>
      </c>
      <c r="C24" s="18">
        <v>1950.1666666666667</v>
      </c>
      <c r="D24" s="19">
        <v>2400.0100000000002</v>
      </c>
      <c r="E24">
        <f t="shared" si="7"/>
        <v>0.17591909828294533</v>
      </c>
      <c r="F24">
        <f t="shared" si="8"/>
        <v>0.19162490583341527</v>
      </c>
      <c r="G24">
        <f t="shared" si="9"/>
        <v>0.22127718816872685</v>
      </c>
    </row>
    <row r="25" spans="1:8" ht="18.600000000000001">
      <c r="A25" s="16" t="s">
        <v>117</v>
      </c>
      <c r="B25" s="17"/>
      <c r="C25" s="18">
        <v>343.91666666666669</v>
      </c>
      <c r="D25" s="19"/>
    </row>
    <row r="26" spans="1:8" ht="18.600000000000001">
      <c r="A26" s="16" t="s">
        <v>173</v>
      </c>
      <c r="B26" s="20"/>
      <c r="C26" s="18"/>
      <c r="D26" s="19">
        <v>158</v>
      </c>
    </row>
    <row r="27" spans="1:8" ht="18.600000000000001">
      <c r="A27" s="16" t="s">
        <v>245</v>
      </c>
      <c r="B27" s="20">
        <f>SUM(B18:B26)</f>
        <v>9493</v>
      </c>
      <c r="C27" s="40">
        <f>SUM(C18:C26)</f>
        <v>10176.999999999998</v>
      </c>
      <c r="D27" s="41">
        <f t="shared" ref="D27" si="10">SUM(D18:D26)</f>
        <v>10846.17</v>
      </c>
    </row>
    <row r="28" spans="1:8" ht="18.600000000000001">
      <c r="A28" s="10" t="s">
        <v>246</v>
      </c>
      <c r="B28" s="21">
        <v>27.38</v>
      </c>
      <c r="C28" s="21">
        <v>29.36</v>
      </c>
      <c r="D28" s="22">
        <v>29.13</v>
      </c>
    </row>
    <row r="29" spans="1:8" ht="18.600000000000001">
      <c r="A29" s="10" t="s">
        <v>247</v>
      </c>
      <c r="B29" s="25">
        <v>113915</v>
      </c>
      <c r="C29" s="23">
        <v>122132</v>
      </c>
      <c r="D29" s="23">
        <v>123058</v>
      </c>
      <c r="E29">
        <f>B29/B27</f>
        <v>11.999894659222585</v>
      </c>
      <c r="F29">
        <f>C29/C27</f>
        <v>12.000786086272971</v>
      </c>
      <c r="G29">
        <f>D29/D27</f>
        <v>11.345756151710695</v>
      </c>
    </row>
  </sheetData>
  <mergeCells count="2">
    <mergeCell ref="A1:D1"/>
    <mergeCell ref="A16:D1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4BB87046-DAE1-4960-95CD-9B92BC5E569C}"/>
</file>

<file path=customXml/itemProps2.xml><?xml version="1.0" encoding="utf-8"?>
<ds:datastoreItem xmlns:ds="http://schemas.openxmlformats.org/officeDocument/2006/customXml" ds:itemID="{14E5AA79-C5EC-43CD-8EBE-31FA47B8061A}"/>
</file>

<file path=customXml/itemProps3.xml><?xml version="1.0" encoding="utf-8"?>
<ds:datastoreItem xmlns:ds="http://schemas.openxmlformats.org/officeDocument/2006/customXml" ds:itemID="{CFD04935-6921-45AD-88AF-EE1073CF34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Govindasamy Shanmuga Sundaram, Kishorekarthick (wuc9jr)</cp:lastModifiedBy>
  <cp:revision/>
  <dcterms:created xsi:type="dcterms:W3CDTF">2022-01-04T13:59:03Z</dcterms:created>
  <dcterms:modified xsi:type="dcterms:W3CDTF">2022-07-28T20:24:46Z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