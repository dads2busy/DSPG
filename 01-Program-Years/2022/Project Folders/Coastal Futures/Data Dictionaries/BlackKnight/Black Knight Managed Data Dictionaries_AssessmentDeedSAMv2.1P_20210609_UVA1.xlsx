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506"/>
  <workbookPr defaultThemeVersion="124226"/>
  <mc:AlternateContent xmlns:mc="http://schemas.openxmlformats.org/markup-compatibility/2006">
    <mc:Choice Requires="x15">
      <x15ac:absPath xmlns:x15ac="http://schemas.microsoft.com/office/spreadsheetml/2010/11/ac" url="D:\SDAD\"/>
    </mc:Choice>
  </mc:AlternateContent>
  <xr:revisionPtr revIDLastSave="0" documentId="8_{0A5D4B96-4623-40A5-9F53-AA99CCECB922}" xr6:coauthVersionLast="47" xr6:coauthVersionMax="47" xr10:uidLastSave="{00000000-0000-0000-0000-000000000000}"/>
  <bookViews>
    <workbookView xWindow="-110" yWindow="-110" windowWidth="19420" windowHeight="10420" tabRatio="739" firstSheet="2" activeTab="2" xr2:uid="{00000000-000D-0000-FFFF-FFFF00000000}"/>
  </bookViews>
  <sheets>
    <sheet name="Index" sheetId="18" r:id="rId1"/>
    <sheet name="Assessment" sheetId="7" r:id="rId2"/>
    <sheet name="Deed" sheetId="5" r:id="rId3"/>
    <sheet name="Mortgage" sheetId="6" r:id="rId4"/>
    <sheet name="UniqueKeys" sheetId="13" r:id="rId5"/>
  </sheets>
  <externalReferences>
    <externalReference r:id="rId6"/>
  </externalReferences>
  <definedNames>
    <definedName name="_xlnm._FilterDatabase" localSheetId="1" hidden="1">Assessment!$A$5:$E$252</definedName>
    <definedName name="_xlnm._FilterDatabase" localSheetId="2" hidden="1">Deed!$A$5:$E$112</definedName>
    <definedName name="_xlnm._FilterDatabase" localSheetId="3" hidden="1">Mortgage!$A$5:$E$92</definedName>
    <definedName name="_Key1" localSheetId="0" hidden="1">#REF!</definedName>
    <definedName name="_Key1" localSheetId="4" hidden="1">#REF!</definedName>
    <definedName name="_Key1" hidden="1">#REF!</definedName>
    <definedName name="_Key12" localSheetId="0" hidden="1">#REF!</definedName>
    <definedName name="_Key12" hidden="1">#REF!</definedName>
    <definedName name="_Key123" localSheetId="0" hidden="1">#REF!</definedName>
    <definedName name="_Key123" hidden="1">#REF!</definedName>
    <definedName name="_Key2" localSheetId="0" hidden="1">#REF!</definedName>
    <definedName name="_Key2" localSheetId="4" hidden="1">#REF!</definedName>
    <definedName name="_Key2" hidden="1">#REF!</definedName>
    <definedName name="_Keyx" localSheetId="0" hidden="1">#REF!</definedName>
    <definedName name="_Keyx" hidden="1">#REF!</definedName>
    <definedName name="_Order1" hidden="1">255</definedName>
    <definedName name="_Order2" hidden="1">255</definedName>
    <definedName name="_Sort" localSheetId="0" hidden="1">#REF!</definedName>
    <definedName name="_Sort" localSheetId="4" hidden="1">#REF!</definedName>
    <definedName name="_Sort" hidden="1">#REF!</definedName>
    <definedName name="B" localSheetId="0">#REF!</definedName>
    <definedName name="B">#REF!</definedName>
    <definedName name="CommentsWithHyperlink" localSheetId="0">#REF!</definedName>
    <definedName name="CommentsWithHyperlink">#REF!</definedName>
    <definedName name="CommentsWithoutHyperlink" localSheetId="0">#REF!</definedName>
    <definedName name="CommentsWithoutHyperlink">#REF!</definedName>
    <definedName name="CoreFieldListPrivate" localSheetId="0">#REF!</definedName>
    <definedName name="CoreFieldListPrivate">#REF!</definedName>
    <definedName name="CoreFieldListPrivate1" localSheetId="0">#REF!</definedName>
    <definedName name="CoreFieldListPrivate1">#REF!</definedName>
    <definedName name="CoreFieldListPrivate2" localSheetId="0">'[1]HELOC Technical Details'!#REF!</definedName>
    <definedName name="CoreFieldListPrivate2">'[1]HELOC Technical Details'!#REF!</definedName>
    <definedName name="Description" localSheetId="0">#REF!</definedName>
    <definedName name="Description">#REF!</definedName>
    <definedName name="DescriptionWithHyperlink" localSheetId="0">#REF!</definedName>
    <definedName name="DescriptionWithHyperlink">#REF!</definedName>
    <definedName name="DescriptionWithoutHyperlink" localSheetId="0">#REF!</definedName>
    <definedName name="DescriptionWithoutHyperlink">#REF!</definedName>
    <definedName name="ExportToNonContributorFlag" localSheetId="0">#REF!</definedName>
    <definedName name="ExportToNonContributorFlag">#REF!</definedName>
    <definedName name="FieldSequence" localSheetId="0">#REF!</definedName>
    <definedName name="FieldSequence">#REF!</definedName>
    <definedName name="FieldSequenceInExportToContributor" localSheetId="0">#REF!</definedName>
    <definedName name="FieldSequenceInExportToContributor">#REF!</definedName>
    <definedName name="FieldSequenceInExportToContributor1" localSheetId="0">'[1]HELOC Technical Details'!#REF!</definedName>
    <definedName name="FieldSequenceInExportToContributor1">'[1]HELOC Technical Details'!#REF!</definedName>
    <definedName name="FieldSequenceInExportToNoncontributor" localSheetId="0">#REF!</definedName>
    <definedName name="FieldSequenceInExportToNoncontributor">#REF!</definedName>
    <definedName name="FieldSequenceInExportToNoncontributor1" localSheetId="0">'[1]HELOC Technical Details'!#REF!</definedName>
    <definedName name="FieldSequenceInExportToNoncontributor1">'[1]HELOC Technical Details'!#REF!</definedName>
    <definedName name="_xlnm.Print_Titles" localSheetId="1">Assessment!$3:$5</definedName>
    <definedName name="_xlnm.Print_Titles" localSheetId="2">Deed!$3:$5</definedName>
    <definedName name="_xlnm.Print_Titles" localSheetId="3">Mortgage!$3:$5</definedName>
    <definedName name="Topic" localSheetId="0">#REF!</definedName>
    <definedName name="Topic">#REF!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24" i="5" l="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106" i="5" s="1"/>
  <c r="A107" i="5" s="1"/>
  <c r="A108" i="5" s="1"/>
  <c r="A109" i="5" s="1"/>
  <c r="A110" i="5" s="1"/>
  <c r="A111" i="5" s="1"/>
  <c r="A112" i="5" s="1"/>
  <c r="A113" i="5" s="1"/>
  <c r="A114" i="5" s="1"/>
  <c r="A115" i="5" s="1"/>
  <c r="A23" i="6"/>
  <c r="A24" i="6" s="1"/>
  <c r="A25" i="6" s="1"/>
  <c r="A26" i="6" s="1"/>
  <c r="A27" i="6" s="1"/>
  <c r="A28" i="6" s="1"/>
  <c r="A29" i="6" s="1"/>
  <c r="A30" i="6" s="1"/>
  <c r="A31" i="6" s="1"/>
  <c r="A32" i="6" s="1"/>
  <c r="A33" i="6" s="1"/>
  <c r="A34" i="6" s="1"/>
  <c r="A35" i="6" s="1"/>
  <c r="A36" i="6" s="1"/>
  <c r="A37" i="6" s="1"/>
  <c r="A38" i="6" s="1"/>
  <c r="A39" i="6" s="1"/>
  <c r="A40" i="6" s="1"/>
  <c r="A41" i="6" s="1"/>
  <c r="A42" i="6" s="1"/>
  <c r="A43" i="6" s="1"/>
  <c r="A44" i="6" s="1"/>
  <c r="A45" i="6" s="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A69" i="6" s="1"/>
  <c r="A70" i="6" s="1"/>
  <c r="A71" i="6" s="1"/>
  <c r="A72" i="6" s="1"/>
  <c r="A73" i="6" s="1"/>
  <c r="A74" i="6" s="1"/>
  <c r="A75" i="6" s="1"/>
  <c r="A76" i="6" s="1"/>
  <c r="A77" i="6" s="1"/>
  <c r="A78" i="6" s="1"/>
  <c r="A79" i="6" s="1"/>
  <c r="A80" i="6" s="1"/>
  <c r="A81" i="6" s="1"/>
  <c r="A82" i="6" s="1"/>
  <c r="A83" i="6" s="1"/>
  <c r="A84" i="6" s="1"/>
  <c r="A85" i="6" s="1"/>
  <c r="A86" i="6" s="1"/>
  <c r="A87" i="6" s="1"/>
  <c r="A88" i="6" s="1"/>
  <c r="A89" i="6" s="1"/>
  <c r="A90" i="6" s="1"/>
  <c r="A91" i="6" s="1"/>
  <c r="A92" i="6" s="1"/>
  <c r="A93" i="6" s="1"/>
  <c r="A94" i="6" s="1"/>
  <c r="A95" i="6" s="1"/>
  <c r="A22" i="6"/>
  <c r="A20" i="6"/>
  <c r="A21" i="6" s="1"/>
  <c r="A21" i="5"/>
  <c r="A22" i="5" s="1"/>
  <c r="A23" i="5" s="1"/>
  <c r="A20" i="5"/>
  <c r="A253" i="7" l="1"/>
  <c r="A57" i="7" l="1"/>
  <c r="A58" i="7" s="1"/>
  <c r="A59" i="7" s="1"/>
  <c r="A60" i="7" s="1"/>
  <c r="A61" i="7" s="1"/>
  <c r="A62" i="7" s="1"/>
  <c r="A63" i="7" s="1"/>
  <c r="A64" i="7" s="1"/>
  <c r="A65" i="7" s="1"/>
  <c r="A66" i="7" s="1"/>
  <c r="A67" i="7" s="1"/>
  <c r="A68" i="7" s="1"/>
  <c r="A69" i="7" s="1"/>
  <c r="A70" i="7" s="1"/>
  <c r="A71" i="7" s="1"/>
  <c r="A72" i="7" s="1"/>
  <c r="A73" i="7" s="1"/>
  <c r="A74" i="7" s="1"/>
  <c r="A75" i="7" s="1"/>
  <c r="A76" i="7" s="1"/>
  <c r="A77" i="7" l="1"/>
  <c r="A78" i="7" s="1"/>
  <c r="A79" i="7" s="1"/>
  <c r="A80" i="7" s="1"/>
  <c r="A81" i="7" l="1"/>
  <c r="A82" i="7" s="1"/>
  <c r="A83" i="7" s="1"/>
  <c r="A84" i="7" s="1"/>
  <c r="A85" i="7" s="1"/>
  <c r="A86" i="7" s="1"/>
  <c r="A87" i="7" s="1"/>
  <c r="A88" i="7" s="1"/>
  <c r="A89" i="7" s="1"/>
  <c r="A90" i="7" s="1"/>
  <c r="A91" i="7" s="1"/>
  <c r="A92" i="7" s="1"/>
  <c r="A93" i="7" s="1"/>
  <c r="A94" i="7" s="1"/>
  <c r="A95" i="7" s="1"/>
  <c r="A96" i="7" s="1"/>
  <c r="A97" i="7" s="1"/>
  <c r="A98" i="7" s="1"/>
  <c r="A99" i="7" s="1"/>
  <c r="A100" i="7" s="1"/>
  <c r="A101" i="7" s="1"/>
  <c r="A102" i="7" s="1"/>
  <c r="A103" i="7" s="1"/>
  <c r="A104" i="7" s="1"/>
  <c r="A105" i="7" s="1"/>
  <c r="A106" i="7" s="1"/>
  <c r="A107" i="7" s="1"/>
  <c r="A108" i="7" s="1"/>
  <c r="A109" i="7" s="1"/>
  <c r="A110" i="7" s="1"/>
  <c r="A111" i="7" s="1"/>
  <c r="A112" i="7" s="1"/>
  <c r="A113" i="7" s="1"/>
  <c r="A114" i="7" s="1"/>
  <c r="A115" i="7" s="1"/>
  <c r="A116" i="7" s="1"/>
  <c r="A117" i="7" s="1"/>
  <c r="A118" i="7" s="1"/>
  <c r="A119" i="7" s="1"/>
  <c r="A120" i="7" s="1"/>
  <c r="A121" i="7" s="1"/>
  <c r="A122" i="7" s="1"/>
  <c r="A123" i="7" s="1"/>
  <c r="A124" i="7" s="1"/>
  <c r="A125" i="7" s="1"/>
  <c r="A126" i="7" s="1"/>
  <c r="A127" i="7" s="1"/>
  <c r="A128" i="7" s="1"/>
  <c r="A129" i="7" s="1"/>
  <c r="A130" i="7" s="1"/>
  <c r="A131" i="7" s="1"/>
  <c r="A132" i="7" s="1"/>
  <c r="A133" i="7" s="1"/>
  <c r="A134" i="7" s="1"/>
  <c r="A135" i="7" s="1"/>
  <c r="A136" i="7" s="1"/>
  <c r="A137" i="7" s="1"/>
  <c r="A138" i="7" s="1"/>
  <c r="A139" i="7" s="1"/>
  <c r="A140" i="7" s="1"/>
  <c r="A141" i="7" s="1"/>
  <c r="A142" i="7" s="1"/>
  <c r="A143" i="7" s="1"/>
  <c r="A144" i="7" s="1"/>
  <c r="A145" i="7" s="1"/>
  <c r="A146" i="7" s="1"/>
  <c r="A147" i="7" s="1"/>
  <c r="A148" i="7" s="1"/>
  <c r="A149" i="7" s="1"/>
  <c r="A150" i="7" s="1"/>
  <c r="A151" i="7" s="1"/>
  <c r="A152" i="7" s="1"/>
  <c r="A153" i="7" s="1"/>
  <c r="A154" i="7" s="1"/>
  <c r="A155" i="7" s="1"/>
  <c r="A156" i="7" s="1"/>
  <c r="A157" i="7" s="1"/>
  <c r="A158" i="7" s="1"/>
  <c r="A159" i="7" s="1"/>
  <c r="A160" i="7" s="1"/>
  <c r="A161" i="7" s="1"/>
  <c r="A162" i="7" s="1"/>
  <c r="A163" i="7" s="1"/>
  <c r="A164" i="7" s="1"/>
  <c r="A165" i="7" s="1"/>
  <c r="A166" i="7" s="1"/>
  <c r="A167" i="7" s="1"/>
  <c r="A168" i="7" s="1"/>
  <c r="A169" i="7" s="1"/>
  <c r="A170" i="7" s="1"/>
  <c r="A171" i="7" s="1"/>
  <c r="A172" i="7" s="1"/>
  <c r="A173" i="7" s="1"/>
  <c r="A174" i="7" s="1"/>
  <c r="A175" i="7" s="1"/>
  <c r="A176" i="7" s="1"/>
  <c r="A177" i="7" s="1"/>
  <c r="A178" i="7" s="1"/>
  <c r="A179" i="7" s="1"/>
  <c r="A180" i="7" s="1"/>
  <c r="A181" i="7" s="1"/>
  <c r="A182" i="7" s="1"/>
  <c r="A183" i="7" s="1"/>
  <c r="A184" i="7" s="1"/>
  <c r="A185" i="7" s="1"/>
  <c r="A186" i="7" s="1"/>
  <c r="A187" i="7" s="1"/>
  <c r="A188" i="7" s="1"/>
  <c r="A189" i="7" s="1"/>
  <c r="A190" i="7" s="1"/>
  <c r="A191" i="7" s="1"/>
  <c r="A192" i="7" s="1"/>
  <c r="A193" i="7" s="1"/>
  <c r="A194" i="7" s="1"/>
  <c r="A195" i="7" s="1"/>
  <c r="A196" i="7" s="1"/>
  <c r="A197" i="7" s="1"/>
  <c r="A198" i="7" s="1"/>
  <c r="A199" i="7" s="1"/>
  <c r="A200" i="7" s="1"/>
  <c r="A201" i="7" s="1"/>
  <c r="A202" i="7" s="1"/>
  <c r="A203" i="7" s="1"/>
  <c r="A204" i="7" s="1"/>
  <c r="A205" i="7" s="1"/>
  <c r="A206" i="7" s="1"/>
  <c r="A207" i="7" s="1"/>
  <c r="A208" i="7" s="1"/>
  <c r="A209" i="7" s="1"/>
  <c r="A210" i="7" s="1"/>
  <c r="A211" i="7" s="1"/>
  <c r="A212" i="7" s="1"/>
  <c r="A213" i="7" s="1"/>
  <c r="A214" i="7" s="1"/>
  <c r="A215" i="7" s="1"/>
  <c r="A216" i="7" s="1"/>
  <c r="A217" i="7" s="1"/>
  <c r="A218" i="7" s="1"/>
  <c r="A219" i="7" s="1"/>
  <c r="A220" i="7" s="1"/>
  <c r="A221" i="7" s="1"/>
  <c r="A222" i="7" s="1"/>
  <c r="A223" i="7" s="1"/>
  <c r="A224" i="7" s="1"/>
  <c r="A225" i="7" s="1"/>
  <c r="A226" i="7" s="1"/>
  <c r="A227" i="7" s="1"/>
  <c r="A228" i="7" s="1"/>
  <c r="A229" i="7" s="1"/>
  <c r="A230" i="7" s="1"/>
  <c r="A231" i="7" s="1"/>
  <c r="A232" i="7" s="1"/>
  <c r="A233" i="7" s="1"/>
  <c r="A234" i="7" s="1"/>
  <c r="A235" i="7" s="1"/>
  <c r="A236" i="7" s="1"/>
  <c r="A237" i="7" s="1"/>
  <c r="A238" i="7" s="1"/>
  <c r="A239" i="7" s="1"/>
  <c r="A240" i="7" s="1"/>
  <c r="A241" i="7" s="1"/>
  <c r="A242" i="7" s="1"/>
  <c r="A243" i="7" s="1"/>
  <c r="A244" i="7" s="1"/>
  <c r="A245" i="7" s="1"/>
  <c r="A246" i="7" s="1"/>
  <c r="A247" i="7" s="1"/>
  <c r="A248" i="7" s="1"/>
  <c r="A249" i="7" s="1"/>
  <c r="A250" i="7" s="1"/>
  <c r="A251" i="7" s="1"/>
  <c r="A252" i="7" s="1"/>
</calcChain>
</file>

<file path=xl/sharedStrings.xml><?xml version="1.0" encoding="utf-8"?>
<sst xmlns="http://schemas.openxmlformats.org/spreadsheetml/2006/main" count="1344" uniqueCount="706">
  <si>
    <r>
      <rPr>
        <b/>
        <sz val="9"/>
        <color indexed="8"/>
        <rFont val="Calibri"/>
        <family val="2"/>
      </rPr>
      <t>CONFIDENTIAL AND PROPRIETARY:</t>
    </r>
    <r>
      <rPr>
        <sz val="9"/>
        <color indexed="8"/>
        <rFont val="Calibri"/>
        <family val="2"/>
      </rPr>
      <t xml:space="preserve"> The contents herein are the confidential and the proprietary property of Black Knight Inc. and its affiliates, and are intended solely for the internal use of the addressee for the purposes for which it was provided without any rights to redistribute or otherwise provide to any third party. The information contained herein is subject to change.</t>
    </r>
  </si>
  <si>
    <t>Black Knight Managed Data Dictionaries</t>
  </si>
  <si>
    <t>3/8/2021</t>
  </si>
  <si>
    <t>Public Records data</t>
  </si>
  <si>
    <t>Assessment</t>
  </si>
  <si>
    <t xml:space="preserve">Real Estate Property Data is obtained from the County Assessor’s office generally providing
Owner Name, Property Address, Mailing Address, Land Use information, Physical Characteristics, Assessed &amp; Market Values, etc.   </t>
  </si>
  <si>
    <t>Deed</t>
  </si>
  <si>
    <t xml:space="preserve">A Deed transfers title to real estate property from the one person to another person and loan information on trust deeds tied to that recording 
Grant Deed, Quitclaim Deed, Trustee’s Deeds.  </t>
  </si>
  <si>
    <t>Mortgage</t>
  </si>
  <si>
    <t>A Mortgage secures real property for the payment of a promissory note (debt) 
Purchase Money Mortgage, FHA (Federal Housing Admin.), Adjustable Rate Mortgage, 2nd Mortgage, Commercial, VA Loan</t>
  </si>
  <si>
    <t>Assessment Data Dictionary</t>
  </si>
  <si>
    <t>8/20/2020</t>
  </si>
  <si>
    <t>Field #</t>
  </si>
  <si>
    <t>Field Name</t>
  </si>
  <si>
    <t>Max Length</t>
  </si>
  <si>
    <t>Data Type</t>
  </si>
  <si>
    <t>Field Description</t>
  </si>
  <si>
    <t>FIPS Code (State/County)</t>
  </si>
  <si>
    <t>[varchar](5)</t>
  </si>
  <si>
    <t xml:space="preserve">Numeric code which identifies every County/State in the United States.  First 2 bytes = State; last 3 = County.  </t>
  </si>
  <si>
    <t>BKFS Internal PID</t>
  </si>
  <si>
    <t>[int]</t>
  </si>
  <si>
    <t>Auto-assigned internal ID for reference only</t>
  </si>
  <si>
    <t>Assessor’s Parcel Number (APN, PIN)</t>
  </si>
  <si>
    <t>[varchar](45)</t>
  </si>
  <si>
    <t>Assessor's Parcel Number or Parcel Identification Number.  An arbitrary parcel identifier assigned by the county Assessor to simplify identification and expedite the locating of parcels.  While format and composition vary widely, it is usually composed of MAP, PAGE, PARCEL, and SUB PARCEL numbers.  Some counties use SEC‑TWP‑RNG as part of the APN or a MAP-BOOK, PAGE, and PARCEL reference; others use SUBDIVISION, BLOCK, and LOT to identify a parcel.
Leading zeros or spaces used to maintain the integrity of the format.  Re-formatted if necessary to match the county display format.</t>
  </si>
  <si>
    <t>Duplicate APN</t>
  </si>
  <si>
    <t>[varchar](2)</t>
  </si>
  <si>
    <t>This field contains sequence numbers assigned to parcels having the same APN and different property addresses, owner names or sometimes even land use. The purpose is to uniquely identify each parcel despite their having the same APN.</t>
  </si>
  <si>
    <t>Property Address Source Flag</t>
  </si>
  <si>
    <t>[varchar](1)</t>
  </si>
  <si>
    <t xml:space="preserve">Indicates property address source.  Blank by default.  See Code Description table.  </t>
  </si>
  <si>
    <t xml:space="preserve">Property Full Street Address </t>
  </si>
  <si>
    <t>[varchar](60)</t>
  </si>
  <si>
    <t>Street Address components are:
• House Number
• House Alpha (i.e. 400 ½, 230A, etc)
• Street Direction Left (i.e. N, S, E, W, NE, SE, etc)
• Street Name
• Suffix (Ave, Rd, St, etc)
• Street Direction Right (i.e. N, S, E, W, NE, SE etc)
Example incorporating all components:  400 ½ E Iris Ave NE
Note:  Rural Routes are considered to be Property Addresses.</t>
  </si>
  <si>
    <t>Property City Name</t>
  </si>
  <si>
    <t>[varchar](30)</t>
  </si>
  <si>
    <t xml:space="preserve">City Name where the property is located.  May be different from Legal: City, Municipality, Township (Field #65). </t>
  </si>
  <si>
    <t>Property State</t>
  </si>
  <si>
    <t>Two-letter standard postal abbreviation</t>
  </si>
  <si>
    <t>Property Zip Code</t>
  </si>
  <si>
    <t>May be obtained from mailing address for owner‑occupied.  Refer to Property Address Source Flag (Field #5).</t>
  </si>
  <si>
    <t>Property Zip + 4</t>
  </si>
  <si>
    <t>[varchar](4)</t>
  </si>
  <si>
    <t>4‑digit extension to postal zip code for the property address.  Not always available.</t>
  </si>
  <si>
    <t>Property Unit Type</t>
  </si>
  <si>
    <t>Property Address Unit Designator.  The list on the "Code Desc" Tab is a selected portion for our purposes only.  Refer to the USPS Postal Addressing Standards book - Publication #28 dated 8/95.</t>
  </si>
  <si>
    <t xml:space="preserve">Property Unit Number </t>
  </si>
  <si>
    <t>[varchar](11)</t>
  </si>
  <si>
    <t>Unit or suite number.  Part of the Property Address.  Also may be present in mailing address.  Often used to identify condo or apartment units.  May be numeric or alpha or both.  May be different from Legal: Unit (Field #64). 
EXAMPLES: Unit 5, or #5, or Number 5, or Unit Five - entered as: 5</t>
  </si>
  <si>
    <t>Property House Number</t>
  </si>
  <si>
    <t>[varchar](13)</t>
  </si>
  <si>
    <t>House number location of the property.  In some areas, house numbers may include a direction designation.
EXAMPLE:  123N456 MAIN ST</t>
  </si>
  <si>
    <t>Property Street Direction Left</t>
  </si>
  <si>
    <t>Appears before the street name and denotes the street name direction.
VALID DIRECTIONS: N, S, E, W and NE, NW, SE, SW
EXAMPLE:  3550 W Temple St</t>
  </si>
  <si>
    <t>Property Street Name</t>
  </si>
  <si>
    <t>[varchar](40)</t>
  </si>
  <si>
    <t>Property Street Suffix</t>
  </si>
  <si>
    <t xml:space="preserve">The recommended Official USPS Standardized Suffix Abbreviations.  The list on the "Code Desc" Tab is a selected portion for our purposes only.  Refer to the USPS Postal Addressing Standards book - Publication #28 dated 8/95 for additional abbreviations.  </t>
  </si>
  <si>
    <t>Property Street Direction Right</t>
  </si>
  <si>
    <r>
      <t xml:space="preserve">In some cities (Seattle), the directional appears </t>
    </r>
    <r>
      <rPr>
        <u/>
        <sz val="9"/>
        <color theme="1"/>
        <rFont val="Calibri"/>
        <family val="2"/>
      </rPr>
      <t>after</t>
    </r>
    <r>
      <rPr>
        <sz val="9"/>
        <color theme="1"/>
        <rFont val="Calibri"/>
        <family val="2"/>
      </rPr>
      <t xml:space="preserve"> the street suffix to denote direction/quadrant.
EXAMPLE: 12345 Main St N
Both directions may be present: 12345 N Main St NW</t>
    </r>
  </si>
  <si>
    <t>Property Address: Carrier Route</t>
  </si>
  <si>
    <t>Format: C999</t>
  </si>
  <si>
    <t xml:space="preserve">Property Address: Latitude </t>
  </si>
  <si>
    <t>[float]</t>
  </si>
  <si>
    <t>Format: 99.999999</t>
  </si>
  <si>
    <t>Property Address: Longitude</t>
  </si>
  <si>
    <t>Format: -999.99999</t>
  </si>
  <si>
    <t>Property Address: Census Tract</t>
  </si>
  <si>
    <t>[varchar](16)</t>
  </si>
  <si>
    <t>Format: 999999999.99999C
First 5 bytes = FIPS; 7 bytes = Census Tract; Last 4 bytes = Census Block Code (1st byte of Block Code = Block Number)</t>
  </si>
  <si>
    <t>Assessee/Owner Name</t>
  </si>
  <si>
    <t>[varchar](80)</t>
  </si>
  <si>
    <t>Assessed owner as of the Lien date.  This is the name exactly as shown in the current Assessor's Tax Roll.</t>
  </si>
  <si>
    <t>2nd Assessee/Owner Name (or "DBA")</t>
  </si>
  <si>
    <t>Varies from county to county.  Contains additional assessed owner name, when provided separately by the county.  DBA names preceded with indicator of "DBA".</t>
  </si>
  <si>
    <t>Assessee/Owner Vesting Code</t>
  </si>
  <si>
    <t xml:space="preserve">When available, either identifies how the Assessee took title (vesting) OR describes the type of entity (ID) based on conversion.  See Code Description table. </t>
  </si>
  <si>
    <t>Tax Account Number</t>
  </si>
  <si>
    <t>When provided in the assessment files, an arbitrary parcel identifier usually assigned by the County Treasurer for tax purposes.</t>
  </si>
  <si>
    <t>Mail Care-Of Name</t>
  </si>
  <si>
    <t>If a C/O Name (%, C/O, Attn, etc.) is present, may not want to consider the address in Fields #27-33 as the actual Current Owner Mail Address.</t>
  </si>
  <si>
    <t>Assessee Mail: Full Street Address</t>
  </si>
  <si>
    <t>The address where the current tax bill is mailed each year.  Components are same as Property Full Street Address (Field #6).</t>
  </si>
  <si>
    <t>Assessee Mail: City Name</t>
  </si>
  <si>
    <t>In the event the mailing address is a foreign country, City &amp; Country information will be present here.
Example:  ONTARIO CANADA MW1 XY2.
The foreign mail code is dropped if it exceeds the field length.  City &amp; Country names not truncated.</t>
  </si>
  <si>
    <t>Assessee Mail: State Code</t>
  </si>
  <si>
    <t>Two-letter standard postal abbreviation.
XX = Foreign Mail Address</t>
  </si>
  <si>
    <t>Assessee Mail: Zip Code</t>
  </si>
  <si>
    <t>Assessee Mail: Zip + 4</t>
  </si>
  <si>
    <t>Four-digit extension to postal zip code for the mailing address.  Not always available.</t>
  </si>
  <si>
    <t>Assessee Mail: Unit Type</t>
  </si>
  <si>
    <t>See Code Description table for Property Address Unit Designator (Field #11).</t>
  </si>
  <si>
    <t>Assessee Mail: Unit Number</t>
  </si>
  <si>
    <t>See Property Unit Number (Field #12)</t>
  </si>
  <si>
    <t>Owner-Occupied (Residential)</t>
  </si>
  <si>
    <t xml:space="preserve">SFR and Condo properties only.  See Code Description table.
</t>
  </si>
  <si>
    <t>Assessed Land Value</t>
  </si>
  <si>
    <r>
      <t xml:space="preserve">The current </t>
    </r>
    <r>
      <rPr>
        <u/>
        <sz val="9"/>
        <color theme="1"/>
        <rFont val="Calibri"/>
        <family val="2"/>
      </rPr>
      <t>assessed</t>
    </r>
    <r>
      <rPr>
        <sz val="9"/>
        <color theme="1"/>
        <rFont val="Calibri"/>
        <family val="2"/>
      </rPr>
      <t xml:space="preserve"> value of the land only (before exemptions, if any) as reported on the current county tax/assessment roll.  Whole dollars only.</t>
    </r>
  </si>
  <si>
    <t>Assessed Improvement Value</t>
  </si>
  <si>
    <t>The current assessed value of the improvements only (before exemptions, if any) as reported on the current county tax/assessment roll.  Whenever separate fields are provided for additional improved values, this will be the total of all improvement values.  Whole dollars only.</t>
  </si>
  <si>
    <t>Total Assessed Value</t>
  </si>
  <si>
    <r>
      <t xml:space="preserve">The total current </t>
    </r>
    <r>
      <rPr>
        <u/>
        <sz val="9"/>
        <color theme="1"/>
        <rFont val="Calibri"/>
        <family val="2"/>
      </rPr>
      <t>assessed</t>
    </r>
    <r>
      <rPr>
        <sz val="9"/>
        <color theme="1"/>
        <rFont val="Calibri"/>
        <family val="2"/>
      </rPr>
      <t xml:space="preserve"> value of both Land and Improvements (before exemptions, if any) as reported on the current county tax/assessment roll.  Whole dollars only.</t>
    </r>
  </si>
  <si>
    <t>Assessment Year</t>
  </si>
  <si>
    <t>Relates to the current lien date for which the values contained in Fields #35-37 were established.  If a fiscal year (Mar'95 - Feb'96), this is the beginning year (i.e. 1995).</t>
  </si>
  <si>
    <t>California Homeowner's Exemption</t>
  </si>
  <si>
    <r>
      <t>Indicates whether (</t>
    </r>
    <r>
      <rPr>
        <b/>
        <u/>
        <sz val="9"/>
        <color theme="1"/>
        <rFont val="Calibri"/>
        <family val="2"/>
      </rPr>
      <t>H</t>
    </r>
    <r>
      <rPr>
        <sz val="9"/>
        <color theme="1"/>
        <rFont val="Calibri"/>
        <family val="2"/>
      </rPr>
      <t xml:space="preserve">)omeowner's Exemption is applicable.  Not the same as Homestead - see Tax Exemption = "D" (Field #40).  Blank for deed updates. </t>
    </r>
  </si>
  <si>
    <t>Tax Exemption Codes</t>
  </si>
  <si>
    <t>Up to four (4) property tax exemptions.  See Code Description table.  Format:  XXXX (no delimiters)</t>
  </si>
  <si>
    <t>Tax Rate Code Area</t>
  </si>
  <si>
    <t>[varchar](18)</t>
  </si>
  <si>
    <t>Represents separate tax jurisdictions within the county as provided on the county tax/assessment roll.</t>
  </si>
  <si>
    <t>Recorder's Document Number from Assessment</t>
  </si>
  <si>
    <t>[varchar](20)</t>
  </si>
  <si>
    <t>Sequential number assigned to documents at the time of recording for identification and to establish the order of recordation as listed on the county/tax assessment roll.</t>
  </si>
  <si>
    <t>Recorder's Book Number from Assessment</t>
  </si>
  <si>
    <t>[varchar](10)</t>
  </si>
  <si>
    <t>The Book and Page (or Folio) number for most recent sale as listed on the county tax/assessment roll, if available.  Assigned by the county when the document is recorded.  Used for identification and to establish the order of recordation.</t>
  </si>
  <si>
    <t>Recorder's Page Number from Assessment</t>
  </si>
  <si>
    <t>See explanation for Recorder's Book Number (Field #43)</t>
  </si>
  <si>
    <t>Recording Date from Assessment</t>
  </si>
  <si>
    <t>[varchar](8)</t>
  </si>
  <si>
    <t>Recording Date for most recent sale as listed on the county tax/assessment roll, if available.  The date the property sold to the current ownership.
Format provides four positions for the year:  YYYYMMDD</t>
  </si>
  <si>
    <t>Document Type from Assessment (County description)</t>
  </si>
  <si>
    <t>[varchar](25)</t>
  </si>
  <si>
    <t>County description of the Document Type for most recent sale as listed on the county tax/assessment roll, if available.</t>
  </si>
  <si>
    <t>Sales Price from Assessment</t>
  </si>
  <si>
    <t>Sales price paid by the current owner of the subject parcel as listed on the county tax/assessment roll, if available.
Whole dollars only.  Availability will vary from county to county.</t>
  </si>
  <si>
    <t>Sales Price Code from Assessment</t>
  </si>
  <si>
    <t>See Code Description table</t>
  </si>
  <si>
    <t>Prior Sale Date</t>
  </si>
  <si>
    <t>The date the property sold prior to the current ownership as listed on the county tax/assessment roll, if available. YYYYMMDD</t>
  </si>
  <si>
    <t>Prior Sales Price</t>
  </si>
  <si>
    <t>Sales price paid by the previous owner of the subject parcel as listed on the county tax/assessment roll, if available.</t>
  </si>
  <si>
    <t>Prior Sales Price Code</t>
  </si>
  <si>
    <t>Tax Source</t>
  </si>
  <si>
    <t>T=Tax; A=Assessor</t>
  </si>
  <si>
    <t>Tax Amount</t>
  </si>
  <si>
    <t>This field contains the amount of tax on the property expressed in dollars and cents. In some states such as California, tax amounts are not available at the same time the Assessment Roll is certified. Decisions are made on a county-by-county basis to wait for the tax amount.
NOTE: In cases where gross and a net tax amount are [rpvoded, net tax amount takes precedence over gross tax amounts.
The tax amount field reflects what the tax payer was billed for the Tax Year (54).
The format for this field is 9(8)v99.</t>
  </si>
  <si>
    <t>Tax Year</t>
  </si>
  <si>
    <t xml:space="preserve">This is the year in which the amount shown in Tax Amount [53] was levied. </t>
  </si>
  <si>
    <t>Tax Delinquent Year</t>
  </si>
  <si>
    <t>This is the year in which the property tax became delinquent (unpaid).</t>
  </si>
  <si>
    <t>Legal: Brief Description</t>
  </si>
  <si>
    <t>[varchar](125)</t>
  </si>
  <si>
    <t>The narrative legal description of the property, exactly as given in the Assessor Source Files</t>
  </si>
  <si>
    <t>Legal: Brief Description - FULL</t>
  </si>
  <si>
    <t>[varchar](400)</t>
  </si>
  <si>
    <t>Compilation of all legal description components from Fields #56 &amp; 58-70</t>
  </si>
  <si>
    <t>Legal: Lot Code</t>
  </si>
  <si>
    <t xml:space="preserve">Identifies properties which include more than one lot or partial lots.  See Code Description table.  </t>
  </si>
  <si>
    <t xml:space="preserve">Legal: Lot Number </t>
  </si>
  <si>
    <t>[varchar](7)</t>
  </si>
  <si>
    <t>The individual lot(s) which comprise the property.  The actual lot number(s) such as in a tract or subdivision.  If more than one, as many multiple lot numbers as allowed by the field length are entered, separated with a comma (,) or ampersand (&amp;).  A hyphen is used to indicate a range (-).  Refer to Lot Code (Field #58).</t>
  </si>
  <si>
    <t xml:space="preserve">Legal: Land Lot </t>
  </si>
  <si>
    <t>A large portion or tract of land (which may also encompass many individual blocks or lots) in which the property is located</t>
  </si>
  <si>
    <t xml:space="preserve">Legal: Block </t>
  </si>
  <si>
    <t>The block of the subdivision or city in which the property is located</t>
  </si>
  <si>
    <t xml:space="preserve">Legal: Section </t>
  </si>
  <si>
    <t>The section of the city in which the property is located.  Not the same as the “Section” of a Township-Range.  See Legal: Sec/Twn/Rng/Mer (Field #69).</t>
  </si>
  <si>
    <t xml:space="preserve">Legal: District </t>
  </si>
  <si>
    <t>[varchar](12)</t>
  </si>
  <si>
    <t>The district in which the property is located.  Usually a numeric code corresponding to the literal name in Legal: City, Municipality, Township (Field #65).</t>
  </si>
  <si>
    <t xml:space="preserve">Legal: Unit </t>
  </si>
  <si>
    <t>[varchar](6)</t>
  </si>
  <si>
    <t>The subdivision unit number.  Common for condominiums, townhomes, etc.  Not necessarily the same as the Property Unit Number (Field #12).</t>
  </si>
  <si>
    <t xml:space="preserve">Legal: City, Township, Municipality </t>
  </si>
  <si>
    <t>The jurisdiction in which the property is located.  May be “Unincorporated”, if applicable.  Often a description of the code provided in Legal: District (Field #63).  Not necessarily the same as the Property City (Field #7).</t>
  </si>
  <si>
    <t>Legal: Subdivision Name</t>
  </si>
  <si>
    <t>The name of the subdivision, plat, or tract in which the property is located</t>
  </si>
  <si>
    <t xml:space="preserve">Legal: Phase Number </t>
  </si>
  <si>
    <t>Generally, the phase number of the subdivision or tract development</t>
  </si>
  <si>
    <t>Legal: Tract Number</t>
  </si>
  <si>
    <t>The number of the tract in which the property is located</t>
  </si>
  <si>
    <t>Legal: Section/Township/ Range/Meridian</t>
  </si>
  <si>
    <t>Format: SEC 99 TWN 99A RNG 99A
Where "A" = Directional (N/S for TWN and E/W for RNG)</t>
  </si>
  <si>
    <t>Legal: Assessor's Map Ref</t>
  </si>
  <si>
    <t>[varchar](15)</t>
  </si>
  <si>
    <t>The map number assigned by the County Assessor; may or may not be the same as either the APN or legal map references.</t>
  </si>
  <si>
    <t>Standardized Land Use Code</t>
  </si>
  <si>
    <t>Land Use code standardized for all counties. See Separate Land Use Table.
NOTE:  Code “1999” based on the following criteria:
1. Land Use in the source file is generally indicated as residential.  This may vary from county to county, i.e.: R = residential, Lots, etc.
2. Improvement value is greater than zero.
3. There is Homeowner’s exemption or the property is Owner Occupied.
4. If there is no land use designation, Bedroom and Bath fields are populated.</t>
  </si>
  <si>
    <t>County Land-Use Description</t>
  </si>
  <si>
    <t>This field contains the literal land use description unique to each county assessment file, edited to ensure user-friendly terminology without losing regional or local reference.</t>
  </si>
  <si>
    <t>County Land-Use Code</t>
  </si>
  <si>
    <t>This field contains the land use code used by the county for land use classification. These codes are usually numeric, but sometimes they are alphanumeric. The data in this field is left-justified.</t>
  </si>
  <si>
    <t>Zoning</t>
  </si>
  <si>
    <t>Actual City Zoning, unique to each incorporated area. If not available on the Assessment Roll, this field will be blank.</t>
  </si>
  <si>
    <t>Lot Size or Area</t>
  </si>
  <si>
    <t>[real]</t>
  </si>
  <si>
    <t>The total square footage of the land.  See Field #76 for units.</t>
  </si>
  <si>
    <t>Lot Size/Area Unit</t>
  </si>
  <si>
    <t>Indicates the unit of measurement for the Lot Size or Area (Field #75).
AC = Acres; FF = Front Feet; SF = Square Feet</t>
  </si>
  <si>
    <t>Original Lot Size or Area</t>
  </si>
  <si>
    <t>[varchar](14)</t>
  </si>
  <si>
    <t xml:space="preserve">The total square footage of the land. 
Possible formats:
--Acreage (if less than 1.00 AC, converted to SF):  9999.99AC or 999.999AC based on content of source file
--Square footage:  9999999SF (converted to acres when exceeds 43,560 SF)
--Front feet: 9999FF
--Dimensions (in whole feet only):  9999X9999  </t>
  </si>
  <si>
    <t>Building Area</t>
  </si>
  <si>
    <t>The building area of the primary structure on the property.
When multiple building areas are given for a structure, the preferred data for this field is Living Area for residential properties and Total Area for all others.</t>
  </si>
  <si>
    <t xml:space="preserve">Main Building Area Indicator </t>
  </si>
  <si>
    <t>Code describing the feature moves to Building Area</t>
  </si>
  <si>
    <t>Year Built</t>
  </si>
  <si>
    <t>Year the primary structure on the property was built</t>
  </si>
  <si>
    <t>No. of Buildings</t>
  </si>
  <si>
    <t>A. All property types:  Total number of buildings or structures on a single parcel as reported on the Assessment Roll.
OR
B. When a Multi-Record condition exists for selected counties, this field will reflect the number of improvement records in the source file.  See Duplicate APN Field #4.</t>
  </si>
  <si>
    <t>No. of Stories</t>
  </si>
  <si>
    <t>Either the actual number of stories of the main structure (1, 1.5, 2, 2.5, etc.) or See Code Description table.
NOTE: Other valid entries include any number followed by "+" (1+, 2+, 3+, etc., to indicate a fractional story less than 1/2) as well as attic/basement combinations such as “2+AB”.</t>
  </si>
  <si>
    <t>Total Number of Rooms</t>
  </si>
  <si>
    <t>Total Number of Rooms reported on the Assessment Roll</t>
  </si>
  <si>
    <t>Number of Units</t>
  </si>
  <si>
    <t>Number of Units reported on the Assessment Roll.  Primarily used for reporting of apartment buildings.</t>
  </si>
  <si>
    <t>Number of Bedrooms</t>
  </si>
  <si>
    <t>Actual count of bedrooms (with closet).  Residential only.</t>
  </si>
  <si>
    <t>Number of Baths</t>
  </si>
  <si>
    <t xml:space="preserve">Physical count of all bathrooms (including 1/2 baths).  See Code Description table.  Input Format:  99v99 (implied decimal) </t>
  </si>
  <si>
    <t>Number of Partial Baths</t>
  </si>
  <si>
    <r>
      <t xml:space="preserve">If the county provides separate fields for full &amp; partial baths, the physical count of full baths will be found in Field #86 and the physical count of </t>
    </r>
    <r>
      <rPr>
        <i/>
        <sz val="9"/>
        <color theme="1"/>
        <rFont val="Calibri"/>
        <family val="2"/>
      </rPr>
      <t>partial</t>
    </r>
    <r>
      <rPr>
        <sz val="9"/>
        <color theme="1"/>
        <rFont val="Calibri"/>
        <family val="2"/>
      </rPr>
      <t xml:space="preserve"> baths (1/4, 1/2 &amp; 3/4) will be found in this field.</t>
    </r>
  </si>
  <si>
    <t>Garage Type (Parking)</t>
  </si>
  <si>
    <t>Garage (Parking) - # of Cars</t>
  </si>
  <si>
    <t>When available from county assessor.  Total number of cars which garage, carport, or parking lot/structure will accommodate.  When parking square footage is available instead of the number of cars, it is converted by estimating the average size as follows: 200 SF = 1 Car; 400 SF = 2 Cars; 720 SF = 3 Cars; etc.</t>
  </si>
  <si>
    <t>Pool</t>
  </si>
  <si>
    <t xml:space="preserve">SFR, CONDO, TOWNHOUSE, PUD or Apartments, Hotel, Motel.  See Code Description table.  </t>
  </si>
  <si>
    <t>"Market" Value: Land</t>
  </si>
  <si>
    <t>When available from the county, the Market Land Value as determined by the Assessor.  See also Assessed Land Value (Field #35).</t>
  </si>
  <si>
    <t>"Market" Value: Improvement</t>
  </si>
  <si>
    <t>When available from the county, the Market Improvement Value as determined by the Assessor.  See also Assessed Improvement Value (Field #36).</t>
  </si>
  <si>
    <t>Total "Market" Value</t>
  </si>
  <si>
    <t>When available from the county, the Total Market Value as determined by the Assessor.  See also Total Assessed Value (Field #37).</t>
  </si>
  <si>
    <t>"Market" Value Year</t>
  </si>
  <si>
    <t>The year the market values (Fields #91-93) were established.  Normally, this is a constant year for all records with a market value &gt; zero, although there are cases where the county file contains the year each parcel was physically appraised and in such cases we move the Market Value year specific to each parcel resulting in several different values per county.</t>
  </si>
  <si>
    <t>Building Class</t>
  </si>
  <si>
    <t>Fire Insurance Building Classification Code used for Commercial/Industrial buildings.  See Code Description table.</t>
  </si>
  <si>
    <t>Style</t>
  </si>
  <si>
    <t>Type Construction</t>
  </si>
  <si>
    <t>Exterior Walls</t>
  </si>
  <si>
    <t>Foundation</t>
  </si>
  <si>
    <t>Roof Cover</t>
  </si>
  <si>
    <t xml:space="preserve">This field contains a single-letter code telling the type of roof cover found in the primary improvement on the property. This information is not always available in the source file.  See Code Description table. 
See also Roof Type for architectural style of the roof. </t>
  </si>
  <si>
    <t>Heating</t>
  </si>
  <si>
    <t>Air Conditioning</t>
  </si>
  <si>
    <t>Elevator</t>
  </si>
  <si>
    <t>The actual number of elevators or See Code Description table</t>
  </si>
  <si>
    <t>Fireplace</t>
  </si>
  <si>
    <r>
      <t>The actual number of fireplaces or (</t>
    </r>
    <r>
      <rPr>
        <b/>
        <u/>
        <sz val="9"/>
        <color theme="1"/>
        <rFont val="Calibri"/>
        <family val="2"/>
      </rPr>
      <t>Y</t>
    </r>
    <r>
      <rPr>
        <sz val="9"/>
        <color theme="1"/>
        <rFont val="Calibri"/>
        <family val="2"/>
      </rPr>
      <t>)es</t>
    </r>
  </si>
  <si>
    <t>Basement</t>
  </si>
  <si>
    <t>Current Owner Name</t>
  </si>
  <si>
    <t>[varchar](166)</t>
  </si>
  <si>
    <t>Current Owner Name. 
1. The Assessed owner(s) as of the lien date.  Name displayed exactly as shown in the current Assessor's Roll.  See Assessee/Owner Name (Fields #22 &amp; 23).
OR
2. Name of the grantee on the most recent recorded document.</t>
  </si>
  <si>
    <t>Current Owner: Mail Street Address</t>
  </si>
  <si>
    <t>Components are same as Property Full Street Address (Field #6)</t>
  </si>
  <si>
    <t>Current Owner: Mailing City</t>
  </si>
  <si>
    <t>See Assessee Mail: City Name (Field #28)</t>
  </si>
  <si>
    <t>Current Owner: Mailing State</t>
  </si>
  <si>
    <t>See Assessee Mail: State Code (Field #29)</t>
  </si>
  <si>
    <t>Current Owner: Mailing Zip</t>
  </si>
  <si>
    <t>Current Owner: Mailing Zip4</t>
  </si>
  <si>
    <t>See Assessee Mail: Zip+4 (Field #31)</t>
  </si>
  <si>
    <t>Current Owner: Unit Type</t>
  </si>
  <si>
    <t>Current Owner: Unit Number</t>
  </si>
  <si>
    <t>Current Owner: Mail Care of Name</t>
  </si>
  <si>
    <t>See Mail Care of Name (Field #26)</t>
  </si>
  <si>
    <t>Assessment Source File Date ("Tape Cut")</t>
  </si>
  <si>
    <t>Provides some indication of the currency of the assessment file.  When possible to determine, this will be the date the county generated our copy of the file.  Otherwise, it is the date we received the file. YYYYMMDD</t>
  </si>
  <si>
    <t>Latest Sale - Recording Date</t>
  </si>
  <si>
    <t>Recording Date of the latest sale in the transaction history.  Format provides four positions for the year:  YYYYMMDD</t>
  </si>
  <si>
    <t>Latest Sale - Book Number</t>
  </si>
  <si>
    <t>Latest Sale - Page Number</t>
  </si>
  <si>
    <t>Latest Sale - Document Number</t>
  </si>
  <si>
    <t>Latest Sale - Document Type Code</t>
  </si>
  <si>
    <t>Latest Sale - Price</t>
  </si>
  <si>
    <t>Whole dollars only without commas (,) and NO Cents</t>
  </si>
  <si>
    <t>Latest Sale - Price Code</t>
  </si>
  <si>
    <t>Prior Sale - Recording Date</t>
  </si>
  <si>
    <t>The recording date the property sold prior to the latest sale in the transaction history. YYYYMMDD</t>
  </si>
  <si>
    <t>Prior Sale - Book Number</t>
  </si>
  <si>
    <t>Prior Sale - Page Number</t>
  </si>
  <si>
    <t>Prior Sale - Document Number</t>
  </si>
  <si>
    <t>Prior Sale - Document Type Code</t>
  </si>
  <si>
    <t>Prior Sale - Price</t>
  </si>
  <si>
    <t>Prior Sale - Price Code</t>
  </si>
  <si>
    <t>Latest Valid - Recording Date</t>
  </si>
  <si>
    <t>The recording date of the last valid sale in the transaction history.  Does not include non-arms-length transactions. YYYYMMDD</t>
  </si>
  <si>
    <t>Latest Valid - Book Number</t>
  </si>
  <si>
    <t>Latest Valid - Page Number</t>
  </si>
  <si>
    <t>Latest Valid - Document Number</t>
  </si>
  <si>
    <t>Latest Valid - Document Type Code</t>
  </si>
  <si>
    <t>Latest Valid - Price</t>
  </si>
  <si>
    <t>Latest Valid - Price Code</t>
  </si>
  <si>
    <t>Prior Valid - Recording Date</t>
  </si>
  <si>
    <t>The recording date of the valid sale prior to the latest valid sale in the transaction history. YYYYMMDD</t>
  </si>
  <si>
    <t>Prior Valid - Book Number</t>
  </si>
  <si>
    <t>Prior Valid - Page Number</t>
  </si>
  <si>
    <t>Prior Valid - Document Number</t>
  </si>
  <si>
    <t>Prior Valid - Document Type Code</t>
  </si>
  <si>
    <t>Prior Valid - Price</t>
  </si>
  <si>
    <t>Sales price paid on the valid sale prior to the latest valid sale in the transaction history.</t>
  </si>
  <si>
    <t>Prior Valid - Price Code</t>
  </si>
  <si>
    <t>Assessee (Owner) Name Indicator</t>
  </si>
  <si>
    <t>indicates the predominate pattern of names for Assessee Name</t>
  </si>
  <si>
    <t xml:space="preserve">2nd Assessee (Owner) Name Indicator </t>
  </si>
  <si>
    <t>indicates the predominate pattern of names for 2nd Assessee (Owner) Name</t>
  </si>
  <si>
    <t>Mail Care-Of Name Indicator</t>
  </si>
  <si>
    <t>indicates the predominate pattern of names for Mail Care-Of Name</t>
  </si>
  <si>
    <t xml:space="preserve">Assessee (Owner) Name Type </t>
  </si>
  <si>
    <t>Indicate whether the Assessee Name associated with a parcel are individuals, businesses, or government</t>
  </si>
  <si>
    <t xml:space="preserve">2nd Assessee (Owner) Name Type </t>
  </si>
  <si>
    <t>Indicate whether the 2nd Assessee Name associated with a parcel are individuals, businesses, or government</t>
  </si>
  <si>
    <t>Alt/Old APN Indicator</t>
  </si>
  <si>
    <t>Redefined from Mail Care-of Name Type as of 10/17/2013; See Code Desc</t>
  </si>
  <si>
    <t>Certification Date</t>
  </si>
  <si>
    <t>The date that the file was certified by the County</t>
  </si>
  <si>
    <t>Lot Size - Square Feet</t>
  </si>
  <si>
    <t xml:space="preserve">This field contains the total area measurement of the land in square feet. If the lot size is provided by the county assessor in acres, this field will be show the conversion to square feet.
This field is expressed numerically with no implied decimal 9(9).
This field will contain the area in Square Feet only as opposed to Original Lot Size or Area [77] which can be populated several different ways. </t>
  </si>
  <si>
    <t>Building Quality</t>
  </si>
  <si>
    <t>FLOOR COVER</t>
  </si>
  <si>
    <t>This field contains a code reflecting the type of flooring used in improvements on the property</t>
  </si>
  <si>
    <t># of Plumbing Fixtures</t>
  </si>
  <si>
    <t>[varchar](3)</t>
  </si>
  <si>
    <t>This is a numerical field identifying the number of plumbing features reported by the county assessor in the primary building/improvement on the property.</t>
  </si>
  <si>
    <t>Building Area 1</t>
  </si>
  <si>
    <t>Building area for a building features, such as garage, porch, basement</t>
  </si>
  <si>
    <t xml:space="preserve">Building Area 1 Indicator </t>
  </si>
  <si>
    <t>Two-digit code describing the feature moves to Building Area; If single position, can be combined with 'F' for Finished, or 'U' for Unfinished</t>
  </si>
  <si>
    <t>Building Area 2</t>
  </si>
  <si>
    <t xml:space="preserve">Building Area 2 Indicator  </t>
  </si>
  <si>
    <t>Building Area 3</t>
  </si>
  <si>
    <t xml:space="preserve">Building Area 3 Indicator </t>
  </si>
  <si>
    <t>Building Area 4</t>
  </si>
  <si>
    <t xml:space="preserve">Building Area 4 Indicator </t>
  </si>
  <si>
    <t>Building Area 5</t>
  </si>
  <si>
    <t xml:space="preserve">Building Area 5 Indicator </t>
  </si>
  <si>
    <t>Building Area 6</t>
  </si>
  <si>
    <t xml:space="preserve">Building Area 6 Indicator </t>
  </si>
  <si>
    <t>Building Area 7</t>
  </si>
  <si>
    <t xml:space="preserve">Building Area 7 Indicator </t>
  </si>
  <si>
    <t>Effective Year Built</t>
  </si>
  <si>
    <t xml:space="preserve">The date that reflects the condition of an improvement. It is the same or later than Year Built.
NOTE: If the county does not provide the effective year built, use remodel year is moved. </t>
  </si>
  <si>
    <t>Heating Fuel Type</t>
  </si>
  <si>
    <t xml:space="preserve">The type of heating fuel (oil, gas, solar). Some counties may also provide a heating system type, which moves to Heating. </t>
  </si>
  <si>
    <t>Air Conditioning Type</t>
  </si>
  <si>
    <t>Lot Size - Acres</t>
  </si>
  <si>
    <t xml:space="preserve">This field contains the total area measurement of the land in acres. If the lot size is provided by the county assessor in square feet, this field will contain a conversion of square feet to acres.
This field is expressed numerically with an implied decimal of 3 (7v3).
This field will contain the area in Acres only as opposed to Original Lot Size or Area [77] which can be populated several different ways. </t>
  </si>
  <si>
    <t>Mortgage Lender Name</t>
  </si>
  <si>
    <t>The name of the company or individual that holds the mortgage, as provided by the County Assessor</t>
  </si>
  <si>
    <t>Interior Walls</t>
  </si>
  <si>
    <t>This field contains a code reflecting the composition of the interior walls</t>
  </si>
  <si>
    <t>School/Tax District 1</t>
  </si>
  <si>
    <t xml:space="preserve">Identifies school and/or tax districts. These fields will be used in different ways, depending on the data provided by the county. If the county provides three or fewer districts, the School/Tax District field will contain the name or description of the district, and an identifying code will move to School/Tax District Indicator. If there are multiple districts, as in many Texas counties, as many districts as possible will move to the three school/tax district fields. </t>
  </si>
  <si>
    <t>School/Tax District 1 Indicator</t>
  </si>
  <si>
    <t>See School/Tax District Ind. In 'Code Desc' tab</t>
  </si>
  <si>
    <t>School/Tax District 2</t>
  </si>
  <si>
    <t>School/Tax District 2 Indicator</t>
  </si>
  <si>
    <t>School/Tax District 3</t>
  </si>
  <si>
    <t>School/Tax District 3 Indicator (see below for values)</t>
  </si>
  <si>
    <t>Site Influence</t>
  </si>
  <si>
    <t>Identifies features or characteristics of a location which might influence the value or desirability of a parcel, such as waterfront or traffic patterns. The field can contain up to two codes.</t>
  </si>
  <si>
    <t>Amenities (See Amenities 2 - Field 190)</t>
  </si>
  <si>
    <t xml:space="preserve">Identifies the extra selling features that add to the value of property, such as a tennis court or golf course. This data is provided by the county, but typically does not indicate the size of the Amenity. This field can contain up to five codes. </t>
  </si>
  <si>
    <t>Other Impr Building Indicator 1</t>
  </si>
  <si>
    <t>These fields are defined as buildings not attached to the main building/house and other improvements as designated including: Wood Deck, Patio Screened, Patio, Pool Size and Loading Platform. The size or measurement of these will be indicated in Other Impr Bldg Area 1-5 when provided by the county.</t>
  </si>
  <si>
    <t>Other Impr Building Indicator 2</t>
  </si>
  <si>
    <t>Other Impr Building Indicator 3</t>
  </si>
  <si>
    <t>Other Impr Building Indicator 4</t>
  </si>
  <si>
    <t>Neighborhood Code</t>
  </si>
  <si>
    <t>[varchar](9)</t>
  </si>
  <si>
    <t>Indicates the neighborhood or geographic area of a parcel. This is a county-provided code. More information can be found at the following link: Neighborhood Codes</t>
  </si>
  <si>
    <t>Condo Project /  Bldg Name</t>
  </si>
  <si>
    <t xml:space="preserve">The name of a condominium building or complex and/or building name or complex. </t>
  </si>
  <si>
    <t>Other Impr Building Indicator 5</t>
  </si>
  <si>
    <t>See description for Other_Impr_Building_Indicator_1</t>
  </si>
  <si>
    <t>Amenities 2 (see Field #182)</t>
  </si>
  <si>
    <t xml:space="preserve">See description for Amenities; If more than five codes can be moved to Amenities this field is used for up to five additional codes. </t>
  </si>
  <si>
    <t>Other Impr Building Area 1</t>
  </si>
  <si>
    <t>Contains the measurements of their respective Buildings and Improvements described in Other Impr Bldg Ind 1-5</t>
  </si>
  <si>
    <t>Other Impr Building Area 2</t>
  </si>
  <si>
    <t>See description for Other_Impr_Building_Area_1</t>
  </si>
  <si>
    <t>Other Impr Building Area 3</t>
  </si>
  <si>
    <t>Other Impr Building Area 4</t>
  </si>
  <si>
    <t>Other Impr Building Area 5</t>
  </si>
  <si>
    <t>Other Rooms</t>
  </si>
  <si>
    <t xml:space="preserve">This field describes the rooms within the main building/house, if provided by the county. You can move up to five (5) codes per parcel. </t>
  </si>
  <si>
    <t>Extra Features 1 Area</t>
  </si>
  <si>
    <t>Allow for identifying areas for up to 4 extra features, such as driveways, fences, paving. An exterior feature potentially adds value to the property, but is NOT a building or attribute that has been designated under Other Buildings/Improvements. The area of the feature moves to Extra Features Area, expressed in square feet and/or dimensions, and a one or two-digit code describing the feature moves to Extra Features Area Indicator. It is not necessary for this field to be populated to populate the Indicator fields.</t>
  </si>
  <si>
    <t>Extra Features 1 Indicator</t>
  </si>
  <si>
    <t>A one or two-digit code describing the extra feature. The first byte of Extra Feature Indicator represents the feature (driveway, fence, paving) and the 2nd byte, if present, indicates the specific type of feature.  It is possible for this field to be populated and not the corresponding Extra Features field</t>
  </si>
  <si>
    <t>Topography</t>
  </si>
  <si>
    <t xml:space="preserve">Contains code representing the physical (including man-made) or natural features of the land. </t>
  </si>
  <si>
    <t>Roof Type</t>
  </si>
  <si>
    <t>The architectural style of the roof (gable, mansard, etc). 
See Code Description table</t>
  </si>
  <si>
    <t>Extra Features 2 Area</t>
  </si>
  <si>
    <t>See description for Extra_Features_1_Area</t>
  </si>
  <si>
    <t>Extra Features 2 Indicator</t>
  </si>
  <si>
    <t>See description for Extra_Features_1_Indicator</t>
  </si>
  <si>
    <t>Extra Features 3 Area</t>
  </si>
  <si>
    <t>Extra Features 3 Indicator</t>
  </si>
  <si>
    <t>Extra Features 4 Area</t>
  </si>
  <si>
    <t>Extra Features 4 Indicator</t>
  </si>
  <si>
    <t>Old APN</t>
  </si>
  <si>
    <t>[varchar](31)</t>
  </si>
  <si>
    <t>This field will list the APN previously used by the county to identify the property. In addition, an alternate APN can be moved to this field when available. In case of a conflict, the OLD APN supersedes the Alternate APN since this field is meant to provide a way to tie back to previous editions. This field will only be populated for a period of years, not to exceed five, after the county assessor has changed its parcel numbering system. Mail_CareOf_Name_Type (redefined to Old/Alt APN Indicator) will indicate whether this field is an Old or Alternate APN. Subdivision/Split – When an APN was 1 parcel number last year and this year it has been split into multiple parcels in the new edition file; the parcels in the new edition should have field Alt/Old APN  populated with the 1 parcel number from last year’s file and move “S” to Alt/Old APN Indicator field.</t>
  </si>
  <si>
    <t>Building Condition</t>
  </si>
  <si>
    <t xml:space="preserve">Additional information regarding a parcel. This information may come from a comments field provided by the county or can be information added by the analyst. If Duplicate parcels are present, this field contains a Summary of multiple building records and should contain the Improvement # and any available physical characteristics. </t>
  </si>
  <si>
    <t xml:space="preserve">Lot Size - Frontage Feet </t>
  </si>
  <si>
    <t xml:space="preserve">This field provides the frontage measurement of the property when provided by the county assessor.
This field is expressed numerically with an implied decimal of 1 (9v1).
This field will contain the area in Frontage Feet only as opposed to Original Lot Size or Area [77] which can be populated several different ways. 
The county may provide both an actual and effective frontage. Priority is given to the actual frontage. </t>
  </si>
  <si>
    <t>Lot Size - Depth Feet</t>
  </si>
  <si>
    <t xml:space="preserve">This field provides the depth measurement of the property when provided by the county assessor.
This field is expressed numerically with an implied decimal of 1 (9v1).
This field will contain the area in Depth Feet only as opposed to Original Lot Size or Area [77] which can be populated several different ways. 
The county may provide both an actual and effective depth. Priority is given to the actual depth.  </t>
  </si>
  <si>
    <t>Comments:  Summary of Building Cards ("DR" Records)</t>
  </si>
  <si>
    <t>[varchar](120)</t>
  </si>
  <si>
    <t>Water</t>
  </si>
  <si>
    <t xml:space="preserve">Contains codes representing the water system for the property. </t>
  </si>
  <si>
    <t>Sewer</t>
  </si>
  <si>
    <t xml:space="preserve">Contains codes representing the waste disposal/sewage system for the property. </t>
  </si>
  <si>
    <t>Match Code (from GeoStan)</t>
  </si>
  <si>
    <t>See GeoStan Status codes: Match Code</t>
  </si>
  <si>
    <t>Location Code (from GeoStan)</t>
  </si>
  <si>
    <t>See GeoStan Status codes: Location Code</t>
  </si>
  <si>
    <t>RawPropertyHouseNumber</t>
  </si>
  <si>
    <t>Raw Property Address component as provided by source</t>
  </si>
  <si>
    <t>RawPropertyHouseAlpha</t>
  </si>
  <si>
    <t>RawPropertyStreetDirectionLeft</t>
  </si>
  <si>
    <t>RawPropertyStreetName</t>
  </si>
  <si>
    <t>RawPropertyStreetSuffix</t>
  </si>
  <si>
    <t>RawPropertyStreetDirectionRight</t>
  </si>
  <si>
    <t>RawPropertyUnitNumber</t>
  </si>
  <si>
    <t>RawPropertyFullStreetAddress</t>
  </si>
  <si>
    <t>RawPropertyCityName</t>
  </si>
  <si>
    <t>RawPropertyState</t>
  </si>
  <si>
    <t>RawPropertyZipCode</t>
  </si>
  <si>
    <t>RawPropertyZip4</t>
  </si>
  <si>
    <t>RawMailingHouseNumber</t>
  </si>
  <si>
    <t>RawMailingHouseAlpha</t>
  </si>
  <si>
    <t>RawMailingStreetDirectionLeft</t>
  </si>
  <si>
    <t>RawMailingStreetName</t>
  </si>
  <si>
    <t>RawMailingStreetSuffix</t>
  </si>
  <si>
    <t>RawMailingStreetDirectionRight</t>
  </si>
  <si>
    <t>RawMailingUnitNumber</t>
  </si>
  <si>
    <t>RawMailingFullStreetAddress</t>
  </si>
  <si>
    <t>RawMailingCityName</t>
  </si>
  <si>
    <t>RawMailingState</t>
  </si>
  <si>
    <t>RawMailingZipCode</t>
  </si>
  <si>
    <t>RawMailingZip4</t>
  </si>
  <si>
    <t>Edition</t>
  </si>
  <si>
    <t>The number of times a county is compiled by BKFS on an annual basis, beginning with "01" for year 1.</t>
  </si>
  <si>
    <t>Owner1FirstName</t>
  </si>
  <si>
    <t>Parsed Owner Name 1 First Name</t>
  </si>
  <si>
    <t>Owner1MiddleName</t>
  </si>
  <si>
    <t>Parsed Owner Name 1 Middle Name</t>
  </si>
  <si>
    <t>Owner1LastName</t>
  </si>
  <si>
    <t>Parsed Owner Name 1 Last Name</t>
  </si>
  <si>
    <t>Owner2Firstname</t>
  </si>
  <si>
    <t>Parsed Owner Name 2 First Name</t>
  </si>
  <si>
    <t>Owner2MiddleName</t>
  </si>
  <si>
    <t>Parsed Owner Name 2 Middle Name</t>
  </si>
  <si>
    <t>Owner2LastName</t>
  </si>
  <si>
    <t>Parsed Owner Name 2 Last Name</t>
  </si>
  <si>
    <t>ParsedOwnerSourceCode</t>
  </si>
  <si>
    <t>Indicates the source of the Parsed Owner Names:
1=Parsed owner name from Deed.
2=Parsed owner name from Mortgage (SAM)
3=Owner Name programmatically parsed
4=Not able to parse Owner Name</t>
  </si>
  <si>
    <t>BKI Distinct Property ID (DPID)</t>
  </si>
  <si>
    <t>varchar(40)</t>
  </si>
  <si>
    <t>Unique persistent ID of each property record</t>
  </si>
  <si>
    <t>Deed Data Dictionary</t>
  </si>
  <si>
    <t>6/9/2021</t>
  </si>
  <si>
    <t>For Address components, see Property Address fields on Assessment Tab (Fields #6-18).</t>
  </si>
  <si>
    <t>Not necessarily the same as Legal: City, Municipality, Township (Field #46).</t>
  </si>
  <si>
    <t>See Code Description table.</t>
  </si>
  <si>
    <t xml:space="preserve">May be different from Legal: Unit (Field #45). </t>
  </si>
  <si>
    <t>Recording Date</t>
  </si>
  <si>
    <t>The official date of the document recordation. YYYYMMDD</t>
  </si>
  <si>
    <t>Recorder’s Book Number</t>
  </si>
  <si>
    <t>Some counties only use Book &amp; Page reference without the Document Number, others may use only the Document number.</t>
  </si>
  <si>
    <t>Recorder’s Page Number</t>
  </si>
  <si>
    <t>See explanation for Book Number (Field #16).</t>
  </si>
  <si>
    <t>Recorder’s Document Number</t>
  </si>
  <si>
    <t>Sequential number assigned to documents at the time of recording for identification and to establish the order of recordation.</t>
  </si>
  <si>
    <t>Document Type Code</t>
  </si>
  <si>
    <t xml:space="preserve">See Code Description table.  </t>
  </si>
  <si>
    <t>Assessor's Parcel Number or Parcel Identification Number.  When available on the document.</t>
  </si>
  <si>
    <t>Multi-APN Flag</t>
  </si>
  <si>
    <t>Indicates the number of APNs (2-9) appearing on the conveying instrument.  Left blank if only one parcel.  See Code Description table.</t>
  </si>
  <si>
    <t>Partial Interest Transferred</t>
  </si>
  <si>
    <t>Whenever LESS than 100% ownership interest is transferred by the recorded instrument.  For example, a partner sells only his 50% interest.  This also applies to transfers where the Grantors entire ownership interest is LESS than 100%.  For example, the Grantor conveys all of his interest in the property, which is a 25% interest.  When the percentage is a single digit (1-9), it is preceded with a zero:  5% = 05.  When interest shown is a whole number plus a value after the decimal or fraction, it is rounded to nearest whole number only:  75.5% = 76;  33 1/3% = 33, etc.
See Code Description table for other possible field values.
Note:  If there are two or more parties each conveying a partial interest, where the total interest conveyed equals 100% - NOT a partial interest.</t>
  </si>
  <si>
    <t>#1 - Seller First Name &amp; Middle Name</t>
  </si>
  <si>
    <r>
      <t xml:space="preserve">The first name and middle </t>
    </r>
    <r>
      <rPr>
        <u/>
        <sz val="9"/>
        <rFont val="Calibri"/>
        <family val="2"/>
      </rPr>
      <t>name</t>
    </r>
    <r>
      <rPr>
        <sz val="9"/>
        <rFont val="Calibri"/>
        <family val="2"/>
      </rPr>
      <t xml:space="preserve"> (when present) without abbreviations, or first name and middle initial (if that is how it appears on the document).</t>
    </r>
  </si>
  <si>
    <t>#1 - Seller Last Name OR Corporation Name</t>
  </si>
  <si>
    <t>If the last name is composed of two names, both are entered in the sequence they appear separated with a space, e.g. Mary B. Ashley Taylor, entered as:  ASHLEY TAYLOR
Last names such as Mc Neil, O'Brien, etc. are entered with no space, apostrophe or any other punctuation e.g. OBRIEN, MCNEIL.
Names followed by 2nd, 3rd, or 4th are entered in the last name field after the name as roman numerals:  2nd = SMITH II, 3rd = SMITH III, 4th = SMITH IV.
All other title designations are entered after the last name, such as:  JR, SR, ESQ, PHD
If Seller Name is blurred or missing from document, this field will show:  
NOT PROVIDED</t>
  </si>
  <si>
    <t>#1 - Seller ID Code</t>
  </si>
  <si>
    <t xml:space="preserve">Used to identify the nature of each grantor keyed from the recorded document.  See Code Description table.  </t>
  </si>
  <si>
    <t>#2 - Seller First Name &amp; Middle Name</t>
  </si>
  <si>
    <t>See definition for #1 - Seller First Name &amp; Middle Name (Field #25).</t>
  </si>
  <si>
    <t>#2 - Seller Last Name OR Corporation Name</t>
  </si>
  <si>
    <t>See definition for #1 - Seller Last Name or Corporation (Field #26).</t>
  </si>
  <si>
    <t>#2 - Seller ID Code</t>
  </si>
  <si>
    <t>#1 - Buyer First Name &amp; Middle Name</t>
  </si>
  <si>
    <t>The first name and middle name (when present) without abbreviations, or first name and middle initial (if that is how it appears on the document).</t>
  </si>
  <si>
    <t>#1 - Buyer Last Name OR Corporation Name</t>
  </si>
  <si>
    <t>If the last name is composed of two names, both are entered in the sequence they appear separated with a space, e.g. Mary B. Ashley Taylor, entered as:  ASHLEY TAYLOR
Last names such as Mc Neil, O'Brien, etc. are entered with no space, apostrophe or any other punctuation e.g. OBRIEN, MCNEIL.
Names followed by 2nd, 3rd, or 4th are entered in the last name field after the name as roman numerals:  2nd = SMITH II, 3rd = SMITH III, 4th = SMITH IV.
All other title designations are entered after the last name, such as:  JR, SR, ESQ, PHD
If Buyer Name is blurred or missing from document, this field will show:  
NOT PROVIDED</t>
  </si>
  <si>
    <t>#1 - Buyer ID Code</t>
  </si>
  <si>
    <t xml:space="preserve">Used to identify the nature of each grantee keyed from the recorded document.  See Code Description table.  </t>
  </si>
  <si>
    <t>#2 - Buyer First Name &amp; Middle Name</t>
  </si>
  <si>
    <t>See definition for #1 - Buyer First Name &amp; Middle Name (Field #28).</t>
  </si>
  <si>
    <t>#2 - Buyer Last Name OR Corporation Name</t>
  </si>
  <si>
    <t>See definition for #1 - Buyer Last Name or Corporation (Field #29).</t>
  </si>
  <si>
    <t>#2 - Buyer ID Code</t>
  </si>
  <si>
    <t>Buyer Vesting Code</t>
  </si>
  <si>
    <t>The vesting code, when present, indicates how the buyers took title to the subject property.  See Code Description table.  
Note:  The vesting codes EA and EU should not appear on records being keyed by IDM since we will be picking up all Buyer names involved in the transaction. However, these codes may still apply for transfer data purchased from a 3rd party vendor.</t>
  </si>
  <si>
    <t xml:space="preserve">Concurrent TD: Document Number or Book/Page 
</t>
  </si>
  <si>
    <t>[varchar](19)</t>
  </si>
  <si>
    <t>The sequential Document number or the Book/Page number assigned to the Concurrent Mortgage at the time of recording for identification and to establish the order of recordation.
Note1:  The Document number takes priority if both Document number and Book and Page are recorded on the document.
Note2:  If Book and Page values are keyed, separate the values with a slash ('/') Example: "4778/456" = Book 4778, Page 456</t>
  </si>
  <si>
    <t>Buyer Mail: City</t>
  </si>
  <si>
    <t>See Assessment Tab - Assessee Mail: City Name (Field #28).</t>
  </si>
  <si>
    <t>Buyer Mail: State</t>
  </si>
  <si>
    <t>Buyer Mail: Zip Code</t>
  </si>
  <si>
    <t>Buyer Mail: Zip + 4</t>
  </si>
  <si>
    <t>Identifies properties which include more than one lot or partial lots.  See Code Description table.</t>
  </si>
  <si>
    <t>Legal: Lot Number(s)</t>
  </si>
  <si>
    <t>The individual lot(s) which comprise the property.  The actual lot number(s) such as in a tract or subdivision.  If more than one, as many multiple lot numbers as allowed by the field length are entered, separated with a comma (,) or ampersand (&amp;).  A hyphen is used to indicate a range (-).  Refer to Lot Code (Field #39).</t>
  </si>
  <si>
    <t>Legal: Block</t>
  </si>
  <si>
    <t>The block of the subdivision or city in which the property is located.</t>
  </si>
  <si>
    <t>Legal: Section</t>
  </si>
  <si>
    <t>The section of the city in which the property is located.  Not the same as the “Section” of a Township-Range.  See Legal: Sec/Twn/Rng/Mer (Field #51).</t>
  </si>
  <si>
    <t>Legal: District</t>
  </si>
  <si>
    <t>The district in which the property is located.  Usually a numeric code corresponding to the literal name in Legal: City, Municipality, Township (Field #46).</t>
  </si>
  <si>
    <t>Legal: Land Lot</t>
  </si>
  <si>
    <t>A large portion or tract of land (which may also encompass many individual blocks or lots) in which the property is located.</t>
  </si>
  <si>
    <t>Legal: Unit</t>
  </si>
  <si>
    <t>The subdivision unit number.  Common for condominiums, townhomes, etc.  Not necessarily the same as the Property Unit Number (Field #8).</t>
  </si>
  <si>
    <t>Legal: City, Township, Municipality</t>
  </si>
  <si>
    <t>The jurisdiction in which the property is located.  May be “Unincorporated”, if applicable.  Often a description of the code provided in Legal: District (Field #43).  Not necessarily the same as the Property City (Field #3).</t>
  </si>
  <si>
    <t>[varchar](50)</t>
  </si>
  <si>
    <t>The name of the subdivision, plat, or tract in which the property is located.</t>
  </si>
  <si>
    <t>Legal: Phase Number</t>
  </si>
  <si>
    <t>Generally, the phase of a subdivision or tract development.</t>
  </si>
  <si>
    <t>The number of the tract in which the property is located.   Followed by "POR" (portion of) when applicable.</t>
  </si>
  <si>
    <t>[varchar](200)</t>
  </si>
  <si>
    <t>Lists exceptions, when only a portion of Block, Lot, Tract or Subdivision is entered in the specific field.   Or, when legal description components are not fielded, this field will be populated.  Refer to Complete Legal Description Code (Field #75)</t>
  </si>
  <si>
    <t>Recorder's Map Reference</t>
  </si>
  <si>
    <t>Standardized to identify each portion. Multiples indicated with the ampersand (&amp;), and ranges separated with a hyphen (-). Depending on the length of the Map Reference, spaces may be omitted.</t>
  </si>
  <si>
    <t>Property/Buyer Mailing Address Code</t>
  </si>
  <si>
    <t>Property Use Code</t>
  </si>
  <si>
    <t>Property use as indicated on the trust deed (mortgage) and/or attached Rider.  See Code Description table.</t>
  </si>
  <si>
    <t>Original Date of Contract</t>
  </si>
  <si>
    <t>The date that the document was executed by the parties.  Pre-dates the recording date.  In some cases, may be the Notary Date.  YYYYMMDD</t>
  </si>
  <si>
    <t>Sales Price</t>
  </si>
  <si>
    <t>Total Sales Price relating to all properties conveyed by the corresponding instrument.  If more than one parcel was included on the conveying instrument there is no way to allot the price to each parcel.  Whenever the recorded document (deed) indicates the actual sales price, it will be entered here in whole dollars - see Sales Price Code = "D" (Field #57).</t>
  </si>
  <si>
    <t>Sales Price Code</t>
  </si>
  <si>
    <t>City Transfer Tax</t>
  </si>
  <si>
    <t>Applies in only designated cities where they levy a city tax on all purchase money real estate transfers within their jurisdiction.  Input Format: 99999v99 (implied decimal)</t>
  </si>
  <si>
    <t>County Transfer Tax</t>
  </si>
  <si>
    <t>Generally appears in the form of a transfer tax stamp on the deed. The stamp amount represents a rate levied by the state per $1,000 of consideration paid in the transaction. Depending on the individual state, the stamp amount when converted to the actual transaction amount, using the corresponding rate, may represent the full sales price or only the amount of equity transferred. i.e. cash down plus any new financing.  Input Format: 99999v99 (implied decimal)</t>
  </si>
  <si>
    <t>Total Transfer Tax</t>
  </si>
  <si>
    <t>Unique to certain regions where you add the city and county transfer tax amounts to compute the full sales price.  Input Format: 999999v99 (implied decimal)</t>
  </si>
  <si>
    <t>Concurrent TD: Lender Name (Beneficiary)</t>
  </si>
  <si>
    <t>Name of the beneficiary to the first trust deed (mortgage).
When more that one Lender is reported, only the first Lender appearing on the document is entered.  If a Trust, along with Trustees appear as Lender, then only the Trust Name is entered.
Note:  Whenever we encounter a mortgage/trust deed document that also references an Assignment of Mortgage, our practice is to capture the name of the Lender that ORIGINATED the loan, rather than the name of the Assignee Lender.</t>
  </si>
  <si>
    <t>Concurrent TD: Lender Type</t>
  </si>
  <si>
    <t xml:space="preserve">Concurrent TD: Loan Amount  </t>
  </si>
  <si>
    <t>Mortgage (purchase money) recorded concurrently with the conveying instrument. Reported in dollars only, no commas (,). Not calculated when loan made in installments distributed on a monthly or annual basis.
Note: On Assumed Loans (Field #64 = "A"), the loan amount being assumed is entered here, if available.</t>
  </si>
  <si>
    <t>Concurrent TD: Loan Type</t>
  </si>
  <si>
    <t xml:space="preserve">Indicates the type of loan, if able to determine from the recorded document.  See Code Description table.  </t>
  </si>
  <si>
    <t>Concurrent TD: Type Financing</t>
  </si>
  <si>
    <t>When available will indicate the type of interest rate terms for the concurrent TD AND/OR see Loan Type (Field #64).  Left blank if unknown.  See Code Description table.
Note:
1. When document indicates the loan is initiated at an Adjustable Rate, Type Financing will be "ADJ".
2. When document indicates the loan is initiated with a Fixed Rate, Type Financing will be "FIX".</t>
  </si>
  <si>
    <t>Concurrent TD: Interest Rate</t>
  </si>
  <si>
    <t>When available, initial rate as given on the trust deed or rider.  Input Format: 99v99 (implied decimal)</t>
  </si>
  <si>
    <t>Concurrent TD: Due Date</t>
  </si>
  <si>
    <t>When available, the date the concurrent trust deed will be paid in full.  Format:  YYYYMMDD</t>
  </si>
  <si>
    <t>Concurrent 2nd TD: Loan Amount</t>
  </si>
  <si>
    <t>Loan amount of second trust deed concurrent (subject to) to the original (1st) loan.</t>
  </si>
  <si>
    <t xml:space="preserve">Buyer Mail: Full Street Address </t>
  </si>
  <si>
    <t>For Street Address components, see Property Full Street Address on Assessment Tab (Field #6).</t>
  </si>
  <si>
    <t>Buyer Mail: Unit Type</t>
  </si>
  <si>
    <t>Buyer Mail: Unit Number</t>
  </si>
  <si>
    <t>Auto-assigned internal ID for reference only.</t>
  </si>
  <si>
    <t>Buyer Mail: Care of Name</t>
  </si>
  <si>
    <t>If a C/O Name (%, C/O, Attn, etc.) is present, may not want to consider the address in Fields #35-38 &amp; 69-71 as the actual Buyer Mail Address.</t>
  </si>
  <si>
    <t>Title Company Name</t>
  </si>
  <si>
    <t>[varchar](28)</t>
  </si>
  <si>
    <t>Name of Title Company which issues the certificate of title insurance.  
Taken from the Deed and/or concurrent Trust Deed.  Not coded or abbreviated.
If more than one Title Company Name is reported on the document, this field will report "Multiple" versus an actual Title Company Name.</t>
  </si>
  <si>
    <t>Complete Legal Description Code</t>
  </si>
  <si>
    <t>Adjustable Rate Rider</t>
  </si>
  <si>
    <r>
      <t>(</t>
    </r>
    <r>
      <rPr>
        <b/>
        <u/>
        <sz val="9"/>
        <rFont val="Calibri"/>
        <family val="2"/>
      </rPr>
      <t>Y</t>
    </r>
    <r>
      <rPr>
        <sz val="9"/>
        <rFont val="Calibri"/>
        <family val="2"/>
      </rPr>
      <t>)es = an Adjustable Rate Rider recorded with the trust deed, else blank.</t>
    </r>
  </si>
  <si>
    <t xml:space="preserve">Adjustable Rate Index </t>
  </si>
  <si>
    <t>Identifies the type of index the adjustable loan is tied to.  See Code Description table.</t>
  </si>
  <si>
    <t xml:space="preserve">Change Index </t>
  </si>
  <si>
    <t>Identifies the margin (expressed as a percentage) that is added by the Lender to the interest rate derived from the index.  If that is not available, then the value represents the maximum change in the interest rate at any one time.
Input Format: 99v99 (implied decimal)</t>
  </si>
  <si>
    <t xml:space="preserve">Rate Change Frequency </t>
  </si>
  <si>
    <t>Indicates the frequency the interest rates may change.  See Code Description table.</t>
  </si>
  <si>
    <t>Interest Rate Not Greater Than</t>
  </si>
  <si>
    <t>The maximum interest rate allowed on the first change date (date when loan switched from a fixed to an adjustable interest rate).
Format: 99v99 (implied decimal)</t>
  </si>
  <si>
    <t>Interest Rate Not Less Than</t>
  </si>
  <si>
    <t>The minimum interest rate allowed on the first change date (date when loan switched from a fixed to an adjustable interest rate).
Format: 99v99 (implied decimal)</t>
  </si>
  <si>
    <t>Maximum Interest Rate</t>
  </si>
  <si>
    <t>The maximum interest rate allowed for the loan.
Format: 99v99 (implied decimal)</t>
  </si>
  <si>
    <t>Interest Only Period</t>
  </si>
  <si>
    <r>
      <t>If available, the actual interest only period (expressed in years) OR 
(</t>
    </r>
    <r>
      <rPr>
        <b/>
        <u/>
        <sz val="9"/>
        <rFont val="Calibri"/>
        <family val="2"/>
      </rPr>
      <t>Y</t>
    </r>
    <r>
      <rPr>
        <sz val="9"/>
        <rFont val="Calibri"/>
        <family val="2"/>
      </rPr>
      <t>)es = the loan has an interest-only period.</t>
    </r>
  </si>
  <si>
    <t>Fixed/Step (Conversion) Rate Rider</t>
  </si>
  <si>
    <t>Indicates initial state of the interest rate (fixed, variable, etc) for the concurrent loan, if available.  See Code Description table.</t>
  </si>
  <si>
    <t>First Change Date - Year (Conversion Rider)</t>
  </si>
  <si>
    <t>The year that the loan converts from a FIXED to ADJUSTABLE interest rate.  
Format: YY (Two digit year; 2005 = "05")</t>
  </si>
  <si>
    <t>First Change Date - Month &amp; Day (Conversion Rider)</t>
  </si>
  <si>
    <t>The Month and Day that the loan converts from a FIXED to ADJUSTABLE interest rate.  
Format: MMDD</t>
  </si>
  <si>
    <t>Prepayment Rider</t>
  </si>
  <si>
    <r>
      <t>(</t>
    </r>
    <r>
      <rPr>
        <b/>
        <u/>
        <sz val="9"/>
        <rFont val="Calibri"/>
        <family val="2"/>
      </rPr>
      <t>Y</t>
    </r>
    <r>
      <rPr>
        <sz val="9"/>
        <rFont val="Calibri"/>
        <family val="2"/>
      </rPr>
      <t>)es = a Prepayment Rate Rider recorded with the trust deed.  Refer to Prepayment Term (Field #88).</t>
    </r>
  </si>
  <si>
    <t>Prepayment Term (Penalty Rider)</t>
  </si>
  <si>
    <t>The number of months that the originated loan must remain active.  If the loan is paid off early, the borrower will pay a prepayment penalty.  Always expressed in months:  12, 18, 24, 36 are the most common.</t>
  </si>
  <si>
    <t>Assessor's Land Use</t>
  </si>
  <si>
    <t>Standardized Land Use derived from Assessment Record.  See Separate Land-Use Table.</t>
  </si>
  <si>
    <t>Residential Indicator</t>
  </si>
  <si>
    <t>Indicates Residential Use based on Assessor's Land Use (Field #89).</t>
  </si>
  <si>
    <t>Construction Loan</t>
  </si>
  <si>
    <t>Indicates the concurrent mortgage is a building/ construction loan.  Loan Type (Field #64) = "B"</t>
  </si>
  <si>
    <t>Inter-Family</t>
  </si>
  <si>
    <t>Indicates the document is an inter-family transfer.  Document Type (Field #19) = "IT"</t>
  </si>
  <si>
    <t>Cash Purchase</t>
  </si>
  <si>
    <t>Indicates the concurrent mortgage is for cash.  Loan Type (Field #64) = "C"</t>
  </si>
  <si>
    <t>Stand-Alone Refi</t>
  </si>
  <si>
    <t>Indicates the concurrent mortgage is a stand-alone second.  Loan Type (Field #64) = "2"</t>
  </si>
  <si>
    <t>Equity Credit Line</t>
  </si>
  <si>
    <t>Indicates the concurrent mortgage is a home equity credit line.  Loan Type (Field #64) = "E"</t>
  </si>
  <si>
    <t>REO-Flag</t>
  </si>
  <si>
    <t>0=NOT REO; 1=REO-IN; 2=REO-OUT</t>
  </si>
  <si>
    <t>DistressedSaleFlag</t>
  </si>
  <si>
    <t>1 indicates transaction deemed to be a Distressed; 0 = No</t>
  </si>
  <si>
    <t xml:space="preserve">Seller Mail Address:  Full Street </t>
  </si>
  <si>
    <t>Seller Mail Address:  Unit Number</t>
  </si>
  <si>
    <t>Seller Mail Address:  City Name</t>
  </si>
  <si>
    <t>Seller Mail Address:  State Code</t>
  </si>
  <si>
    <t>Seller Mail Address:  Zip Code</t>
  </si>
  <si>
    <t>Seller Mail Address:  Zip + 4</t>
  </si>
  <si>
    <t>Deed Transaction Type</t>
  </si>
  <si>
    <t>Current Valid Deed Codes are:
1=Non-Arms length transfer
2=Residential Resale
3=Residential New Construction Sale
6=Foreclosure or Distress Sale
9=Insured Non-residential Grant Deeds</t>
  </si>
  <si>
    <t>Loan Transaction Type</t>
  </si>
  <si>
    <t>Current Valid Codes are:
4=HELOCS (Purchase and Non-Purchase)
5=REFI and 2nd Trust Deed (Purchase and Non-Purchase)
7=Residential Resale Purchase Money Loan
8=Construction Loan (Purchase Money and Non-Purchase)
10=New Construction Purchase Money Loan
11=Non-Residential Mortgages (Purchase and Non-Purchase)</t>
  </si>
  <si>
    <r>
      <t>Unique ID to link the various datasets together. This takes into account old/alternate apn matching as well</t>
    </r>
    <r>
      <rPr>
        <i/>
        <sz val="8"/>
        <color theme="1"/>
        <rFont val="Calibri"/>
        <family val="2"/>
        <scheme val="minor"/>
      </rPr>
      <t/>
    </r>
  </si>
  <si>
    <t>Stand-Alone Mortgage (SAM) Data Dictionary</t>
  </si>
  <si>
    <t>Not necessarily the same as Legal: City, Municipality, Township (Field #34).</t>
  </si>
  <si>
    <t xml:space="preserve">May be different from Legal: Unit (Field #33). </t>
  </si>
  <si>
    <t>Record Type</t>
  </si>
  <si>
    <t>See explanation for Book Number (Field #17).</t>
  </si>
  <si>
    <t>#1 - Borrower First Name &amp; Middle Name</t>
  </si>
  <si>
    <t>#1 - Borrower Last Name OR Corporation Name</t>
  </si>
  <si>
    <t>If the last name is composed of two names, both are entered in the sequence they appear separated with a space, e.g. Mary B. Ashley Taylor, entered as:  ASHLEY TAYLOR
Last names such as Mc Neil, O'Brien, etc. are entered with no space, apostrophe or any other punctuation e.g. OBRIEN, MCNEIL.
Names followed by 2nd, 3rd, or 4th are entered in the last name field after the name as roman numerals:  2nd = SMITH II, 3rd = SMITH III, 4th = SMITH IV.
All other title designations are entered after the last name, such as:  JR, SR, ESQ, PHD
If Borrower Name is blurred or missing from document, this field will show:  
NOT PROVIDED</t>
  </si>
  <si>
    <t>#1 - Borrower ID Code</t>
  </si>
  <si>
    <t>#2 - Borrower First Name &amp; Middle Name</t>
  </si>
  <si>
    <t>See definition for #1 - Borrower First Name &amp; Middle Name (Field #21).</t>
  </si>
  <si>
    <t>#2 - Borrower Last Name OR Corporation Name</t>
  </si>
  <si>
    <t>See definition for #1 - Borrower Last Name or Corporation (Field #22).</t>
  </si>
  <si>
    <t>#2 - Borrower ID Code</t>
  </si>
  <si>
    <t>Borrower Vesting Code</t>
  </si>
  <si>
    <t>The vesting code, when present, indicates how the borrowers took title to the subject property.  See Code Description table.  
Note:  The vesting codes EA and EU should not appear on records being keyed by IDM since we will be picking up all Buyer names involved in the transaction. However, these codes may still apply for transfer data purchased from a 3rd party vendor.</t>
  </si>
  <si>
    <t xml:space="preserve">The individual lot(s) which comprise the property.  The actual lot number(s) such as in a tract or subdivision.  If more than one, as many multiple lot numbers as allowed by the field length are entered, separated with a comma (,) or ampersand (&amp;).  A hyphen is used to indicate a range (-).  </t>
  </si>
  <si>
    <t>The section of the city in which the property is located.  Not the same as the “Section” of a Township-Range.  See Legal: Sec/Twn/Rng/Mer (Field #39).</t>
  </si>
  <si>
    <t>The district in which the property is located.  Usually a numeric code corresponding to the literal name in Legal: City, Municipality, Township (Field #34).</t>
  </si>
  <si>
    <t>The jurisdiction in which the property is located.  May be “Unincorporated”, if applicable.  Often a description of the code provided in Legal: District (Field #31).  Not necessarily the same as the Property City (Field #3).</t>
  </si>
  <si>
    <t>[varchar](100)</t>
  </si>
  <si>
    <t>Lists exceptions, when only a portion of Block, Lot, Tract or Subdivision is entered in the specific field.   Or, when legal description components are not fielded, this field will be populated.</t>
  </si>
  <si>
    <t>Lender Name (Beneficiary)</t>
  </si>
  <si>
    <t>Name of the beneficiary.  When more that one Lender is reported, only the first Lender appearing on the document is entered.  If a Trust, along with Trustees appear as Lender, then only the Trust Name is entered.
Note:  Whenever we encounter a mortgage/trust deed document that also references an Assignment of Mortgage, our practice is to capture the name of the Lender that ORIGINATED the loan, rather than the name of the Assignee Lender.</t>
  </si>
  <si>
    <t>Lender Name ID</t>
  </si>
  <si>
    <t>An internal unique numeric code assigned to each identified lender.</t>
  </si>
  <si>
    <t>Lender Type</t>
  </si>
  <si>
    <t xml:space="preserve">Loan Amount  </t>
  </si>
  <si>
    <r>
      <t xml:space="preserve">Whole dollars only. Not calculated when loan made in installments distributed on a monthly or annual basis.
</t>
    </r>
    <r>
      <rPr>
        <sz val="9"/>
        <color indexed="8"/>
        <rFont val="Calibri"/>
        <family val="2"/>
      </rPr>
      <t>Note: On Assumed Loans (Field #44 = "A"), the loan amount being assumed is entered here, if available.</t>
    </r>
  </si>
  <si>
    <t>Loan Type</t>
  </si>
  <si>
    <t>Type Financing</t>
  </si>
  <si>
    <t>When available will indicate the type of interest rate terms AND/OR see Loan Type (Field #44).  Left blank if unknown.  See Code Description table.
Note:
1. When document indicates the loan is initiated at an Adjustable Rate, Type Financing will be "ADJ".
2. When document indicates the loan is initiated with a Fixed Rate, Type Financing will be "FIX".</t>
  </si>
  <si>
    <t>Interest Rate</t>
  </si>
  <si>
    <t>When available, initial rate as given on the trust deed or rider.  Input Format: 99v99 (implied decimal).</t>
  </si>
  <si>
    <t>Due Date</t>
  </si>
  <si>
    <t>When available, the date the trust deed will be paid in full.  YYYYMMDD</t>
  </si>
  <si>
    <r>
      <t>(</t>
    </r>
    <r>
      <rPr>
        <b/>
        <u/>
        <sz val="9"/>
        <rFont val="Calibri"/>
        <family val="2"/>
      </rPr>
      <t>Y</t>
    </r>
    <r>
      <rPr>
        <sz val="9"/>
        <rFont val="Calibri"/>
        <family val="2"/>
      </rPr>
      <t>)es = a Prepayment Rate Rider recorded with the trust deed.  Refer to Prepayment Term (Field #60).</t>
    </r>
  </si>
  <si>
    <t>Borrower Mail: Unit Number</t>
  </si>
  <si>
    <t>Borrower Mail: City</t>
  </si>
  <si>
    <t>Borrower Mail: State</t>
  </si>
  <si>
    <t>Borrower Mail: Zip Code</t>
  </si>
  <si>
    <t>Borrower Mail: Zip + 4</t>
  </si>
  <si>
    <t>The date that the document was executed by the parties.  Pre-dates the recording date.  In some cases, may be the Notary Date.   YYYYMMDD</t>
  </si>
  <si>
    <t>Name of Title Company which issues the certificate of title insurance.  Not coded or abbreviated.
If more than one Title Company Name is reported on the document, this field will report "Multiple" versus an actual Title Company Name.</t>
  </si>
  <si>
    <t>Lender DBA Name</t>
  </si>
  <si>
    <t>Lender DBA/AKA Name.  Not preceded with letters "DBA" or "AKA".  If present, Lender Care of Name is preceded by "C/O".  "DBA" takes priority over "C/O" if both are present on the same document.</t>
  </si>
  <si>
    <t>Lender Mail: Full Street Address</t>
  </si>
  <si>
    <t>Lender Address (Fields #70-75) keyed for Private Party Lenders only (Field #42 = "P" or "S").  For Street Address components, see Property Full Street Address on Assessment Tab (Field #6).
Note:  Lender Zip (Field #74) keyed for all Lenders.</t>
  </si>
  <si>
    <t>Lender Mail: Unit</t>
  </si>
  <si>
    <t>Lender Mail: City</t>
  </si>
  <si>
    <t>Lender Mail: State</t>
  </si>
  <si>
    <t>Lender Mail: Zip Code</t>
  </si>
  <si>
    <t>Lender Mail: Zip + 4</t>
  </si>
  <si>
    <t>Loan Term - Months</t>
  </si>
  <si>
    <t>Term of the Loan expressed in Months (i.e. 360 months).   NOT calculated to populate field.
Value will appear in this field OR field #77 or both will be blank.</t>
  </si>
  <si>
    <t>Loan Term - Years</t>
  </si>
  <si>
    <t>Term of the Loan expressed in Year (i.e. 30 years).   NOT calculated to populate field.
Value will appear in this field OR field #76 or both will be blank.</t>
  </si>
  <si>
    <t>Loan Number</t>
  </si>
  <si>
    <t>When available on the document, the unique number assigned to the Loan.  Format varies.</t>
  </si>
  <si>
    <t>Indicates Residential Use based on Assessor's Land Use (Field #86).</t>
  </si>
  <si>
    <t>Indicates the concurrent mortgage is a building/ construction loan.  Loan Type (Field #44) = "B"</t>
  </si>
  <si>
    <t>Indicates the concurrent mortgage is for cash.  Loan Type (Field #44) = "C"</t>
  </si>
  <si>
    <t>Indicates the concurrent mortgage is a stand-alone second.  Loan Type (Field #44) = "2"</t>
  </si>
  <si>
    <t>Indicates the concurrent mortgage is a home equity credit line.  Loan Type (Field #44) = "E"</t>
  </si>
  <si>
    <t>CONFIDENTIAL AND PROPRIETARY: The contents herein are the confidential and the proprietary property of Black Knight Inc. and its affiliates, and are intended solely for the internal use of the addressee for the purposes for which it was provided without any rights to redistribute or otherwise provide to any third party. The information contained herein is subject to change.</t>
  </si>
  <si>
    <t>Black Knight Unique Keys</t>
  </si>
  <si>
    <t>DataType</t>
  </si>
  <si>
    <t>UniqueKey</t>
  </si>
  <si>
    <t>Alternate Key</t>
  </si>
  <si>
    <t>Remarks</t>
  </si>
  <si>
    <t>ASMT.FIPS &amp; ASMT.APN or DPID</t>
  </si>
  <si>
    <t>ASMT.FIPS &amp; ASMT.APN &amp; ASMT.Old APN</t>
  </si>
  <si>
    <r>
      <t xml:space="preserve">If accumulating multiple year files, may add ASMT.[Assessment Year] as part of the key.  BKFS may combine multiple assessment year files in the same edition, with different update dates. Edition is the identifier/aggregator used by BKFS for the annual version of a county file.
</t>
    </r>
    <r>
      <rPr>
        <b/>
        <sz val="9"/>
        <color theme="1"/>
        <rFont val="Calibri"/>
        <family val="2"/>
        <scheme val="minor"/>
      </rPr>
      <t>When APN Format changes, the prior assessment year APN will be moved to Old APN column, and Field #147 Alt/Old APN Indicator column will be populated with 'O' for Old APN.</t>
    </r>
  </si>
  <si>
    <t>Deed.FIPS &amp; Deed.PID</t>
  </si>
  <si>
    <t>SAM</t>
  </si>
  <si>
    <t>Deed.FIPS &amp; SAM.PID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</si>
</sst>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eneral_)"/>
  </numFmts>
  <fonts count="54">
    <font>
      <sz val="11"/>
      <color theme="1"/>
      <name val="Calibri"/>
      <family val="2"/>
      <scheme val="minor"/>
    </font>
    <font>
      <sz val="12"/>
      <name val="Arial MT"/>
    </font>
    <font>
      <sz val="10"/>
      <name val="Arial"/>
      <family val="2"/>
    </font>
    <font>
      <b/>
      <sz val="9"/>
      <color indexed="8"/>
      <name val="Calibri"/>
      <family val="2"/>
    </font>
    <font>
      <sz val="9"/>
      <color indexed="8"/>
      <name val="Calibri"/>
      <family val="2"/>
    </font>
    <font>
      <sz val="9"/>
      <name val="Calibri"/>
      <family val="2"/>
    </font>
    <font>
      <b/>
      <u/>
      <sz val="9"/>
      <name val="Calibri"/>
      <family val="2"/>
    </font>
    <font>
      <u/>
      <sz val="9"/>
      <name val="Calibri"/>
      <family val="2"/>
    </font>
    <font>
      <sz val="10"/>
      <name val="Arial"/>
      <family val="2"/>
    </font>
    <font>
      <sz val="10"/>
      <name val="Arial"/>
      <family val="2"/>
    </font>
    <font>
      <sz val="10"/>
      <name val="Book Antiqua"/>
      <family val="1"/>
    </font>
    <font>
      <sz val="12"/>
      <name val="Helv"/>
    </font>
    <font>
      <u/>
      <sz val="8"/>
      <color indexed="12"/>
      <name val="Book Antiqua"/>
      <family val="1"/>
    </font>
    <font>
      <sz val="10"/>
      <name val="MS Sans Serif"/>
      <family val="2"/>
    </font>
    <font>
      <sz val="10"/>
      <name val="Arial"/>
      <family val="2"/>
    </font>
    <font>
      <sz val="10"/>
      <color indexed="8"/>
      <name val="Arial"/>
      <family val="2"/>
    </font>
    <font>
      <sz val="10"/>
      <name val="Arial"/>
      <family val="2"/>
    </font>
    <font>
      <sz val="10"/>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font>
    <font>
      <sz val="11"/>
      <color rgb="FF3F3F76"/>
      <name val="Calibri"/>
      <family val="2"/>
      <scheme val="minor"/>
    </font>
    <font>
      <sz val="11"/>
      <color rgb="FFFA7D00"/>
      <name val="Calibri"/>
      <family val="2"/>
      <scheme val="minor"/>
    </font>
    <font>
      <sz val="11"/>
      <color rgb="FF9C6500"/>
      <name val="Calibri"/>
      <family val="2"/>
      <scheme val="minor"/>
    </font>
    <font>
      <sz val="9"/>
      <color theme="1"/>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9"/>
      <name val="Calibri"/>
      <family val="2"/>
      <scheme val="minor"/>
    </font>
    <font>
      <b/>
      <sz val="8"/>
      <color rgb="FFFFFFFF"/>
      <name val="Calibri"/>
      <family val="2"/>
    </font>
    <font>
      <b/>
      <sz val="14"/>
      <color theme="1"/>
      <name val="Calibri"/>
      <family val="2"/>
      <scheme val="minor"/>
    </font>
    <font>
      <i/>
      <sz val="9"/>
      <color theme="1"/>
      <name val="Calibri"/>
      <family val="2"/>
      <scheme val="minor"/>
    </font>
    <font>
      <u/>
      <sz val="9"/>
      <color theme="1"/>
      <name val="Calibri"/>
      <family val="2"/>
    </font>
    <font>
      <sz val="9"/>
      <color theme="1"/>
      <name val="Calibri"/>
      <family val="2"/>
    </font>
    <font>
      <b/>
      <u/>
      <sz val="9"/>
      <color theme="1"/>
      <name val="Calibri"/>
      <family val="2"/>
    </font>
    <font>
      <i/>
      <sz val="9"/>
      <color theme="1"/>
      <name val="Calibri"/>
      <family val="2"/>
    </font>
    <font>
      <b/>
      <sz val="11"/>
      <name val="Calibri"/>
      <family val="2"/>
      <scheme val="minor"/>
    </font>
    <font>
      <b/>
      <sz val="12"/>
      <color theme="1"/>
      <name val="Calibri"/>
      <family val="2"/>
      <scheme val="minor"/>
    </font>
    <font>
      <b/>
      <sz val="9"/>
      <color theme="1"/>
      <name val="Calibri"/>
      <family val="2"/>
      <scheme val="minor"/>
    </font>
    <font>
      <sz val="9"/>
      <color indexed="8"/>
      <name val="Calibri"/>
      <family val="2"/>
      <scheme val="minor"/>
    </font>
    <font>
      <u/>
      <sz val="11"/>
      <color theme="10"/>
      <name val="Calibri"/>
      <family val="2"/>
      <scheme val="minor"/>
    </font>
    <font>
      <sz val="10"/>
      <color rgb="FFFFFFFF"/>
      <name val="Calibri"/>
      <family val="2"/>
      <scheme val="minor"/>
    </font>
    <font>
      <sz val="10"/>
      <name val="Calibri"/>
      <family val="2"/>
      <scheme val="minor"/>
    </font>
    <font>
      <sz val="10"/>
      <name val="Courier"/>
    </font>
    <font>
      <i/>
      <sz val="8"/>
      <color theme="1"/>
      <name val="Calibri"/>
      <family val="2"/>
      <scheme val="minor"/>
    </font>
  </fonts>
  <fills count="37">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1"/>
        <bgColor indexed="64"/>
      </patternFill>
    </fill>
    <fill>
      <patternFill patternType="solid">
        <fgColor rgb="FFDCB21A"/>
        <bgColor indexed="64"/>
      </patternFill>
    </fill>
    <fill>
      <patternFill patternType="solid">
        <fgColor rgb="FF808080"/>
        <bgColor indexed="64"/>
      </patternFill>
    </fill>
  </fills>
  <borders count="20">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1116">
    <xf numFmtId="0" fontId="0" fillId="0" borderId="0"/>
    <xf numFmtId="0" fontId="18" fillId="2" borderId="0" applyNumberFormat="0" applyBorder="0" applyAlignment="0" applyProtection="0"/>
    <xf numFmtId="0" fontId="18" fillId="3" borderId="0" applyNumberFormat="0" applyBorder="0" applyAlignment="0" applyProtection="0"/>
    <xf numFmtId="0" fontId="18" fillId="4" borderId="0" applyNumberFormat="0" applyBorder="0" applyAlignment="0" applyProtection="0"/>
    <xf numFmtId="0" fontId="18" fillId="5" borderId="0" applyNumberFormat="0" applyBorder="0" applyAlignment="0" applyProtection="0"/>
    <xf numFmtId="0" fontId="18" fillId="6" borderId="0" applyNumberFormat="0" applyBorder="0" applyAlignment="0" applyProtection="0"/>
    <xf numFmtId="0" fontId="18" fillId="7" borderId="0" applyNumberFormat="0" applyBorder="0" applyAlignment="0" applyProtection="0"/>
    <xf numFmtId="0" fontId="18" fillId="8"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21" borderId="0" applyNumberFormat="0" applyBorder="0" applyAlignment="0" applyProtection="0"/>
    <xf numFmtId="0" fontId="19" fillId="22" borderId="0" applyNumberFormat="0" applyBorder="0" applyAlignment="0" applyProtection="0"/>
    <xf numFmtId="0" fontId="19" fillId="23"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20" fillId="26" borderId="0" applyNumberFormat="0" applyBorder="0" applyAlignment="0" applyProtection="0"/>
    <xf numFmtId="0" fontId="21" fillId="27" borderId="11" applyNumberFormat="0" applyAlignment="0" applyProtection="0"/>
    <xf numFmtId="0" fontId="22" fillId="28" borderId="12" applyNumberFormat="0" applyAlignment="0" applyProtection="0"/>
    <xf numFmtId="0" fontId="23" fillId="0" borderId="0" applyNumberFormat="0" applyFill="0" applyBorder="0" applyAlignment="0" applyProtection="0"/>
    <xf numFmtId="0" fontId="24" fillId="29" borderId="0" applyNumberFormat="0" applyBorder="0" applyAlignment="0" applyProtection="0"/>
    <xf numFmtId="0" fontId="25" fillId="0" borderId="13" applyNumberFormat="0" applyFill="0" applyAlignment="0" applyProtection="0"/>
    <xf numFmtId="0" fontId="26" fillId="0" borderId="14" applyNumberFormat="0" applyFill="0" applyAlignment="0" applyProtection="0"/>
    <xf numFmtId="0" fontId="27" fillId="0" borderId="15" applyNumberFormat="0" applyFill="0" applyAlignment="0" applyProtection="0"/>
    <xf numFmtId="0" fontId="27" fillId="0" borderId="0" applyNumberFormat="0" applyFill="0" applyBorder="0" applyAlignment="0" applyProtection="0"/>
    <xf numFmtId="0" fontId="12" fillId="0" borderId="0" applyNumberFormat="0" applyFill="0" applyBorder="0" applyAlignment="0" applyProtection="0">
      <alignment vertical="top"/>
      <protection locked="0"/>
    </xf>
    <xf numFmtId="0" fontId="28"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28"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28" fillId="0" borderId="0" applyNumberFormat="0" applyFill="0" applyBorder="0" applyAlignment="0" applyProtection="0">
      <alignment vertical="top"/>
      <protection locked="0"/>
    </xf>
    <xf numFmtId="0" fontId="28" fillId="0" borderId="0" applyNumberFormat="0" applyFill="0" applyBorder="0" applyAlignment="0" applyProtection="0">
      <alignment vertical="top"/>
      <protection locked="0"/>
    </xf>
    <xf numFmtId="0" fontId="28"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29" fillId="30" borderId="11" applyNumberFormat="0" applyAlignment="0" applyProtection="0"/>
    <xf numFmtId="0" fontId="30" fillId="0" borderId="16" applyNumberFormat="0" applyFill="0" applyAlignment="0" applyProtection="0"/>
    <xf numFmtId="0" fontId="31" fillId="31"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2" fillId="0" borderId="0"/>
    <xf numFmtId="0" fontId="18" fillId="0" borderId="0"/>
    <xf numFmtId="0" fontId="18" fillId="0" borderId="0"/>
    <xf numFmtId="0" fontId="18" fillId="0" borderId="0"/>
    <xf numFmtId="0" fontId="18" fillId="0" borderId="0"/>
    <xf numFmtId="0" fontId="32"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2" fillId="0" borderId="0"/>
    <xf numFmtId="0" fontId="18" fillId="0" borderId="0"/>
    <xf numFmtId="0" fontId="18" fillId="0" borderId="0"/>
    <xf numFmtId="0" fontId="18" fillId="0" borderId="0"/>
    <xf numFmtId="0" fontId="18" fillId="0" borderId="0"/>
    <xf numFmtId="0" fontId="32" fillId="0" borderId="0"/>
    <xf numFmtId="0" fontId="18" fillId="0" borderId="0"/>
    <xf numFmtId="0" fontId="32" fillId="0" borderId="0"/>
    <xf numFmtId="0" fontId="18" fillId="0" borderId="0"/>
    <xf numFmtId="0" fontId="18" fillId="0" borderId="0"/>
    <xf numFmtId="0" fontId="18" fillId="0" borderId="0"/>
    <xf numFmtId="0" fontId="18" fillId="0" borderId="0"/>
    <xf numFmtId="0" fontId="32" fillId="0" borderId="0"/>
    <xf numFmtId="0" fontId="18" fillId="0" borderId="0"/>
    <xf numFmtId="0" fontId="32" fillId="0" borderId="0"/>
    <xf numFmtId="0" fontId="18" fillId="0" borderId="0"/>
    <xf numFmtId="0" fontId="18" fillId="0" borderId="0"/>
    <xf numFmtId="0" fontId="18" fillId="0" borderId="0"/>
    <xf numFmtId="0" fontId="32" fillId="0" borderId="0"/>
    <xf numFmtId="0" fontId="18" fillId="0" borderId="0"/>
    <xf numFmtId="0" fontId="32" fillId="0" borderId="0"/>
    <xf numFmtId="0" fontId="18" fillId="0" borderId="0"/>
    <xf numFmtId="0" fontId="18" fillId="0" borderId="0"/>
    <xf numFmtId="0" fontId="32" fillId="0" borderId="0"/>
    <xf numFmtId="0" fontId="18" fillId="0" borderId="0"/>
    <xf numFmtId="0" fontId="32" fillId="0" borderId="0"/>
    <xf numFmtId="0" fontId="18" fillId="0" borderId="0"/>
    <xf numFmtId="0" fontId="18" fillId="0" borderId="0"/>
    <xf numFmtId="0" fontId="32" fillId="0" borderId="0"/>
    <xf numFmtId="0" fontId="18" fillId="0" borderId="0"/>
    <xf numFmtId="0" fontId="32" fillId="0" borderId="0"/>
    <xf numFmtId="0" fontId="18" fillId="0" borderId="0"/>
    <xf numFmtId="0" fontId="18" fillId="0" borderId="0"/>
    <xf numFmtId="0" fontId="18" fillId="0" borderId="0"/>
    <xf numFmtId="0" fontId="32" fillId="0" borderId="0"/>
    <xf numFmtId="0" fontId="18" fillId="0" borderId="0"/>
    <xf numFmtId="0" fontId="32" fillId="0" borderId="0"/>
    <xf numFmtId="0" fontId="18" fillId="0" borderId="0"/>
    <xf numFmtId="0" fontId="18" fillId="0" borderId="0"/>
    <xf numFmtId="0" fontId="32" fillId="0" borderId="0"/>
    <xf numFmtId="0" fontId="18" fillId="0" borderId="0"/>
    <xf numFmtId="0" fontId="32" fillId="0" borderId="0"/>
    <xf numFmtId="0" fontId="18" fillId="0" borderId="0"/>
    <xf numFmtId="0" fontId="18" fillId="0" borderId="0"/>
    <xf numFmtId="0" fontId="18" fillId="0" borderId="0"/>
    <xf numFmtId="0" fontId="32" fillId="0" borderId="0"/>
    <xf numFmtId="0" fontId="18" fillId="0" borderId="0"/>
    <xf numFmtId="0" fontId="32" fillId="0" borderId="0"/>
    <xf numFmtId="0" fontId="18" fillId="0" borderId="0"/>
    <xf numFmtId="0" fontId="18" fillId="0" borderId="0"/>
    <xf numFmtId="0" fontId="32" fillId="0" borderId="0"/>
    <xf numFmtId="0" fontId="18" fillId="0" borderId="0"/>
    <xf numFmtId="0" fontId="32" fillId="0" borderId="0"/>
    <xf numFmtId="0" fontId="18" fillId="0" borderId="0"/>
    <xf numFmtId="0" fontId="18" fillId="0" borderId="0"/>
    <xf numFmtId="0" fontId="3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2" fillId="0" borderId="0"/>
    <xf numFmtId="0" fontId="18" fillId="0" borderId="0"/>
    <xf numFmtId="0" fontId="18" fillId="0" borderId="0"/>
    <xf numFmtId="0" fontId="32" fillId="0" borderId="0"/>
    <xf numFmtId="0" fontId="18" fillId="0" borderId="0"/>
    <xf numFmtId="0" fontId="32" fillId="0" borderId="0"/>
    <xf numFmtId="0" fontId="18" fillId="0" borderId="0"/>
    <xf numFmtId="0" fontId="18" fillId="0" borderId="0"/>
    <xf numFmtId="0" fontId="32" fillId="0" borderId="0"/>
    <xf numFmtId="0" fontId="18" fillId="0" borderId="0"/>
    <xf numFmtId="0" fontId="32" fillId="0" borderId="0"/>
    <xf numFmtId="0" fontId="18" fillId="0" borderId="0"/>
    <xf numFmtId="0" fontId="18" fillId="0" borderId="0"/>
    <xf numFmtId="0" fontId="32" fillId="0" borderId="0"/>
    <xf numFmtId="0" fontId="18" fillId="0" borderId="0"/>
    <xf numFmtId="0" fontId="32" fillId="0" borderId="0"/>
    <xf numFmtId="0" fontId="18" fillId="0" borderId="0"/>
    <xf numFmtId="0" fontId="18" fillId="0" borderId="0"/>
    <xf numFmtId="0" fontId="32" fillId="0" borderId="0"/>
    <xf numFmtId="0" fontId="18" fillId="0" borderId="0"/>
    <xf numFmtId="0" fontId="32" fillId="0" borderId="0"/>
    <xf numFmtId="0" fontId="18" fillId="0" borderId="0"/>
    <xf numFmtId="0" fontId="18" fillId="0" borderId="0"/>
    <xf numFmtId="0" fontId="32" fillId="0" borderId="0"/>
    <xf numFmtId="0" fontId="18" fillId="0" borderId="0"/>
    <xf numFmtId="0" fontId="32" fillId="0" borderId="0"/>
    <xf numFmtId="0" fontId="18" fillId="0" borderId="0"/>
    <xf numFmtId="0" fontId="18" fillId="0" borderId="0"/>
    <xf numFmtId="0" fontId="32" fillId="0" borderId="0"/>
    <xf numFmtId="0" fontId="18" fillId="0" borderId="0"/>
    <xf numFmtId="0" fontId="32" fillId="0" borderId="0"/>
    <xf numFmtId="0" fontId="18" fillId="0" borderId="0"/>
    <xf numFmtId="0" fontId="18" fillId="0" borderId="0"/>
    <xf numFmtId="0" fontId="32" fillId="0" borderId="0"/>
    <xf numFmtId="0" fontId="18" fillId="0" borderId="0"/>
    <xf numFmtId="0" fontId="32" fillId="0" borderId="0"/>
    <xf numFmtId="0" fontId="18" fillId="0" borderId="0"/>
    <xf numFmtId="0" fontId="18" fillId="0" borderId="0"/>
    <xf numFmtId="0" fontId="32" fillId="0" borderId="0"/>
    <xf numFmtId="0" fontId="18" fillId="0" borderId="0"/>
    <xf numFmtId="0" fontId="32" fillId="0" borderId="0"/>
    <xf numFmtId="0" fontId="18" fillId="0" borderId="0"/>
    <xf numFmtId="0" fontId="18" fillId="0" borderId="0"/>
    <xf numFmtId="0" fontId="32" fillId="0" borderId="0"/>
    <xf numFmtId="0" fontId="18" fillId="0" borderId="0"/>
    <xf numFmtId="0" fontId="32" fillId="0" borderId="0"/>
    <xf numFmtId="0" fontId="18" fillId="0" borderId="0"/>
    <xf numFmtId="0" fontId="18" fillId="0" borderId="0"/>
    <xf numFmtId="0" fontId="3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2" fillId="0" borderId="0"/>
    <xf numFmtId="0" fontId="18" fillId="0" borderId="0"/>
    <xf numFmtId="0" fontId="18" fillId="0" borderId="0"/>
    <xf numFmtId="0" fontId="32" fillId="0" borderId="0"/>
    <xf numFmtId="0" fontId="18" fillId="0" borderId="0"/>
    <xf numFmtId="0" fontId="32" fillId="0" borderId="0"/>
    <xf numFmtId="0" fontId="18" fillId="0" borderId="0"/>
    <xf numFmtId="0" fontId="18" fillId="0" borderId="0"/>
    <xf numFmtId="0" fontId="32" fillId="0" borderId="0"/>
    <xf numFmtId="0" fontId="18" fillId="0" borderId="0"/>
    <xf numFmtId="0" fontId="32" fillId="0" borderId="0"/>
    <xf numFmtId="0" fontId="18" fillId="0" borderId="0"/>
    <xf numFmtId="0" fontId="18" fillId="0" borderId="0"/>
    <xf numFmtId="0" fontId="32" fillId="0" borderId="0"/>
    <xf numFmtId="0" fontId="18" fillId="0" borderId="0"/>
    <xf numFmtId="0" fontId="32" fillId="0" borderId="0"/>
    <xf numFmtId="0" fontId="18" fillId="0" borderId="0"/>
    <xf numFmtId="0" fontId="18" fillId="0" borderId="0"/>
    <xf numFmtId="0" fontId="32" fillId="0" borderId="0"/>
    <xf numFmtId="0" fontId="18" fillId="0" borderId="0"/>
    <xf numFmtId="0" fontId="32" fillId="0" borderId="0"/>
    <xf numFmtId="0" fontId="18" fillId="0" borderId="0"/>
    <xf numFmtId="0" fontId="18" fillId="0" borderId="0"/>
    <xf numFmtId="0" fontId="32" fillId="0" borderId="0"/>
    <xf numFmtId="0" fontId="18" fillId="0" borderId="0"/>
    <xf numFmtId="0" fontId="32" fillId="0" borderId="0"/>
    <xf numFmtId="0" fontId="18" fillId="0" borderId="0"/>
    <xf numFmtId="0" fontId="18" fillId="0" borderId="0"/>
    <xf numFmtId="0" fontId="32" fillId="0" borderId="0"/>
    <xf numFmtId="0" fontId="18" fillId="0" borderId="0"/>
    <xf numFmtId="0" fontId="32" fillId="0" borderId="0"/>
    <xf numFmtId="0" fontId="18" fillId="0" borderId="0"/>
    <xf numFmtId="0" fontId="18" fillId="0" borderId="0"/>
    <xf numFmtId="0" fontId="3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18"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32" fillId="0" borderId="0"/>
    <xf numFmtId="0" fontId="3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6" fillId="0" borderId="0"/>
    <xf numFmtId="0" fontId="2" fillId="0" borderId="0"/>
    <xf numFmtId="0" fontId="2" fillId="0" borderId="0"/>
    <xf numFmtId="0" fontId="16" fillId="0" borderId="0"/>
    <xf numFmtId="0" fontId="2" fillId="0" borderId="0"/>
    <xf numFmtId="0" fontId="2" fillId="0" borderId="0"/>
    <xf numFmtId="0" fontId="16" fillId="0" borderId="0"/>
    <xf numFmtId="0" fontId="2" fillId="0" borderId="0"/>
    <xf numFmtId="0" fontId="2" fillId="0" borderId="0"/>
    <xf numFmtId="0" fontId="16" fillId="0" borderId="0"/>
    <xf numFmtId="0" fontId="2" fillId="0" borderId="0"/>
    <xf numFmtId="0" fontId="2" fillId="0" borderId="0"/>
    <xf numFmtId="0" fontId="32" fillId="0" borderId="0"/>
    <xf numFmtId="0" fontId="32" fillId="0" borderId="0"/>
    <xf numFmtId="0" fontId="18" fillId="0" borderId="0"/>
    <xf numFmtId="0" fontId="32" fillId="0" borderId="0"/>
    <xf numFmtId="0" fontId="17" fillId="0" borderId="0"/>
    <xf numFmtId="0" fontId="2" fillId="0" borderId="0"/>
    <xf numFmtId="0" fontId="2" fillId="0" borderId="0"/>
    <xf numFmtId="0" fontId="17" fillId="0" borderId="0"/>
    <xf numFmtId="0" fontId="2" fillId="0" borderId="0"/>
    <xf numFmtId="0" fontId="2" fillId="0" borderId="0"/>
    <xf numFmtId="0" fontId="18" fillId="0" borderId="0"/>
    <xf numFmtId="0" fontId="18" fillId="0" borderId="0"/>
    <xf numFmtId="0" fontId="2" fillId="0" borderId="0"/>
    <xf numFmtId="0" fontId="2" fillId="0" borderId="0"/>
    <xf numFmtId="0" fontId="2" fillId="0" borderId="0"/>
    <xf numFmtId="0" fontId="2" fillId="0" borderId="0"/>
    <xf numFmtId="0" fontId="18" fillId="0" borderId="0"/>
    <xf numFmtId="0" fontId="18" fillId="0" borderId="0"/>
    <xf numFmtId="164" fontId="11" fillId="0" borderId="0"/>
    <xf numFmtId="0" fontId="18"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2" fillId="0" borderId="0"/>
    <xf numFmtId="0" fontId="9" fillId="0" borderId="0"/>
    <xf numFmtId="0" fontId="2" fillId="0" borderId="0"/>
    <xf numFmtId="0" fontId="2" fillId="0" borderId="0"/>
    <xf numFmtId="0" fontId="2" fillId="0" borderId="0"/>
    <xf numFmtId="0" fontId="9" fillId="0" borderId="0"/>
    <xf numFmtId="0" fontId="2" fillId="0" borderId="0"/>
    <xf numFmtId="0" fontId="2" fillId="0" borderId="0"/>
    <xf numFmtId="0" fontId="2" fillId="0" borderId="0"/>
    <xf numFmtId="164"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9" fillId="0" borderId="0"/>
    <xf numFmtId="0" fontId="2" fillId="0" borderId="0"/>
    <xf numFmtId="0" fontId="2" fillId="0" borderId="0"/>
    <xf numFmtId="0" fontId="2" fillId="0" borderId="0"/>
    <xf numFmtId="0" fontId="10"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13" fillId="0" borderId="0"/>
    <xf numFmtId="0" fontId="13" fillId="0" borderId="0"/>
    <xf numFmtId="0" fontId="13" fillId="0" borderId="0"/>
    <xf numFmtId="0" fontId="13" fillId="0" borderId="0"/>
    <xf numFmtId="0" fontId="13" fillId="0" borderId="0"/>
    <xf numFmtId="0" fontId="13"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5" fillId="0" borderId="0"/>
    <xf numFmtId="0" fontId="18" fillId="0" borderId="0"/>
    <xf numFmtId="0" fontId="18" fillId="0" borderId="0"/>
    <xf numFmtId="0" fontId="18" fillId="0" borderId="0"/>
    <xf numFmtId="0" fontId="18" fillId="0" borderId="0"/>
    <xf numFmtId="0" fontId="15"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2" fillId="32" borderId="17" applyNumberFormat="0" applyFont="0" applyAlignment="0" applyProtection="0"/>
    <xf numFmtId="0" fontId="18" fillId="32" borderId="17" applyNumberFormat="0" applyFont="0" applyAlignment="0" applyProtection="0"/>
    <xf numFmtId="0" fontId="33" fillId="27" borderId="18" applyNumberFormat="0" applyAlignment="0" applyProtection="0"/>
    <xf numFmtId="0" fontId="34" fillId="0" borderId="0" applyNumberFormat="0" applyFill="0" applyBorder="0" applyAlignment="0" applyProtection="0"/>
    <xf numFmtId="0" fontId="35" fillId="0" borderId="19" applyNumberFormat="0" applyFill="0" applyAlignment="0" applyProtection="0"/>
    <xf numFmtId="0" fontId="36" fillId="0" borderId="0" applyNumberFormat="0" applyFill="0" applyBorder="0" applyAlignment="0" applyProtection="0"/>
    <xf numFmtId="0" fontId="2" fillId="0" borderId="0"/>
    <xf numFmtId="0" fontId="18" fillId="0" borderId="0"/>
    <xf numFmtId="0" fontId="18" fillId="0" borderId="0"/>
    <xf numFmtId="0" fontId="49" fillId="0" borderId="0" applyNumberFormat="0" applyFill="0" applyBorder="0" applyAlignment="0" applyProtection="0"/>
    <xf numFmtId="164" fontId="52" fillId="0" borderId="0"/>
  </cellStyleXfs>
  <cellXfs count="91">
    <xf numFmtId="0" fontId="0" fillId="0" borderId="0" xfId="0"/>
    <xf numFmtId="0" fontId="32" fillId="0" borderId="0" xfId="0" applyFont="1"/>
    <xf numFmtId="0" fontId="32" fillId="0" borderId="1" xfId="0" applyFont="1" applyBorder="1" applyAlignment="1">
      <alignment horizontal="center" vertical="top" wrapText="1"/>
    </xf>
    <xf numFmtId="0" fontId="32" fillId="0" borderId="2" xfId="0" applyFont="1" applyBorder="1" applyAlignment="1">
      <alignment horizontal="left" vertical="top" wrapText="1"/>
    </xf>
    <xf numFmtId="0" fontId="32" fillId="0" borderId="2" xfId="0" applyFont="1" applyBorder="1" applyAlignment="1">
      <alignment horizontal="center" vertical="top" wrapText="1"/>
    </xf>
    <xf numFmtId="0" fontId="32" fillId="0" borderId="2" xfId="0" applyFont="1" applyBorder="1" applyAlignment="1">
      <alignment horizontal="center" vertical="top"/>
    </xf>
    <xf numFmtId="0" fontId="37" fillId="0" borderId="2" xfId="0" applyFont="1" applyBorder="1" applyAlignment="1">
      <alignment horizontal="left" vertical="top" wrapText="1"/>
    </xf>
    <xf numFmtId="0" fontId="37" fillId="0" borderId="2" xfId="0" applyFont="1" applyBorder="1" applyAlignment="1">
      <alignment horizontal="center" vertical="top"/>
    </xf>
    <xf numFmtId="0" fontId="37" fillId="0" borderId="2" xfId="1104" applyFont="1" applyBorder="1" applyAlignment="1">
      <alignment horizontal="center" vertical="top"/>
    </xf>
    <xf numFmtId="0" fontId="37" fillId="0" borderId="2" xfId="1104" applyFont="1" applyBorder="1" applyAlignment="1">
      <alignment horizontal="left" vertical="top" wrapText="1"/>
    </xf>
    <xf numFmtId="0" fontId="37" fillId="0" borderId="0" xfId="1104" applyFont="1"/>
    <xf numFmtId="0" fontId="32" fillId="0" borderId="0" xfId="0" applyFont="1" applyAlignment="1">
      <alignment horizontal="left" vertical="top"/>
    </xf>
    <xf numFmtId="0" fontId="32" fillId="0" borderId="0" xfId="0" applyFont="1" applyAlignment="1">
      <alignment horizontal="left" wrapText="1"/>
    </xf>
    <xf numFmtId="0" fontId="32" fillId="0" borderId="1" xfId="0" applyFont="1" applyBorder="1" applyAlignment="1">
      <alignment horizontal="left" vertical="top" wrapText="1"/>
    </xf>
    <xf numFmtId="0" fontId="32" fillId="0" borderId="1" xfId="0" applyFont="1" applyBorder="1" applyAlignment="1">
      <alignment horizontal="center" vertical="top"/>
    </xf>
    <xf numFmtId="10" fontId="32" fillId="0" borderId="2" xfId="0" applyNumberFormat="1" applyFont="1" applyBorder="1" applyAlignment="1">
      <alignment horizontal="left" vertical="top" wrapText="1"/>
    </xf>
    <xf numFmtId="0" fontId="37" fillId="33" borderId="2" xfId="0" applyFont="1" applyFill="1" applyBorder="1" applyAlignment="1">
      <alignment horizontal="center" vertical="top"/>
    </xf>
    <xf numFmtId="0" fontId="32" fillId="33" borderId="2" xfId="0" applyFont="1" applyFill="1" applyBorder="1" applyAlignment="1">
      <alignment horizontal="center" vertical="top"/>
    </xf>
    <xf numFmtId="0" fontId="32" fillId="0" borderId="0" xfId="0" applyFont="1" applyAlignment="1">
      <alignment horizontal="center"/>
    </xf>
    <xf numFmtId="0" fontId="32" fillId="33" borderId="2" xfId="0" applyFont="1" applyFill="1" applyBorder="1" applyAlignment="1">
      <alignment horizontal="left" vertical="top" wrapText="1"/>
    </xf>
    <xf numFmtId="0" fontId="37" fillId="33" borderId="2" xfId="0" applyFont="1" applyFill="1" applyBorder="1" applyAlignment="1">
      <alignment horizontal="left" vertical="top" wrapText="1"/>
    </xf>
    <xf numFmtId="0" fontId="32" fillId="33" borderId="2" xfId="0" applyFont="1" applyFill="1" applyBorder="1" applyAlignment="1">
      <alignment horizontal="center" vertical="top" wrapText="1"/>
    </xf>
    <xf numFmtId="0" fontId="37" fillId="33" borderId="2" xfId="1104" applyFont="1" applyFill="1" applyBorder="1" applyAlignment="1">
      <alignment horizontal="center" vertical="top"/>
    </xf>
    <xf numFmtId="10" fontId="32" fillId="33" borderId="2" xfId="0" applyNumberFormat="1" applyFont="1" applyFill="1" applyBorder="1" applyAlignment="1">
      <alignment horizontal="left" vertical="top" wrapText="1"/>
    </xf>
    <xf numFmtId="0" fontId="37" fillId="33" borderId="2" xfId="1104" applyFont="1" applyFill="1" applyBorder="1" applyAlignment="1">
      <alignment horizontal="left" vertical="top" wrapText="1"/>
    </xf>
    <xf numFmtId="0" fontId="32" fillId="33" borderId="1" xfId="0" applyFont="1" applyFill="1" applyBorder="1" applyAlignment="1">
      <alignment horizontal="left" vertical="top" wrapText="1"/>
    </xf>
    <xf numFmtId="0" fontId="32" fillId="33" borderId="0" xfId="0" applyFont="1" applyFill="1" applyAlignment="1">
      <alignment horizontal="center" vertical="center" wrapText="1"/>
    </xf>
    <xf numFmtId="0" fontId="38" fillId="34" borderId="3" xfId="0" applyFont="1" applyFill="1" applyBorder="1" applyAlignment="1">
      <alignment horizontal="center" vertical="center" wrapText="1"/>
    </xf>
    <xf numFmtId="0" fontId="32" fillId="33" borderId="0" xfId="0" applyFont="1" applyFill="1" applyAlignment="1">
      <alignment horizontal="left" vertical="center" wrapText="1"/>
    </xf>
    <xf numFmtId="0" fontId="32" fillId="33" borderId="0" xfId="0" applyFont="1" applyFill="1" applyAlignment="1">
      <alignment horizontal="center" vertical="center"/>
    </xf>
    <xf numFmtId="0" fontId="32" fillId="33" borderId="0" xfId="0" applyFont="1" applyFill="1" applyAlignment="1">
      <alignment horizontal="left" vertical="center"/>
    </xf>
    <xf numFmtId="0" fontId="38" fillId="34" borderId="4" xfId="0" applyFont="1" applyFill="1" applyBorder="1" applyAlignment="1">
      <alignment horizontal="center" vertical="center" wrapText="1"/>
    </xf>
    <xf numFmtId="0" fontId="37" fillId="33" borderId="2" xfId="0" applyFont="1" applyFill="1" applyBorder="1" applyAlignment="1">
      <alignment horizontal="left" vertical="top"/>
    </xf>
    <xf numFmtId="0" fontId="32" fillId="33" borderId="2" xfId="29" applyFont="1" applyFill="1" applyBorder="1" applyAlignment="1">
      <alignment horizontal="center" vertical="top"/>
    </xf>
    <xf numFmtId="0" fontId="32" fillId="33" borderId="2" xfId="29" applyFont="1" applyFill="1" applyBorder="1" applyAlignment="1">
      <alignment vertical="top"/>
    </xf>
    <xf numFmtId="0" fontId="32" fillId="33" borderId="2" xfId="29" applyFont="1" applyFill="1" applyBorder="1" applyAlignment="1">
      <alignment horizontal="center" vertical="top" wrapText="1"/>
    </xf>
    <xf numFmtId="0" fontId="32" fillId="33" borderId="2" xfId="29" applyFont="1" applyFill="1" applyBorder="1" applyAlignment="1">
      <alignment horizontal="left" vertical="top" wrapText="1"/>
    </xf>
    <xf numFmtId="0" fontId="32" fillId="0" borderId="0" xfId="0" applyFont="1" applyAlignment="1">
      <alignment vertical="top"/>
    </xf>
    <xf numFmtId="0" fontId="32" fillId="0" borderId="2" xfId="128" applyBorder="1" applyAlignment="1">
      <alignment vertical="top" wrapText="1"/>
    </xf>
    <xf numFmtId="0" fontId="32" fillId="0" borderId="2" xfId="180" applyBorder="1" applyAlignment="1">
      <alignment vertical="top" wrapText="1"/>
    </xf>
    <xf numFmtId="0" fontId="32" fillId="0" borderId="2" xfId="153" applyBorder="1" applyAlignment="1">
      <alignment vertical="top" wrapText="1"/>
    </xf>
    <xf numFmtId="0" fontId="32" fillId="0" borderId="2" xfId="164" applyBorder="1" applyAlignment="1">
      <alignment vertical="top" wrapText="1"/>
    </xf>
    <xf numFmtId="0" fontId="32" fillId="0" borderId="2" xfId="169" applyBorder="1" applyAlignment="1">
      <alignment vertical="top" wrapText="1"/>
    </xf>
    <xf numFmtId="0" fontId="32" fillId="0" borderId="2" xfId="175" applyBorder="1" applyAlignment="1">
      <alignment vertical="top" wrapText="1"/>
    </xf>
    <xf numFmtId="0" fontId="32" fillId="0" borderId="2" xfId="198" applyBorder="1" applyAlignment="1">
      <alignment vertical="top" wrapText="1"/>
    </xf>
    <xf numFmtId="0" fontId="32" fillId="0" borderId="2" xfId="218" applyBorder="1" applyAlignment="1">
      <alignment vertical="top"/>
    </xf>
    <xf numFmtId="0" fontId="32" fillId="0" borderId="2" xfId="203" applyBorder="1" applyAlignment="1">
      <alignment vertical="top" wrapText="1"/>
    </xf>
    <xf numFmtId="0" fontId="32" fillId="0" borderId="2" xfId="213" applyBorder="1" applyAlignment="1">
      <alignment vertical="top"/>
    </xf>
    <xf numFmtId="0" fontId="32" fillId="0" borderId="2" xfId="208" applyBorder="1" applyAlignment="1">
      <alignment vertical="top" wrapText="1"/>
    </xf>
    <xf numFmtId="0" fontId="32" fillId="0" borderId="2" xfId="223" applyBorder="1" applyAlignment="1">
      <alignment vertical="top"/>
    </xf>
    <xf numFmtId="0" fontId="32" fillId="0" borderId="2" xfId="233" applyBorder="1" applyAlignment="1">
      <alignment vertical="top" wrapText="1"/>
    </xf>
    <xf numFmtId="0" fontId="32" fillId="0" borderId="2" xfId="238" applyBorder="1" applyAlignment="1">
      <alignment vertical="top" wrapText="1"/>
    </xf>
    <xf numFmtId="0" fontId="32" fillId="0" borderId="2" xfId="271" applyBorder="1" applyAlignment="1">
      <alignment vertical="top" wrapText="1"/>
    </xf>
    <xf numFmtId="0" fontId="32" fillId="0" borderId="2" xfId="266" applyBorder="1" applyAlignment="1">
      <alignment vertical="top" wrapText="1"/>
    </xf>
    <xf numFmtId="0" fontId="32" fillId="0" borderId="2" xfId="286" applyBorder="1" applyAlignment="1">
      <alignment vertical="top" wrapText="1"/>
    </xf>
    <xf numFmtId="0" fontId="32" fillId="0" borderId="2" xfId="286" applyBorder="1" applyAlignment="1">
      <alignment vertical="top"/>
    </xf>
    <xf numFmtId="0" fontId="32" fillId="0" borderId="2" xfId="291" applyBorder="1" applyAlignment="1">
      <alignment vertical="top" wrapText="1"/>
    </xf>
    <xf numFmtId="0" fontId="32" fillId="0" borderId="0" xfId="486" applyFont="1"/>
    <xf numFmtId="0" fontId="32" fillId="0" borderId="0" xfId="486" applyFont="1" applyAlignment="1">
      <alignment horizontal="left" vertical="top"/>
    </xf>
    <xf numFmtId="0" fontId="18" fillId="0" borderId="0" xfId="486"/>
    <xf numFmtId="0" fontId="45" fillId="35" borderId="2" xfId="0" applyFont="1" applyFill="1" applyBorder="1" applyAlignment="1">
      <alignment horizontal="center" vertical="center"/>
    </xf>
    <xf numFmtId="0" fontId="45" fillId="35" borderId="2" xfId="486" applyFont="1" applyFill="1" applyBorder="1" applyAlignment="1">
      <alignment horizontal="center" vertical="center"/>
    </xf>
    <xf numFmtId="0" fontId="18" fillId="0" borderId="0" xfId="486" applyAlignment="1">
      <alignment horizontal="center"/>
    </xf>
    <xf numFmtId="0" fontId="46" fillId="0" borderId="0" xfId="533" applyFont="1" applyAlignment="1">
      <alignment vertical="center"/>
    </xf>
    <xf numFmtId="0" fontId="32" fillId="0" borderId="0" xfId="533" applyFont="1" applyAlignment="1">
      <alignment vertical="center"/>
    </xf>
    <xf numFmtId="0" fontId="32" fillId="0" borderId="0" xfId="533" applyFont="1" applyAlignment="1">
      <alignment vertical="center" wrapText="1"/>
    </xf>
    <xf numFmtId="0" fontId="2" fillId="0" borderId="0" xfId="533"/>
    <xf numFmtId="0" fontId="48" fillId="0" borderId="2" xfId="1111" applyFont="1" applyBorder="1" applyAlignment="1">
      <alignment vertical="top" wrapText="1"/>
    </xf>
    <xf numFmtId="0" fontId="48" fillId="0" borderId="2" xfId="1111" applyFont="1" applyBorder="1" applyAlignment="1">
      <alignment horizontal="center" vertical="top" wrapText="1"/>
    </xf>
    <xf numFmtId="0" fontId="47" fillId="0" borderId="0" xfId="0" applyFont="1"/>
    <xf numFmtId="0" fontId="37" fillId="0" borderId="2" xfId="153" applyFont="1" applyBorder="1" applyAlignment="1">
      <alignment wrapText="1"/>
    </xf>
    <xf numFmtId="0" fontId="37" fillId="0" borderId="2" xfId="291" applyFont="1" applyBorder="1" applyAlignment="1">
      <alignment vertical="top" wrapText="1"/>
    </xf>
    <xf numFmtId="0" fontId="4" fillId="33" borderId="0" xfId="0" applyFont="1" applyFill="1" applyAlignment="1">
      <alignment horizontal="left" vertical="center" wrapText="1"/>
    </xf>
    <xf numFmtId="0" fontId="51" fillId="33" borderId="2" xfId="0" applyFont="1" applyFill="1" applyBorder="1" applyAlignment="1">
      <alignment horizontal="center" vertical="center" wrapText="1"/>
    </xf>
    <xf numFmtId="0" fontId="49" fillId="33" borderId="2" xfId="1114" applyFill="1" applyBorder="1" applyAlignment="1">
      <alignment vertical="center" wrapText="1"/>
    </xf>
    <xf numFmtId="0" fontId="51" fillId="33" borderId="2" xfId="0" applyFont="1" applyFill="1" applyBorder="1" applyAlignment="1">
      <alignment vertical="center" wrapText="1"/>
    </xf>
    <xf numFmtId="164" fontId="32" fillId="0" borderId="2" xfId="1115" applyFont="1" applyBorder="1" applyAlignment="1">
      <alignment horizontal="center" vertical="top"/>
    </xf>
    <xf numFmtId="164" fontId="32" fillId="0" borderId="2" xfId="1115" applyFont="1" applyBorder="1" applyAlignment="1">
      <alignment horizontal="left" vertical="top" wrapText="1"/>
    </xf>
    <xf numFmtId="0" fontId="39" fillId="35" borderId="5" xfId="0" applyFont="1" applyFill="1" applyBorder="1" applyAlignment="1">
      <alignment horizontal="center" vertical="center" wrapText="1"/>
    </xf>
    <xf numFmtId="0" fontId="39" fillId="35" borderId="6" xfId="0" applyFont="1" applyFill="1" applyBorder="1" applyAlignment="1">
      <alignment horizontal="center" vertical="center" wrapText="1"/>
    </xf>
    <xf numFmtId="49" fontId="40" fillId="35" borderId="8" xfId="0" applyNumberFormat="1" applyFont="1" applyFill="1" applyBorder="1" applyAlignment="1">
      <alignment horizontal="center" vertical="top" wrapText="1"/>
    </xf>
    <xf numFmtId="49" fontId="40" fillId="35" borderId="9" xfId="0" applyNumberFormat="1" applyFont="1" applyFill="1" applyBorder="1" applyAlignment="1">
      <alignment horizontal="center" vertical="top" wrapText="1"/>
    </xf>
    <xf numFmtId="0" fontId="50" fillId="36" borderId="5" xfId="0" applyFont="1" applyFill="1" applyBorder="1" applyAlignment="1">
      <alignment vertical="center" wrapText="1"/>
    </xf>
    <xf numFmtId="0" fontId="50" fillId="36" borderId="6" xfId="0" applyFont="1" applyFill="1" applyBorder="1" applyAlignment="1">
      <alignment vertical="center" wrapText="1"/>
    </xf>
    <xf numFmtId="0" fontId="50" fillId="36" borderId="7" xfId="0" applyFont="1" applyFill="1" applyBorder="1" applyAlignment="1">
      <alignment vertical="center" wrapText="1"/>
    </xf>
    <xf numFmtId="0" fontId="4" fillId="33" borderId="0" xfId="0" applyFont="1" applyFill="1" applyAlignment="1">
      <alignment horizontal="left" vertical="center" wrapText="1"/>
    </xf>
    <xf numFmtId="0" fontId="32" fillId="33" borderId="0" xfId="0" applyFont="1" applyFill="1" applyAlignment="1">
      <alignment horizontal="left" vertical="center" wrapText="1"/>
    </xf>
    <xf numFmtId="0" fontId="39" fillId="35" borderId="7" xfId="0" applyFont="1" applyFill="1" applyBorder="1" applyAlignment="1">
      <alignment horizontal="center" vertical="center" wrapText="1"/>
    </xf>
    <xf numFmtId="49" fontId="40" fillId="35" borderId="10" xfId="0" applyNumberFormat="1" applyFont="1" applyFill="1" applyBorder="1" applyAlignment="1">
      <alignment horizontal="center" vertical="top" wrapText="1"/>
    </xf>
    <xf numFmtId="49" fontId="32" fillId="0" borderId="0" xfId="486" applyNumberFormat="1" applyFont="1" applyAlignment="1">
      <alignment horizontal="left" vertical="center" wrapText="1"/>
    </xf>
    <xf numFmtId="0" fontId="22" fillId="34" borderId="0" xfId="486" applyFont="1" applyFill="1" applyAlignment="1">
      <alignment horizontal="center" vertical="center"/>
    </xf>
  </cellXfs>
  <cellStyles count="111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1114" builtinId="8"/>
    <cellStyle name="Hyperlink 2" xfId="34" xr:uid="{00000000-0005-0000-0000-000021000000}"/>
    <cellStyle name="Hyperlink 2 2" xfId="35" xr:uid="{00000000-0005-0000-0000-000022000000}"/>
    <cellStyle name="Hyperlink 2 2 2" xfId="36" xr:uid="{00000000-0005-0000-0000-000023000000}"/>
    <cellStyle name="Hyperlink 2 2 3" xfId="37" xr:uid="{00000000-0005-0000-0000-000024000000}"/>
    <cellStyle name="Hyperlink 2 3" xfId="38" xr:uid="{00000000-0005-0000-0000-000025000000}"/>
    <cellStyle name="Hyperlink 2 3 2" xfId="39" xr:uid="{00000000-0005-0000-0000-000026000000}"/>
    <cellStyle name="Hyperlink 2 4" xfId="40" xr:uid="{00000000-0005-0000-0000-000027000000}"/>
    <cellStyle name="Hyperlink 2 5" xfId="41" xr:uid="{00000000-0005-0000-0000-000028000000}"/>
    <cellStyle name="Hyperlink 2 6" xfId="42" xr:uid="{00000000-0005-0000-0000-000029000000}"/>
    <cellStyle name="Hyperlink 2 7" xfId="43" xr:uid="{00000000-0005-0000-0000-00002A000000}"/>
    <cellStyle name="Input" xfId="44" builtinId="20" customBuiltin="1"/>
    <cellStyle name="Linked Cell" xfId="45" builtinId="24" customBuiltin="1"/>
    <cellStyle name="Neutral" xfId="46" builtinId="28" customBuiltin="1"/>
    <cellStyle name="Normal" xfId="0" builtinId="0"/>
    <cellStyle name="Normal 10" xfId="47" xr:uid="{00000000-0005-0000-0000-00002F000000}"/>
    <cellStyle name="Normal 10 2" xfId="48" xr:uid="{00000000-0005-0000-0000-000030000000}"/>
    <cellStyle name="Normal 10 2 2" xfId="49" xr:uid="{00000000-0005-0000-0000-000031000000}"/>
    <cellStyle name="Normal 10 3" xfId="50" xr:uid="{00000000-0005-0000-0000-000032000000}"/>
    <cellStyle name="Normal 10 3 2" xfId="51" xr:uid="{00000000-0005-0000-0000-000033000000}"/>
    <cellStyle name="Normal 10 4" xfId="52" xr:uid="{00000000-0005-0000-0000-000034000000}"/>
    <cellStyle name="Normal 10 4 2" xfId="53" xr:uid="{00000000-0005-0000-0000-000035000000}"/>
    <cellStyle name="Normal 10 5" xfId="54" xr:uid="{00000000-0005-0000-0000-000036000000}"/>
    <cellStyle name="Normal 10 5 2" xfId="55" xr:uid="{00000000-0005-0000-0000-000037000000}"/>
    <cellStyle name="Normal 10 6" xfId="56" xr:uid="{00000000-0005-0000-0000-000038000000}"/>
    <cellStyle name="Normal 10 6 2" xfId="57" xr:uid="{00000000-0005-0000-0000-000039000000}"/>
    <cellStyle name="Normal 10 7" xfId="58" xr:uid="{00000000-0005-0000-0000-00003A000000}"/>
    <cellStyle name="Normal 10_DataSets ALL --&gt; Master DD" xfId="59" xr:uid="{00000000-0005-0000-0000-00003B000000}"/>
    <cellStyle name="Normal 100" xfId="60" xr:uid="{00000000-0005-0000-0000-00003C000000}"/>
    <cellStyle name="Normal 100 2" xfId="61" xr:uid="{00000000-0005-0000-0000-00003D000000}"/>
    <cellStyle name="Normal 100 3" xfId="62" xr:uid="{00000000-0005-0000-0000-00003E000000}"/>
    <cellStyle name="Normal 100 4" xfId="63" xr:uid="{00000000-0005-0000-0000-00003F000000}"/>
    <cellStyle name="Normal 100 5" xfId="64" xr:uid="{00000000-0005-0000-0000-000040000000}"/>
    <cellStyle name="Normal 101" xfId="65" xr:uid="{00000000-0005-0000-0000-000041000000}"/>
    <cellStyle name="Normal 101 2" xfId="66" xr:uid="{00000000-0005-0000-0000-000042000000}"/>
    <cellStyle name="Normal 101 3" xfId="67" xr:uid="{00000000-0005-0000-0000-000043000000}"/>
    <cellStyle name="Normal 101 4" xfId="68" xr:uid="{00000000-0005-0000-0000-000044000000}"/>
    <cellStyle name="Normal 101 5" xfId="69" xr:uid="{00000000-0005-0000-0000-000045000000}"/>
    <cellStyle name="Normal 102" xfId="70" xr:uid="{00000000-0005-0000-0000-000046000000}"/>
    <cellStyle name="Normal 102 2" xfId="71" xr:uid="{00000000-0005-0000-0000-000047000000}"/>
    <cellStyle name="Normal 102 3" xfId="72" xr:uid="{00000000-0005-0000-0000-000048000000}"/>
    <cellStyle name="Normal 102 4" xfId="73" xr:uid="{00000000-0005-0000-0000-000049000000}"/>
    <cellStyle name="Normal 102 5" xfId="74" xr:uid="{00000000-0005-0000-0000-00004A000000}"/>
    <cellStyle name="Normal 103" xfId="75" xr:uid="{00000000-0005-0000-0000-00004B000000}"/>
    <cellStyle name="Normal 103 2" xfId="76" xr:uid="{00000000-0005-0000-0000-00004C000000}"/>
    <cellStyle name="Normal 103 3" xfId="77" xr:uid="{00000000-0005-0000-0000-00004D000000}"/>
    <cellStyle name="Normal 103 4" xfId="78" xr:uid="{00000000-0005-0000-0000-00004E000000}"/>
    <cellStyle name="Normal 103 5" xfId="79" xr:uid="{00000000-0005-0000-0000-00004F000000}"/>
    <cellStyle name="Normal 104" xfId="80" xr:uid="{00000000-0005-0000-0000-000050000000}"/>
    <cellStyle name="Normal 104 2" xfId="81" xr:uid="{00000000-0005-0000-0000-000051000000}"/>
    <cellStyle name="Normal 104 3" xfId="82" xr:uid="{00000000-0005-0000-0000-000052000000}"/>
    <cellStyle name="Normal 104 4" xfId="83" xr:uid="{00000000-0005-0000-0000-000053000000}"/>
    <cellStyle name="Normal 105" xfId="84" xr:uid="{00000000-0005-0000-0000-000054000000}"/>
    <cellStyle name="Normal 105 2" xfId="85" xr:uid="{00000000-0005-0000-0000-000055000000}"/>
    <cellStyle name="Normal 105 2 2" xfId="86" xr:uid="{00000000-0005-0000-0000-000056000000}"/>
    <cellStyle name="Normal 105 2 2 2" xfId="1112" xr:uid="{00000000-0005-0000-0000-000057000000}"/>
    <cellStyle name="Normal 105 3" xfId="87" xr:uid="{00000000-0005-0000-0000-000058000000}"/>
    <cellStyle name="Normal 105 4" xfId="88" xr:uid="{00000000-0005-0000-0000-000059000000}"/>
    <cellStyle name="Normal 105 5" xfId="89" xr:uid="{00000000-0005-0000-0000-00005A000000}"/>
    <cellStyle name="Normal 106" xfId="90" xr:uid="{00000000-0005-0000-0000-00005B000000}"/>
    <cellStyle name="Normal 106 2" xfId="91" xr:uid="{00000000-0005-0000-0000-00005C000000}"/>
    <cellStyle name="Normal 106 2 2" xfId="92" xr:uid="{00000000-0005-0000-0000-00005D000000}"/>
    <cellStyle name="Normal 106 3" xfId="93" xr:uid="{00000000-0005-0000-0000-00005E000000}"/>
    <cellStyle name="Normal 106 4" xfId="94" xr:uid="{00000000-0005-0000-0000-00005F000000}"/>
    <cellStyle name="Normal 106 5" xfId="95" xr:uid="{00000000-0005-0000-0000-000060000000}"/>
    <cellStyle name="Normal 107" xfId="96" xr:uid="{00000000-0005-0000-0000-000061000000}"/>
    <cellStyle name="Normal 107 2" xfId="97" xr:uid="{00000000-0005-0000-0000-000062000000}"/>
    <cellStyle name="Normal 107 2 2" xfId="98" xr:uid="{00000000-0005-0000-0000-000063000000}"/>
    <cellStyle name="Normal 107 3" xfId="99" xr:uid="{00000000-0005-0000-0000-000064000000}"/>
    <cellStyle name="Normal 107 4" xfId="100" xr:uid="{00000000-0005-0000-0000-000065000000}"/>
    <cellStyle name="Normal 107 5" xfId="101" xr:uid="{00000000-0005-0000-0000-000066000000}"/>
    <cellStyle name="Normal 108" xfId="102" xr:uid="{00000000-0005-0000-0000-000067000000}"/>
    <cellStyle name="Normal 108 2" xfId="103" xr:uid="{00000000-0005-0000-0000-000068000000}"/>
    <cellStyle name="Normal 108 3" xfId="104" xr:uid="{00000000-0005-0000-0000-000069000000}"/>
    <cellStyle name="Normal 108 4" xfId="105" xr:uid="{00000000-0005-0000-0000-00006A000000}"/>
    <cellStyle name="Normal 108 5" xfId="106" xr:uid="{00000000-0005-0000-0000-00006B000000}"/>
    <cellStyle name="Normal 109" xfId="107" xr:uid="{00000000-0005-0000-0000-00006C000000}"/>
    <cellStyle name="Normal 109 2" xfId="108" xr:uid="{00000000-0005-0000-0000-00006D000000}"/>
    <cellStyle name="Normal 109 2 2" xfId="109" xr:uid="{00000000-0005-0000-0000-00006E000000}"/>
    <cellStyle name="Normal 109 2 3" xfId="110" xr:uid="{00000000-0005-0000-0000-00006F000000}"/>
    <cellStyle name="Normal 109 3" xfId="111" xr:uid="{00000000-0005-0000-0000-000070000000}"/>
    <cellStyle name="Normal 109 3 2" xfId="112" xr:uid="{00000000-0005-0000-0000-000071000000}"/>
    <cellStyle name="Normal 109 4" xfId="113" xr:uid="{00000000-0005-0000-0000-000072000000}"/>
    <cellStyle name="Normal 109 5" xfId="114" xr:uid="{00000000-0005-0000-0000-000073000000}"/>
    <cellStyle name="Normal 11" xfId="115" xr:uid="{00000000-0005-0000-0000-000074000000}"/>
    <cellStyle name="Normal 11 2" xfId="116" xr:uid="{00000000-0005-0000-0000-000075000000}"/>
    <cellStyle name="Normal 11 2 2" xfId="117" xr:uid="{00000000-0005-0000-0000-000076000000}"/>
    <cellStyle name="Normal 11 3" xfId="118" xr:uid="{00000000-0005-0000-0000-000077000000}"/>
    <cellStyle name="Normal 11 3 2" xfId="119" xr:uid="{00000000-0005-0000-0000-000078000000}"/>
    <cellStyle name="Normal 11 4" xfId="120" xr:uid="{00000000-0005-0000-0000-000079000000}"/>
    <cellStyle name="Normal 11 4 2" xfId="121" xr:uid="{00000000-0005-0000-0000-00007A000000}"/>
    <cellStyle name="Normal 11 5" xfId="122" xr:uid="{00000000-0005-0000-0000-00007B000000}"/>
    <cellStyle name="Normal 11 5 2" xfId="123" xr:uid="{00000000-0005-0000-0000-00007C000000}"/>
    <cellStyle name="Normal 11 6" xfId="124" xr:uid="{00000000-0005-0000-0000-00007D000000}"/>
    <cellStyle name="Normal 11 6 2" xfId="125" xr:uid="{00000000-0005-0000-0000-00007E000000}"/>
    <cellStyle name="Normal 11 7" xfId="126" xr:uid="{00000000-0005-0000-0000-00007F000000}"/>
    <cellStyle name="Normal 11_DataSets ALL --&gt; Master DD" xfId="127" xr:uid="{00000000-0005-0000-0000-000080000000}"/>
    <cellStyle name="Normal 110" xfId="128" xr:uid="{00000000-0005-0000-0000-000081000000}"/>
    <cellStyle name="Normal 110 2" xfId="129" xr:uid="{00000000-0005-0000-0000-000082000000}"/>
    <cellStyle name="Normal 110 2 2" xfId="130" xr:uid="{00000000-0005-0000-0000-000083000000}"/>
    <cellStyle name="Normal 110 3" xfId="131" xr:uid="{00000000-0005-0000-0000-000084000000}"/>
    <cellStyle name="Normal 110 4" xfId="132" xr:uid="{00000000-0005-0000-0000-000085000000}"/>
    <cellStyle name="Normal 110 5" xfId="133" xr:uid="{00000000-0005-0000-0000-000086000000}"/>
    <cellStyle name="Normal 110 6" xfId="134" xr:uid="{00000000-0005-0000-0000-000087000000}"/>
    <cellStyle name="Normal 111" xfId="135" xr:uid="{00000000-0005-0000-0000-000088000000}"/>
    <cellStyle name="Normal 111 2" xfId="136" xr:uid="{00000000-0005-0000-0000-000089000000}"/>
    <cellStyle name="Normal 111 2 2" xfId="137" xr:uid="{00000000-0005-0000-0000-00008A000000}"/>
    <cellStyle name="Normal 111 3" xfId="138" xr:uid="{00000000-0005-0000-0000-00008B000000}"/>
    <cellStyle name="Normal 111 4" xfId="139" xr:uid="{00000000-0005-0000-0000-00008C000000}"/>
    <cellStyle name="Normal 111 5" xfId="140" xr:uid="{00000000-0005-0000-0000-00008D000000}"/>
    <cellStyle name="Normal 111 6" xfId="141" xr:uid="{00000000-0005-0000-0000-00008E000000}"/>
    <cellStyle name="Normal 112" xfId="142" xr:uid="{00000000-0005-0000-0000-00008F000000}"/>
    <cellStyle name="Normal 112 2" xfId="143" xr:uid="{00000000-0005-0000-0000-000090000000}"/>
    <cellStyle name="Normal 112 3" xfId="144" xr:uid="{00000000-0005-0000-0000-000091000000}"/>
    <cellStyle name="Normal 112 4" xfId="145" xr:uid="{00000000-0005-0000-0000-000092000000}"/>
    <cellStyle name="Normal 112 5" xfId="146" xr:uid="{00000000-0005-0000-0000-000093000000}"/>
    <cellStyle name="Normal 112 6" xfId="147" xr:uid="{00000000-0005-0000-0000-000094000000}"/>
    <cellStyle name="Normal 113" xfId="148" xr:uid="{00000000-0005-0000-0000-000095000000}"/>
    <cellStyle name="Normal 113 2" xfId="149" xr:uid="{00000000-0005-0000-0000-000096000000}"/>
    <cellStyle name="Normal 113 3" xfId="150" xr:uid="{00000000-0005-0000-0000-000097000000}"/>
    <cellStyle name="Normal 113 4" xfId="151" xr:uid="{00000000-0005-0000-0000-000098000000}"/>
    <cellStyle name="Normal 113 5" xfId="152" xr:uid="{00000000-0005-0000-0000-000099000000}"/>
    <cellStyle name="Normal 114" xfId="153" xr:uid="{00000000-0005-0000-0000-00009A000000}"/>
    <cellStyle name="Normal 114 2" xfId="154" xr:uid="{00000000-0005-0000-0000-00009B000000}"/>
    <cellStyle name="Normal 114 3" xfId="155" xr:uid="{00000000-0005-0000-0000-00009C000000}"/>
    <cellStyle name="Normal 114 4" xfId="156" xr:uid="{00000000-0005-0000-0000-00009D000000}"/>
    <cellStyle name="Normal 114 5" xfId="157" xr:uid="{00000000-0005-0000-0000-00009E000000}"/>
    <cellStyle name="Normal 115" xfId="158" xr:uid="{00000000-0005-0000-0000-00009F000000}"/>
    <cellStyle name="Normal 115 2" xfId="159" xr:uid="{00000000-0005-0000-0000-0000A0000000}"/>
    <cellStyle name="Normal 115 2 2" xfId="160" xr:uid="{00000000-0005-0000-0000-0000A1000000}"/>
    <cellStyle name="Normal 115 3" xfId="161" xr:uid="{00000000-0005-0000-0000-0000A2000000}"/>
    <cellStyle name="Normal 115 4" xfId="162" xr:uid="{00000000-0005-0000-0000-0000A3000000}"/>
    <cellStyle name="Normal 115 5" xfId="163" xr:uid="{00000000-0005-0000-0000-0000A4000000}"/>
    <cellStyle name="Normal 116" xfId="164" xr:uid="{00000000-0005-0000-0000-0000A5000000}"/>
    <cellStyle name="Normal 116 2" xfId="165" xr:uid="{00000000-0005-0000-0000-0000A6000000}"/>
    <cellStyle name="Normal 116 3" xfId="166" xr:uid="{00000000-0005-0000-0000-0000A7000000}"/>
    <cellStyle name="Normal 116 4" xfId="167" xr:uid="{00000000-0005-0000-0000-0000A8000000}"/>
    <cellStyle name="Normal 116 5" xfId="168" xr:uid="{00000000-0005-0000-0000-0000A9000000}"/>
    <cellStyle name="Normal 117" xfId="169" xr:uid="{00000000-0005-0000-0000-0000AA000000}"/>
    <cellStyle name="Normal 117 2" xfId="170" xr:uid="{00000000-0005-0000-0000-0000AB000000}"/>
    <cellStyle name="Normal 117 2 2" xfId="171" xr:uid="{00000000-0005-0000-0000-0000AC000000}"/>
    <cellStyle name="Normal 117 3" xfId="172" xr:uid="{00000000-0005-0000-0000-0000AD000000}"/>
    <cellStyle name="Normal 117 4" xfId="173" xr:uid="{00000000-0005-0000-0000-0000AE000000}"/>
    <cellStyle name="Normal 117 5" xfId="174" xr:uid="{00000000-0005-0000-0000-0000AF000000}"/>
    <cellStyle name="Normal 118" xfId="175" xr:uid="{00000000-0005-0000-0000-0000B0000000}"/>
    <cellStyle name="Normal 118 2" xfId="176" xr:uid="{00000000-0005-0000-0000-0000B1000000}"/>
    <cellStyle name="Normal 118 3" xfId="177" xr:uid="{00000000-0005-0000-0000-0000B2000000}"/>
    <cellStyle name="Normal 118 4" xfId="178" xr:uid="{00000000-0005-0000-0000-0000B3000000}"/>
    <cellStyle name="Normal 118 5" xfId="179" xr:uid="{00000000-0005-0000-0000-0000B4000000}"/>
    <cellStyle name="Normal 119" xfId="180" xr:uid="{00000000-0005-0000-0000-0000B5000000}"/>
    <cellStyle name="Normal 119 2" xfId="181" xr:uid="{00000000-0005-0000-0000-0000B6000000}"/>
    <cellStyle name="Normal 119 3" xfId="182" xr:uid="{00000000-0005-0000-0000-0000B7000000}"/>
    <cellStyle name="Normal 119 4" xfId="183" xr:uid="{00000000-0005-0000-0000-0000B8000000}"/>
    <cellStyle name="Normal 119 5" xfId="184" xr:uid="{00000000-0005-0000-0000-0000B9000000}"/>
    <cellStyle name="Normal 12" xfId="185" xr:uid="{00000000-0005-0000-0000-0000BA000000}"/>
    <cellStyle name="Normal 12 2" xfId="186" xr:uid="{00000000-0005-0000-0000-0000BB000000}"/>
    <cellStyle name="Normal 12 2 2" xfId="187" xr:uid="{00000000-0005-0000-0000-0000BC000000}"/>
    <cellStyle name="Normal 12 3" xfId="188" xr:uid="{00000000-0005-0000-0000-0000BD000000}"/>
    <cellStyle name="Normal 12 3 2" xfId="189" xr:uid="{00000000-0005-0000-0000-0000BE000000}"/>
    <cellStyle name="Normal 12 4" xfId="190" xr:uid="{00000000-0005-0000-0000-0000BF000000}"/>
    <cellStyle name="Normal 12 4 2" xfId="191" xr:uid="{00000000-0005-0000-0000-0000C0000000}"/>
    <cellStyle name="Normal 12 5" xfId="192" xr:uid="{00000000-0005-0000-0000-0000C1000000}"/>
    <cellStyle name="Normal 12 5 2" xfId="193" xr:uid="{00000000-0005-0000-0000-0000C2000000}"/>
    <cellStyle name="Normal 12 6" xfId="194" xr:uid="{00000000-0005-0000-0000-0000C3000000}"/>
    <cellStyle name="Normal 12 6 2" xfId="195" xr:uid="{00000000-0005-0000-0000-0000C4000000}"/>
    <cellStyle name="Normal 12 7" xfId="196" xr:uid="{00000000-0005-0000-0000-0000C5000000}"/>
    <cellStyle name="Normal 12_DataSets ALL --&gt; Master DD" xfId="197" xr:uid="{00000000-0005-0000-0000-0000C6000000}"/>
    <cellStyle name="Normal 120" xfId="198" xr:uid="{00000000-0005-0000-0000-0000C7000000}"/>
    <cellStyle name="Normal 120 2" xfId="199" xr:uid="{00000000-0005-0000-0000-0000C8000000}"/>
    <cellStyle name="Normal 120 3" xfId="200" xr:uid="{00000000-0005-0000-0000-0000C9000000}"/>
    <cellStyle name="Normal 120 4" xfId="201" xr:uid="{00000000-0005-0000-0000-0000CA000000}"/>
    <cellStyle name="Normal 120 5" xfId="202" xr:uid="{00000000-0005-0000-0000-0000CB000000}"/>
    <cellStyle name="Normal 121" xfId="203" xr:uid="{00000000-0005-0000-0000-0000CC000000}"/>
    <cellStyle name="Normal 121 2" xfId="204" xr:uid="{00000000-0005-0000-0000-0000CD000000}"/>
    <cellStyle name="Normal 121 3" xfId="205" xr:uid="{00000000-0005-0000-0000-0000CE000000}"/>
    <cellStyle name="Normal 121 4" xfId="206" xr:uid="{00000000-0005-0000-0000-0000CF000000}"/>
    <cellStyle name="Normal 121 5" xfId="207" xr:uid="{00000000-0005-0000-0000-0000D0000000}"/>
    <cellStyle name="Normal 122" xfId="208" xr:uid="{00000000-0005-0000-0000-0000D1000000}"/>
    <cellStyle name="Normal 122 2" xfId="209" xr:uid="{00000000-0005-0000-0000-0000D2000000}"/>
    <cellStyle name="Normal 122 3" xfId="210" xr:uid="{00000000-0005-0000-0000-0000D3000000}"/>
    <cellStyle name="Normal 122 4" xfId="211" xr:uid="{00000000-0005-0000-0000-0000D4000000}"/>
    <cellStyle name="Normal 122 5" xfId="212" xr:uid="{00000000-0005-0000-0000-0000D5000000}"/>
    <cellStyle name="Normal 123" xfId="213" xr:uid="{00000000-0005-0000-0000-0000D6000000}"/>
    <cellStyle name="Normal 123 2" xfId="214" xr:uid="{00000000-0005-0000-0000-0000D7000000}"/>
    <cellStyle name="Normal 123 3" xfId="215" xr:uid="{00000000-0005-0000-0000-0000D8000000}"/>
    <cellStyle name="Normal 123 4" xfId="216" xr:uid="{00000000-0005-0000-0000-0000D9000000}"/>
    <cellStyle name="Normal 123 5" xfId="217" xr:uid="{00000000-0005-0000-0000-0000DA000000}"/>
    <cellStyle name="Normal 124" xfId="218" xr:uid="{00000000-0005-0000-0000-0000DB000000}"/>
    <cellStyle name="Normal 124 2" xfId="219" xr:uid="{00000000-0005-0000-0000-0000DC000000}"/>
    <cellStyle name="Normal 124 3" xfId="220" xr:uid="{00000000-0005-0000-0000-0000DD000000}"/>
    <cellStyle name="Normal 124 4" xfId="221" xr:uid="{00000000-0005-0000-0000-0000DE000000}"/>
    <cellStyle name="Normal 124 5" xfId="222" xr:uid="{00000000-0005-0000-0000-0000DF000000}"/>
    <cellStyle name="Normal 125" xfId="223" xr:uid="{00000000-0005-0000-0000-0000E0000000}"/>
    <cellStyle name="Normal 125 2" xfId="224" xr:uid="{00000000-0005-0000-0000-0000E1000000}"/>
    <cellStyle name="Normal 125 3" xfId="225" xr:uid="{00000000-0005-0000-0000-0000E2000000}"/>
    <cellStyle name="Normal 125 4" xfId="226" xr:uid="{00000000-0005-0000-0000-0000E3000000}"/>
    <cellStyle name="Normal 125 5" xfId="227" xr:uid="{00000000-0005-0000-0000-0000E4000000}"/>
    <cellStyle name="Normal 126" xfId="228" xr:uid="{00000000-0005-0000-0000-0000E5000000}"/>
    <cellStyle name="Normal 126 2" xfId="229" xr:uid="{00000000-0005-0000-0000-0000E6000000}"/>
    <cellStyle name="Normal 126 3" xfId="230" xr:uid="{00000000-0005-0000-0000-0000E7000000}"/>
    <cellStyle name="Normal 126 4" xfId="231" xr:uid="{00000000-0005-0000-0000-0000E8000000}"/>
    <cellStyle name="Normal 126 5" xfId="232" xr:uid="{00000000-0005-0000-0000-0000E9000000}"/>
    <cellStyle name="Normal 127" xfId="233" xr:uid="{00000000-0005-0000-0000-0000EA000000}"/>
    <cellStyle name="Normal 127 2" xfId="234" xr:uid="{00000000-0005-0000-0000-0000EB000000}"/>
    <cellStyle name="Normal 127 3" xfId="235" xr:uid="{00000000-0005-0000-0000-0000EC000000}"/>
    <cellStyle name="Normal 127 4" xfId="236" xr:uid="{00000000-0005-0000-0000-0000ED000000}"/>
    <cellStyle name="Normal 127 5" xfId="237" xr:uid="{00000000-0005-0000-0000-0000EE000000}"/>
    <cellStyle name="Normal 128" xfId="238" xr:uid="{00000000-0005-0000-0000-0000EF000000}"/>
    <cellStyle name="Normal 128 2" xfId="239" xr:uid="{00000000-0005-0000-0000-0000F0000000}"/>
    <cellStyle name="Normal 128 3" xfId="240" xr:uid="{00000000-0005-0000-0000-0000F1000000}"/>
    <cellStyle name="Normal 128 4" xfId="241" xr:uid="{00000000-0005-0000-0000-0000F2000000}"/>
    <cellStyle name="Normal 128 5" xfId="242" xr:uid="{00000000-0005-0000-0000-0000F3000000}"/>
    <cellStyle name="Normal 129" xfId="243" xr:uid="{00000000-0005-0000-0000-0000F4000000}"/>
    <cellStyle name="Normal 129 2" xfId="244" xr:uid="{00000000-0005-0000-0000-0000F5000000}"/>
    <cellStyle name="Normal 129 3" xfId="245" xr:uid="{00000000-0005-0000-0000-0000F6000000}"/>
    <cellStyle name="Normal 129 4" xfId="246" xr:uid="{00000000-0005-0000-0000-0000F7000000}"/>
    <cellStyle name="Normal 129 5" xfId="247" xr:uid="{00000000-0005-0000-0000-0000F8000000}"/>
    <cellStyle name="Normal 13" xfId="248" xr:uid="{00000000-0005-0000-0000-0000F9000000}"/>
    <cellStyle name="Normal 13 2" xfId="249" xr:uid="{00000000-0005-0000-0000-0000FA000000}"/>
    <cellStyle name="Normal 13 2 2" xfId="250" xr:uid="{00000000-0005-0000-0000-0000FB000000}"/>
    <cellStyle name="Normal 13 3" xfId="251" xr:uid="{00000000-0005-0000-0000-0000FC000000}"/>
    <cellStyle name="Normal 13 3 2" xfId="252" xr:uid="{00000000-0005-0000-0000-0000FD000000}"/>
    <cellStyle name="Normal 13 4" xfId="253" xr:uid="{00000000-0005-0000-0000-0000FE000000}"/>
    <cellStyle name="Normal 13 4 2" xfId="254" xr:uid="{00000000-0005-0000-0000-0000FF000000}"/>
    <cellStyle name="Normal 13 5" xfId="255" xr:uid="{00000000-0005-0000-0000-000000010000}"/>
    <cellStyle name="Normal 13 5 2" xfId="256" xr:uid="{00000000-0005-0000-0000-000001010000}"/>
    <cellStyle name="Normal 13 6" xfId="257" xr:uid="{00000000-0005-0000-0000-000002010000}"/>
    <cellStyle name="Normal 13 6 2" xfId="258" xr:uid="{00000000-0005-0000-0000-000003010000}"/>
    <cellStyle name="Normal 13 7" xfId="259" xr:uid="{00000000-0005-0000-0000-000004010000}"/>
    <cellStyle name="Normal 13_DataSets ALL --&gt; Master DD" xfId="260" xr:uid="{00000000-0005-0000-0000-000005010000}"/>
    <cellStyle name="Normal 130" xfId="261" xr:uid="{00000000-0005-0000-0000-000006010000}"/>
    <cellStyle name="Normal 130 2" xfId="262" xr:uid="{00000000-0005-0000-0000-000007010000}"/>
    <cellStyle name="Normal 130 3" xfId="263" xr:uid="{00000000-0005-0000-0000-000008010000}"/>
    <cellStyle name="Normal 130 4" xfId="264" xr:uid="{00000000-0005-0000-0000-000009010000}"/>
    <cellStyle name="Normal 130 5" xfId="265" xr:uid="{00000000-0005-0000-0000-00000A010000}"/>
    <cellStyle name="Normal 131" xfId="266" xr:uid="{00000000-0005-0000-0000-00000B010000}"/>
    <cellStyle name="Normal 131 2" xfId="267" xr:uid="{00000000-0005-0000-0000-00000C010000}"/>
    <cellStyle name="Normal 131 3" xfId="268" xr:uid="{00000000-0005-0000-0000-00000D010000}"/>
    <cellStyle name="Normal 131 4" xfId="269" xr:uid="{00000000-0005-0000-0000-00000E010000}"/>
    <cellStyle name="Normal 131 5" xfId="270" xr:uid="{00000000-0005-0000-0000-00000F010000}"/>
    <cellStyle name="Normal 132" xfId="271" xr:uid="{00000000-0005-0000-0000-000010010000}"/>
    <cellStyle name="Normal 132 2" xfId="272" xr:uid="{00000000-0005-0000-0000-000011010000}"/>
    <cellStyle name="Normal 132 3" xfId="273" xr:uid="{00000000-0005-0000-0000-000012010000}"/>
    <cellStyle name="Normal 132 4" xfId="274" xr:uid="{00000000-0005-0000-0000-000013010000}"/>
    <cellStyle name="Normal 132 5" xfId="275" xr:uid="{00000000-0005-0000-0000-000014010000}"/>
    <cellStyle name="Normal 133" xfId="276" xr:uid="{00000000-0005-0000-0000-000015010000}"/>
    <cellStyle name="Normal 133 2" xfId="277" xr:uid="{00000000-0005-0000-0000-000016010000}"/>
    <cellStyle name="Normal 133 3" xfId="278" xr:uid="{00000000-0005-0000-0000-000017010000}"/>
    <cellStyle name="Normal 133 4" xfId="279" xr:uid="{00000000-0005-0000-0000-000018010000}"/>
    <cellStyle name="Normal 133 5" xfId="280" xr:uid="{00000000-0005-0000-0000-000019010000}"/>
    <cellStyle name="Normal 134" xfId="281" xr:uid="{00000000-0005-0000-0000-00001A010000}"/>
    <cellStyle name="Normal 134 2" xfId="282" xr:uid="{00000000-0005-0000-0000-00001B010000}"/>
    <cellStyle name="Normal 134 3" xfId="283" xr:uid="{00000000-0005-0000-0000-00001C010000}"/>
    <cellStyle name="Normal 134 4" xfId="284" xr:uid="{00000000-0005-0000-0000-00001D010000}"/>
    <cellStyle name="Normal 134 5" xfId="285" xr:uid="{00000000-0005-0000-0000-00001E010000}"/>
    <cellStyle name="Normal 135" xfId="286" xr:uid="{00000000-0005-0000-0000-00001F010000}"/>
    <cellStyle name="Normal 135 2" xfId="287" xr:uid="{00000000-0005-0000-0000-000020010000}"/>
    <cellStyle name="Normal 135 3" xfId="288" xr:uid="{00000000-0005-0000-0000-000021010000}"/>
    <cellStyle name="Normal 135 4" xfId="289" xr:uid="{00000000-0005-0000-0000-000022010000}"/>
    <cellStyle name="Normal 135 5" xfId="290" xr:uid="{00000000-0005-0000-0000-000023010000}"/>
    <cellStyle name="Normal 136" xfId="291" xr:uid="{00000000-0005-0000-0000-000024010000}"/>
    <cellStyle name="Normal 136 2" xfId="292" xr:uid="{00000000-0005-0000-0000-000025010000}"/>
    <cellStyle name="Normal 136 3" xfId="293" xr:uid="{00000000-0005-0000-0000-000026010000}"/>
    <cellStyle name="Normal 136 4" xfId="294" xr:uid="{00000000-0005-0000-0000-000027010000}"/>
    <cellStyle name="Normal 136 5" xfId="295" xr:uid="{00000000-0005-0000-0000-000028010000}"/>
    <cellStyle name="Normal 137" xfId="296" xr:uid="{00000000-0005-0000-0000-000029010000}"/>
    <cellStyle name="Normal 137 2" xfId="297" xr:uid="{00000000-0005-0000-0000-00002A010000}"/>
    <cellStyle name="Normal 137 3" xfId="298" xr:uid="{00000000-0005-0000-0000-00002B010000}"/>
    <cellStyle name="Normal 137 4" xfId="299" xr:uid="{00000000-0005-0000-0000-00002C010000}"/>
    <cellStyle name="Normal 138" xfId="300" xr:uid="{00000000-0005-0000-0000-00002D010000}"/>
    <cellStyle name="Normal 138 2" xfId="301" xr:uid="{00000000-0005-0000-0000-00002E010000}"/>
    <cellStyle name="Normal 138 3" xfId="302" xr:uid="{00000000-0005-0000-0000-00002F010000}"/>
    <cellStyle name="Normal 138 4" xfId="303" xr:uid="{00000000-0005-0000-0000-000030010000}"/>
    <cellStyle name="Normal 139" xfId="304" xr:uid="{00000000-0005-0000-0000-000031010000}"/>
    <cellStyle name="Normal 139 2" xfId="305" xr:uid="{00000000-0005-0000-0000-000032010000}"/>
    <cellStyle name="Normal 139 3" xfId="306" xr:uid="{00000000-0005-0000-0000-000033010000}"/>
    <cellStyle name="Normal 139 4" xfId="307" xr:uid="{00000000-0005-0000-0000-000034010000}"/>
    <cellStyle name="Normal 14" xfId="308" xr:uid="{00000000-0005-0000-0000-000035010000}"/>
    <cellStyle name="Normal 14 2" xfId="309" xr:uid="{00000000-0005-0000-0000-000036010000}"/>
    <cellStyle name="Normal 140" xfId="310" xr:uid="{00000000-0005-0000-0000-000037010000}"/>
    <cellStyle name="Normal 140 2" xfId="311" xr:uid="{00000000-0005-0000-0000-000038010000}"/>
    <cellStyle name="Normal 140 3" xfId="312" xr:uid="{00000000-0005-0000-0000-000039010000}"/>
    <cellStyle name="Normal 140 4" xfId="313" xr:uid="{00000000-0005-0000-0000-00003A010000}"/>
    <cellStyle name="Normal 141" xfId="314" xr:uid="{00000000-0005-0000-0000-00003B010000}"/>
    <cellStyle name="Normal 141 2" xfId="315" xr:uid="{00000000-0005-0000-0000-00003C010000}"/>
    <cellStyle name="Normal 141 3" xfId="316" xr:uid="{00000000-0005-0000-0000-00003D010000}"/>
    <cellStyle name="Normal 141 4" xfId="317" xr:uid="{00000000-0005-0000-0000-00003E010000}"/>
    <cellStyle name="Normal 142" xfId="318" xr:uid="{00000000-0005-0000-0000-00003F010000}"/>
    <cellStyle name="Normal 142 2" xfId="319" xr:uid="{00000000-0005-0000-0000-000040010000}"/>
    <cellStyle name="Normal 142 3" xfId="320" xr:uid="{00000000-0005-0000-0000-000041010000}"/>
    <cellStyle name="Normal 142 4" xfId="321" xr:uid="{00000000-0005-0000-0000-000042010000}"/>
    <cellStyle name="Normal 143" xfId="322" xr:uid="{00000000-0005-0000-0000-000043010000}"/>
    <cellStyle name="Normal 143 2" xfId="323" xr:uid="{00000000-0005-0000-0000-000044010000}"/>
    <cellStyle name="Normal 143 3" xfId="324" xr:uid="{00000000-0005-0000-0000-000045010000}"/>
    <cellStyle name="Normal 143 4" xfId="325" xr:uid="{00000000-0005-0000-0000-000046010000}"/>
    <cellStyle name="Normal 144" xfId="326" xr:uid="{00000000-0005-0000-0000-000047010000}"/>
    <cellStyle name="Normal 144 2" xfId="327" xr:uid="{00000000-0005-0000-0000-000048010000}"/>
    <cellStyle name="Normal 144 3" xfId="328" xr:uid="{00000000-0005-0000-0000-000049010000}"/>
    <cellStyle name="Normal 144 4" xfId="329" xr:uid="{00000000-0005-0000-0000-00004A010000}"/>
    <cellStyle name="Normal 145" xfId="330" xr:uid="{00000000-0005-0000-0000-00004B010000}"/>
    <cellStyle name="Normal 145 2" xfId="331" xr:uid="{00000000-0005-0000-0000-00004C010000}"/>
    <cellStyle name="Normal 145 3" xfId="332" xr:uid="{00000000-0005-0000-0000-00004D010000}"/>
    <cellStyle name="Normal 145 4" xfId="333" xr:uid="{00000000-0005-0000-0000-00004E010000}"/>
    <cellStyle name="Normal 146" xfId="334" xr:uid="{00000000-0005-0000-0000-00004F010000}"/>
    <cellStyle name="Normal 146 2" xfId="335" xr:uid="{00000000-0005-0000-0000-000050010000}"/>
    <cellStyle name="Normal 146 3" xfId="336" xr:uid="{00000000-0005-0000-0000-000051010000}"/>
    <cellStyle name="Normal 147" xfId="337" xr:uid="{00000000-0005-0000-0000-000052010000}"/>
    <cellStyle name="Normal 147 2" xfId="338" xr:uid="{00000000-0005-0000-0000-000053010000}"/>
    <cellStyle name="Normal 147 3" xfId="339" xr:uid="{00000000-0005-0000-0000-000054010000}"/>
    <cellStyle name="Normal 148" xfId="340" xr:uid="{00000000-0005-0000-0000-000055010000}"/>
    <cellStyle name="Normal 148 2" xfId="341" xr:uid="{00000000-0005-0000-0000-000056010000}"/>
    <cellStyle name="Normal 148 3" xfId="342" xr:uid="{00000000-0005-0000-0000-000057010000}"/>
    <cellStyle name="Normal 149" xfId="343" xr:uid="{00000000-0005-0000-0000-000058010000}"/>
    <cellStyle name="Normal 149 2" xfId="344" xr:uid="{00000000-0005-0000-0000-000059010000}"/>
    <cellStyle name="Normal 149 3" xfId="345" xr:uid="{00000000-0005-0000-0000-00005A010000}"/>
    <cellStyle name="Normal 15" xfId="346" xr:uid="{00000000-0005-0000-0000-00005B010000}"/>
    <cellStyle name="Normal 15 2" xfId="347" xr:uid="{00000000-0005-0000-0000-00005C010000}"/>
    <cellStyle name="Normal 150" xfId="348" xr:uid="{00000000-0005-0000-0000-00005D010000}"/>
    <cellStyle name="Normal 150 2" xfId="349" xr:uid="{00000000-0005-0000-0000-00005E010000}"/>
    <cellStyle name="Normal 150 3" xfId="350" xr:uid="{00000000-0005-0000-0000-00005F010000}"/>
    <cellStyle name="Normal 151" xfId="351" xr:uid="{00000000-0005-0000-0000-000060010000}"/>
    <cellStyle name="Normal 151 2" xfId="352" xr:uid="{00000000-0005-0000-0000-000061010000}"/>
    <cellStyle name="Normal 151 3" xfId="353" xr:uid="{00000000-0005-0000-0000-000062010000}"/>
    <cellStyle name="Normal 152" xfId="354" xr:uid="{00000000-0005-0000-0000-000063010000}"/>
    <cellStyle name="Normal 152 2" xfId="355" xr:uid="{00000000-0005-0000-0000-000064010000}"/>
    <cellStyle name="Normal 152 3" xfId="356" xr:uid="{00000000-0005-0000-0000-000065010000}"/>
    <cellStyle name="Normal 153" xfId="357" xr:uid="{00000000-0005-0000-0000-000066010000}"/>
    <cellStyle name="Normal 153 2" xfId="358" xr:uid="{00000000-0005-0000-0000-000067010000}"/>
    <cellStyle name="Normal 153 3" xfId="359" xr:uid="{00000000-0005-0000-0000-000068010000}"/>
    <cellStyle name="Normal 154" xfId="360" xr:uid="{00000000-0005-0000-0000-000069010000}"/>
    <cellStyle name="Normal 154 2" xfId="361" xr:uid="{00000000-0005-0000-0000-00006A010000}"/>
    <cellStyle name="Normal 154 3" xfId="362" xr:uid="{00000000-0005-0000-0000-00006B010000}"/>
    <cellStyle name="Normal 155" xfId="363" xr:uid="{00000000-0005-0000-0000-00006C010000}"/>
    <cellStyle name="Normal 155 2" xfId="364" xr:uid="{00000000-0005-0000-0000-00006D010000}"/>
    <cellStyle name="Normal 155 3" xfId="365" xr:uid="{00000000-0005-0000-0000-00006E010000}"/>
    <cellStyle name="Normal 156" xfId="366" xr:uid="{00000000-0005-0000-0000-00006F010000}"/>
    <cellStyle name="Normal 156 2" xfId="367" xr:uid="{00000000-0005-0000-0000-000070010000}"/>
    <cellStyle name="Normal 156 3" xfId="368" xr:uid="{00000000-0005-0000-0000-000071010000}"/>
    <cellStyle name="Normal 157" xfId="369" xr:uid="{00000000-0005-0000-0000-000072010000}"/>
    <cellStyle name="Normal 157 2" xfId="370" xr:uid="{00000000-0005-0000-0000-000073010000}"/>
    <cellStyle name="Normal 157 3" xfId="371" xr:uid="{00000000-0005-0000-0000-000074010000}"/>
    <cellStyle name="Normal 158" xfId="372" xr:uid="{00000000-0005-0000-0000-000075010000}"/>
    <cellStyle name="Normal 158 2" xfId="373" xr:uid="{00000000-0005-0000-0000-000076010000}"/>
    <cellStyle name="Normal 158 3" xfId="374" xr:uid="{00000000-0005-0000-0000-000077010000}"/>
    <cellStyle name="Normal 159" xfId="375" xr:uid="{00000000-0005-0000-0000-000078010000}"/>
    <cellStyle name="Normal 159 2" xfId="376" xr:uid="{00000000-0005-0000-0000-000079010000}"/>
    <cellStyle name="Normal 159 3" xfId="377" xr:uid="{00000000-0005-0000-0000-00007A010000}"/>
    <cellStyle name="Normal 16" xfId="378" xr:uid="{00000000-0005-0000-0000-00007B010000}"/>
    <cellStyle name="Normal 16 2" xfId="379" xr:uid="{00000000-0005-0000-0000-00007C010000}"/>
    <cellStyle name="Normal 160" xfId="380" xr:uid="{00000000-0005-0000-0000-00007D010000}"/>
    <cellStyle name="Normal 160 2" xfId="381" xr:uid="{00000000-0005-0000-0000-00007E010000}"/>
    <cellStyle name="Normal 160 3" xfId="382" xr:uid="{00000000-0005-0000-0000-00007F010000}"/>
    <cellStyle name="Normal 161" xfId="383" xr:uid="{00000000-0005-0000-0000-000080010000}"/>
    <cellStyle name="Normal 161 2" xfId="384" xr:uid="{00000000-0005-0000-0000-000081010000}"/>
    <cellStyle name="Normal 161 3" xfId="385" xr:uid="{00000000-0005-0000-0000-000082010000}"/>
    <cellStyle name="Normal 162" xfId="386" xr:uid="{00000000-0005-0000-0000-000083010000}"/>
    <cellStyle name="Normal 162 2" xfId="387" xr:uid="{00000000-0005-0000-0000-000084010000}"/>
    <cellStyle name="Normal 162 3" xfId="388" xr:uid="{00000000-0005-0000-0000-000085010000}"/>
    <cellStyle name="Normal 162 4" xfId="389" xr:uid="{00000000-0005-0000-0000-000086010000}"/>
    <cellStyle name="Normal 163" xfId="390" xr:uid="{00000000-0005-0000-0000-000087010000}"/>
    <cellStyle name="Normal 163 2" xfId="391" xr:uid="{00000000-0005-0000-0000-000088010000}"/>
    <cellStyle name="Normal 163 3" xfId="392" xr:uid="{00000000-0005-0000-0000-000089010000}"/>
    <cellStyle name="Normal 164" xfId="393" xr:uid="{00000000-0005-0000-0000-00008A010000}"/>
    <cellStyle name="Normal 164 2" xfId="394" xr:uid="{00000000-0005-0000-0000-00008B010000}"/>
    <cellStyle name="Normal 164 3" xfId="395" xr:uid="{00000000-0005-0000-0000-00008C010000}"/>
    <cellStyle name="Normal 165" xfId="396" xr:uid="{00000000-0005-0000-0000-00008D010000}"/>
    <cellStyle name="Normal 165 2" xfId="397" xr:uid="{00000000-0005-0000-0000-00008E010000}"/>
    <cellStyle name="Normal 165 3" xfId="398" xr:uid="{00000000-0005-0000-0000-00008F010000}"/>
    <cellStyle name="Normal 166" xfId="399" xr:uid="{00000000-0005-0000-0000-000090010000}"/>
    <cellStyle name="Normal 166 2" xfId="400" xr:uid="{00000000-0005-0000-0000-000091010000}"/>
    <cellStyle name="Normal 166 3" xfId="401" xr:uid="{00000000-0005-0000-0000-000092010000}"/>
    <cellStyle name="Normal 167" xfId="402" xr:uid="{00000000-0005-0000-0000-000093010000}"/>
    <cellStyle name="Normal 167 2" xfId="403" xr:uid="{00000000-0005-0000-0000-000094010000}"/>
    <cellStyle name="Normal 167 3" xfId="404" xr:uid="{00000000-0005-0000-0000-000095010000}"/>
    <cellStyle name="Normal 168" xfId="405" xr:uid="{00000000-0005-0000-0000-000096010000}"/>
    <cellStyle name="Normal 168 2" xfId="406" xr:uid="{00000000-0005-0000-0000-000097010000}"/>
    <cellStyle name="Normal 168 3" xfId="407" xr:uid="{00000000-0005-0000-0000-000098010000}"/>
    <cellStyle name="Normal 169" xfId="408" xr:uid="{00000000-0005-0000-0000-000099010000}"/>
    <cellStyle name="Normal 169 2" xfId="409" xr:uid="{00000000-0005-0000-0000-00009A010000}"/>
    <cellStyle name="Normal 169 3" xfId="410" xr:uid="{00000000-0005-0000-0000-00009B010000}"/>
    <cellStyle name="Normal 17" xfId="411" xr:uid="{00000000-0005-0000-0000-00009C010000}"/>
    <cellStyle name="Normal 17 2" xfId="412" xr:uid="{00000000-0005-0000-0000-00009D010000}"/>
    <cellStyle name="Normal 170" xfId="413" xr:uid="{00000000-0005-0000-0000-00009E010000}"/>
    <cellStyle name="Normal 170 2" xfId="414" xr:uid="{00000000-0005-0000-0000-00009F010000}"/>
    <cellStyle name="Normal 170 3" xfId="415" xr:uid="{00000000-0005-0000-0000-0000A0010000}"/>
    <cellStyle name="Normal 171" xfId="416" xr:uid="{00000000-0005-0000-0000-0000A1010000}"/>
    <cellStyle name="Normal 171 2" xfId="417" xr:uid="{00000000-0005-0000-0000-0000A2010000}"/>
    <cellStyle name="Normal 171 3" xfId="418" xr:uid="{00000000-0005-0000-0000-0000A3010000}"/>
    <cellStyle name="Normal 172" xfId="419" xr:uid="{00000000-0005-0000-0000-0000A4010000}"/>
    <cellStyle name="Normal 172 2" xfId="420" xr:uid="{00000000-0005-0000-0000-0000A5010000}"/>
    <cellStyle name="Normal 172 3" xfId="421" xr:uid="{00000000-0005-0000-0000-0000A6010000}"/>
    <cellStyle name="Normal 173" xfId="422" xr:uid="{00000000-0005-0000-0000-0000A7010000}"/>
    <cellStyle name="Normal 173 2" xfId="423" xr:uid="{00000000-0005-0000-0000-0000A8010000}"/>
    <cellStyle name="Normal 173 3" xfId="424" xr:uid="{00000000-0005-0000-0000-0000A9010000}"/>
    <cellStyle name="Normal 173 4" xfId="425" xr:uid="{00000000-0005-0000-0000-0000AA010000}"/>
    <cellStyle name="Normal 174" xfId="426" xr:uid="{00000000-0005-0000-0000-0000AB010000}"/>
    <cellStyle name="Normal 174 2" xfId="427" xr:uid="{00000000-0005-0000-0000-0000AC010000}"/>
    <cellStyle name="Normal 174 2 2" xfId="428" xr:uid="{00000000-0005-0000-0000-0000AD010000}"/>
    <cellStyle name="Normal 174 3" xfId="429" xr:uid="{00000000-0005-0000-0000-0000AE010000}"/>
    <cellStyle name="Normal 175" xfId="430" xr:uid="{00000000-0005-0000-0000-0000AF010000}"/>
    <cellStyle name="Normal 175 2" xfId="431" xr:uid="{00000000-0005-0000-0000-0000B0010000}"/>
    <cellStyle name="Normal 176" xfId="432" xr:uid="{00000000-0005-0000-0000-0000B1010000}"/>
    <cellStyle name="Normal 176 2" xfId="433" xr:uid="{00000000-0005-0000-0000-0000B2010000}"/>
    <cellStyle name="Normal 177" xfId="434" xr:uid="{00000000-0005-0000-0000-0000B3010000}"/>
    <cellStyle name="Normal 177 2" xfId="435" xr:uid="{00000000-0005-0000-0000-0000B4010000}"/>
    <cellStyle name="Normal 178" xfId="436" xr:uid="{00000000-0005-0000-0000-0000B5010000}"/>
    <cellStyle name="Normal 178 2" xfId="437" xr:uid="{00000000-0005-0000-0000-0000B6010000}"/>
    <cellStyle name="Normal 179" xfId="438" xr:uid="{00000000-0005-0000-0000-0000B7010000}"/>
    <cellStyle name="Normal 179 2" xfId="439" xr:uid="{00000000-0005-0000-0000-0000B8010000}"/>
    <cellStyle name="Normal 179 2 2" xfId="440" xr:uid="{00000000-0005-0000-0000-0000B9010000}"/>
    <cellStyle name="Normal 179 3" xfId="441" xr:uid="{00000000-0005-0000-0000-0000BA010000}"/>
    <cellStyle name="Normal 18" xfId="442" xr:uid="{00000000-0005-0000-0000-0000BB010000}"/>
    <cellStyle name="Normal 18 2" xfId="443" xr:uid="{00000000-0005-0000-0000-0000BC010000}"/>
    <cellStyle name="Normal 180" xfId="444" xr:uid="{00000000-0005-0000-0000-0000BD010000}"/>
    <cellStyle name="Normal 180 2" xfId="445" xr:uid="{00000000-0005-0000-0000-0000BE010000}"/>
    <cellStyle name="Normal 181" xfId="446" xr:uid="{00000000-0005-0000-0000-0000BF010000}"/>
    <cellStyle name="Normal 181 2" xfId="447" xr:uid="{00000000-0005-0000-0000-0000C0010000}"/>
    <cellStyle name="Normal 182" xfId="448" xr:uid="{00000000-0005-0000-0000-0000C1010000}"/>
    <cellStyle name="Normal 183" xfId="449" xr:uid="{00000000-0005-0000-0000-0000C2010000}"/>
    <cellStyle name="Normal 184" xfId="450" xr:uid="{00000000-0005-0000-0000-0000C3010000}"/>
    <cellStyle name="Normal 185" xfId="451" xr:uid="{00000000-0005-0000-0000-0000C4010000}"/>
    <cellStyle name="Normal 186" xfId="452" xr:uid="{00000000-0005-0000-0000-0000C5010000}"/>
    <cellStyle name="Normal 187" xfId="453" xr:uid="{00000000-0005-0000-0000-0000C6010000}"/>
    <cellStyle name="Normal 188" xfId="454" xr:uid="{00000000-0005-0000-0000-0000C7010000}"/>
    <cellStyle name="Normal 189" xfId="455" xr:uid="{00000000-0005-0000-0000-0000C8010000}"/>
    <cellStyle name="Normal 19" xfId="456" xr:uid="{00000000-0005-0000-0000-0000C9010000}"/>
    <cellStyle name="Normal 19 2" xfId="457" xr:uid="{00000000-0005-0000-0000-0000CA010000}"/>
    <cellStyle name="Normal 190" xfId="458" xr:uid="{00000000-0005-0000-0000-0000CB010000}"/>
    <cellStyle name="Normal 191" xfId="459" xr:uid="{00000000-0005-0000-0000-0000CC010000}"/>
    <cellStyle name="Normal 192" xfId="460" xr:uid="{00000000-0005-0000-0000-0000CD010000}"/>
    <cellStyle name="Normal 193" xfId="461" xr:uid="{00000000-0005-0000-0000-0000CE010000}"/>
    <cellStyle name="Normal 194" xfId="462" xr:uid="{00000000-0005-0000-0000-0000CF010000}"/>
    <cellStyle name="Normal 195" xfId="463" xr:uid="{00000000-0005-0000-0000-0000D0010000}"/>
    <cellStyle name="Normal 196" xfId="464" xr:uid="{00000000-0005-0000-0000-0000D1010000}"/>
    <cellStyle name="Normal 197" xfId="465" xr:uid="{00000000-0005-0000-0000-0000D2010000}"/>
    <cellStyle name="Normal 198" xfId="466" xr:uid="{00000000-0005-0000-0000-0000D3010000}"/>
    <cellStyle name="Normal 199" xfId="467" xr:uid="{00000000-0005-0000-0000-0000D4010000}"/>
    <cellStyle name="Normal 2" xfId="468" xr:uid="{00000000-0005-0000-0000-0000D5010000}"/>
    <cellStyle name="Normal 2 2" xfId="469" xr:uid="{00000000-0005-0000-0000-0000D6010000}"/>
    <cellStyle name="Normal 2 2 2" xfId="470" xr:uid="{00000000-0005-0000-0000-0000D7010000}"/>
    <cellStyle name="Normal 2 3" xfId="471" xr:uid="{00000000-0005-0000-0000-0000D8010000}"/>
    <cellStyle name="Normal 2 3 2" xfId="472" xr:uid="{00000000-0005-0000-0000-0000D9010000}"/>
    <cellStyle name="Normal 2 3 3" xfId="473" xr:uid="{00000000-0005-0000-0000-0000DA010000}"/>
    <cellStyle name="Normal 2 4" xfId="474" xr:uid="{00000000-0005-0000-0000-0000DB010000}"/>
    <cellStyle name="Normal 2 5" xfId="475" xr:uid="{00000000-0005-0000-0000-0000DC010000}"/>
    <cellStyle name="Normal 2 6" xfId="476" xr:uid="{00000000-0005-0000-0000-0000DD010000}"/>
    <cellStyle name="Normal 20" xfId="477" xr:uid="{00000000-0005-0000-0000-0000DE010000}"/>
    <cellStyle name="Normal 20 2" xfId="478" xr:uid="{00000000-0005-0000-0000-0000DF010000}"/>
    <cellStyle name="Normal 200" xfId="479" xr:uid="{00000000-0005-0000-0000-0000E0010000}"/>
    <cellStyle name="Normal 201" xfId="480" xr:uid="{00000000-0005-0000-0000-0000E1010000}"/>
    <cellStyle name="Normal 202" xfId="481" xr:uid="{00000000-0005-0000-0000-0000E2010000}"/>
    <cellStyle name="Normal 203" xfId="482" xr:uid="{00000000-0005-0000-0000-0000E3010000}"/>
    <cellStyle name="Normal 204" xfId="483" xr:uid="{00000000-0005-0000-0000-0000E4010000}"/>
    <cellStyle name="Normal 205" xfId="484" xr:uid="{00000000-0005-0000-0000-0000E5010000}"/>
    <cellStyle name="Normal 206" xfId="485" xr:uid="{00000000-0005-0000-0000-0000E6010000}"/>
    <cellStyle name="Normal 207" xfId="486" xr:uid="{00000000-0005-0000-0000-0000E7010000}"/>
    <cellStyle name="Normal 207 2" xfId="487" xr:uid="{00000000-0005-0000-0000-0000E8010000}"/>
    <cellStyle name="Normal 207 2 2" xfId="488" xr:uid="{00000000-0005-0000-0000-0000E9010000}"/>
    <cellStyle name="Normal 207 3" xfId="489" xr:uid="{00000000-0005-0000-0000-0000EA010000}"/>
    <cellStyle name="Normal 207 4" xfId="490" xr:uid="{00000000-0005-0000-0000-0000EB010000}"/>
    <cellStyle name="Normal 208" xfId="491" xr:uid="{00000000-0005-0000-0000-0000EC010000}"/>
    <cellStyle name="Normal 209" xfId="492" xr:uid="{00000000-0005-0000-0000-0000ED010000}"/>
    <cellStyle name="Normal 209 2" xfId="1113" xr:uid="{00000000-0005-0000-0000-0000EE010000}"/>
    <cellStyle name="Normal 21" xfId="493" xr:uid="{00000000-0005-0000-0000-0000EF010000}"/>
    <cellStyle name="Normal 21 2" xfId="494" xr:uid="{00000000-0005-0000-0000-0000F0010000}"/>
    <cellStyle name="Normal 21 2 2" xfId="495" xr:uid="{00000000-0005-0000-0000-0000F1010000}"/>
    <cellStyle name="Normal 21 2 3" xfId="496" xr:uid="{00000000-0005-0000-0000-0000F2010000}"/>
    <cellStyle name="Normal 21 3" xfId="497" xr:uid="{00000000-0005-0000-0000-0000F3010000}"/>
    <cellStyle name="Normal 21 3 2" xfId="498" xr:uid="{00000000-0005-0000-0000-0000F4010000}"/>
    <cellStyle name="Normal 21 4" xfId="499" xr:uid="{00000000-0005-0000-0000-0000F5010000}"/>
    <cellStyle name="Normal 21 5" xfId="500" xr:uid="{00000000-0005-0000-0000-0000F6010000}"/>
    <cellStyle name="Normal 210" xfId="501" xr:uid="{00000000-0005-0000-0000-0000F7010000}"/>
    <cellStyle name="Normal 210 2" xfId="502" xr:uid="{00000000-0005-0000-0000-0000F8010000}"/>
    <cellStyle name="Normal 210 3" xfId="503" xr:uid="{00000000-0005-0000-0000-0000F9010000}"/>
    <cellStyle name="Normal 211" xfId="504" xr:uid="{00000000-0005-0000-0000-0000FA010000}"/>
    <cellStyle name="Normal 211 2" xfId="505" xr:uid="{00000000-0005-0000-0000-0000FB010000}"/>
    <cellStyle name="Normal 211 3" xfId="506" xr:uid="{00000000-0005-0000-0000-0000FC010000}"/>
    <cellStyle name="Normal 212" xfId="507" xr:uid="{00000000-0005-0000-0000-0000FD010000}"/>
    <cellStyle name="Normal 212 2" xfId="508" xr:uid="{00000000-0005-0000-0000-0000FE010000}"/>
    <cellStyle name="Normal 212 3" xfId="509" xr:uid="{00000000-0005-0000-0000-0000FF010000}"/>
    <cellStyle name="Normal 213" xfId="510" xr:uid="{00000000-0005-0000-0000-000000020000}"/>
    <cellStyle name="Normal 213 2" xfId="511" xr:uid="{00000000-0005-0000-0000-000001020000}"/>
    <cellStyle name="Normal 213 3" xfId="512" xr:uid="{00000000-0005-0000-0000-000002020000}"/>
    <cellStyle name="Normal 214" xfId="513" xr:uid="{00000000-0005-0000-0000-000003020000}"/>
    <cellStyle name="Normal 215" xfId="514" xr:uid="{00000000-0005-0000-0000-000004020000}"/>
    <cellStyle name="Normal 215 2" xfId="515" xr:uid="{00000000-0005-0000-0000-000005020000}"/>
    <cellStyle name="Normal 216" xfId="516" xr:uid="{00000000-0005-0000-0000-000006020000}"/>
    <cellStyle name="Normal 217" xfId="517" xr:uid="{00000000-0005-0000-0000-000007020000}"/>
    <cellStyle name="Normal 217 2" xfId="518" xr:uid="{00000000-0005-0000-0000-000008020000}"/>
    <cellStyle name="Normal 217 3" xfId="519" xr:uid="{00000000-0005-0000-0000-000009020000}"/>
    <cellStyle name="Normal 218" xfId="520" xr:uid="{00000000-0005-0000-0000-00000A020000}"/>
    <cellStyle name="Normal 218 2" xfId="521" xr:uid="{00000000-0005-0000-0000-00000B020000}"/>
    <cellStyle name="Normal 218 3" xfId="522" xr:uid="{00000000-0005-0000-0000-00000C020000}"/>
    <cellStyle name="Normal 219" xfId="523" xr:uid="{00000000-0005-0000-0000-00000D020000}"/>
    <cellStyle name="Normal 219 2" xfId="524" xr:uid="{00000000-0005-0000-0000-00000E020000}"/>
    <cellStyle name="Normal 22" xfId="525" xr:uid="{00000000-0005-0000-0000-00000F020000}"/>
    <cellStyle name="Normal 22 2" xfId="526" xr:uid="{00000000-0005-0000-0000-000010020000}"/>
    <cellStyle name="Normal 220" xfId="527" xr:uid="{00000000-0005-0000-0000-000011020000}"/>
    <cellStyle name="Normal 220 2" xfId="528" xr:uid="{00000000-0005-0000-0000-000012020000}"/>
    <cellStyle name="Normal 221" xfId="529" xr:uid="{00000000-0005-0000-0000-000013020000}"/>
    <cellStyle name="Normal 221 2" xfId="530" xr:uid="{00000000-0005-0000-0000-000014020000}"/>
    <cellStyle name="Normal 221 3" xfId="531" xr:uid="{00000000-0005-0000-0000-000015020000}"/>
    <cellStyle name="Normal 222" xfId="532" xr:uid="{00000000-0005-0000-0000-000016020000}"/>
    <cellStyle name="Normal 222 2" xfId="533" xr:uid="{00000000-0005-0000-0000-000017020000}"/>
    <cellStyle name="Normal 223" xfId="534" xr:uid="{00000000-0005-0000-0000-000018020000}"/>
    <cellStyle name="Normal 224" xfId="535" xr:uid="{00000000-0005-0000-0000-000019020000}"/>
    <cellStyle name="Normal 225" xfId="536" xr:uid="{00000000-0005-0000-0000-00001A020000}"/>
    <cellStyle name="Normal 226" xfId="537" xr:uid="{00000000-0005-0000-0000-00001B020000}"/>
    <cellStyle name="Normal 226 2" xfId="538" xr:uid="{00000000-0005-0000-0000-00001C020000}"/>
    <cellStyle name="Normal 227" xfId="539" xr:uid="{00000000-0005-0000-0000-00001D020000}"/>
    <cellStyle name="Normal 228" xfId="540" xr:uid="{00000000-0005-0000-0000-00001E020000}"/>
    <cellStyle name="Normal 229" xfId="1115" xr:uid="{647B444B-6BC1-4DEC-88E7-0AE9112A595D}"/>
    <cellStyle name="Normal 23" xfId="541" xr:uid="{00000000-0005-0000-0000-00001F020000}"/>
    <cellStyle name="Normal 23 2" xfId="542" xr:uid="{00000000-0005-0000-0000-000020020000}"/>
    <cellStyle name="Normal 231" xfId="543" xr:uid="{00000000-0005-0000-0000-000021020000}"/>
    <cellStyle name="Normal 24" xfId="544" xr:uid="{00000000-0005-0000-0000-000022020000}"/>
    <cellStyle name="Normal 24 2" xfId="545" xr:uid="{00000000-0005-0000-0000-000023020000}"/>
    <cellStyle name="Normal 25" xfId="546" xr:uid="{00000000-0005-0000-0000-000024020000}"/>
    <cellStyle name="Normal 25 2" xfId="547" xr:uid="{00000000-0005-0000-0000-000025020000}"/>
    <cellStyle name="Normal 26" xfId="548" xr:uid="{00000000-0005-0000-0000-000026020000}"/>
    <cellStyle name="Normal 26 2" xfId="549" xr:uid="{00000000-0005-0000-0000-000027020000}"/>
    <cellStyle name="Normal 27" xfId="550" xr:uid="{00000000-0005-0000-0000-000028020000}"/>
    <cellStyle name="Normal 27 2" xfId="551" xr:uid="{00000000-0005-0000-0000-000029020000}"/>
    <cellStyle name="Normal 28" xfId="552" xr:uid="{00000000-0005-0000-0000-00002A020000}"/>
    <cellStyle name="Normal 28 2" xfId="553" xr:uid="{00000000-0005-0000-0000-00002B020000}"/>
    <cellStyle name="Normal 29" xfId="554" xr:uid="{00000000-0005-0000-0000-00002C020000}"/>
    <cellStyle name="Normal 29 2" xfId="555" xr:uid="{00000000-0005-0000-0000-00002D020000}"/>
    <cellStyle name="Normal 3" xfId="556" xr:uid="{00000000-0005-0000-0000-00002E020000}"/>
    <cellStyle name="Normal 3 2" xfId="557" xr:uid="{00000000-0005-0000-0000-00002F020000}"/>
    <cellStyle name="Normal 3 2 2" xfId="558" xr:uid="{00000000-0005-0000-0000-000030020000}"/>
    <cellStyle name="Normal 3 3" xfId="559" xr:uid="{00000000-0005-0000-0000-000031020000}"/>
    <cellStyle name="Normal 3 3 2" xfId="560" xr:uid="{00000000-0005-0000-0000-000032020000}"/>
    <cellStyle name="Normal 3 3 2 2" xfId="561" xr:uid="{00000000-0005-0000-0000-000033020000}"/>
    <cellStyle name="Normal 3 3 3" xfId="562" xr:uid="{00000000-0005-0000-0000-000034020000}"/>
    <cellStyle name="Normal 3 4" xfId="563" xr:uid="{00000000-0005-0000-0000-000035020000}"/>
    <cellStyle name="Normal 3 4 2" xfId="564" xr:uid="{00000000-0005-0000-0000-000036020000}"/>
    <cellStyle name="Normal 3 4 2 2" xfId="565" xr:uid="{00000000-0005-0000-0000-000037020000}"/>
    <cellStyle name="Normal 3 4 3" xfId="566" xr:uid="{00000000-0005-0000-0000-000038020000}"/>
    <cellStyle name="Normal 3 5" xfId="567" xr:uid="{00000000-0005-0000-0000-000039020000}"/>
    <cellStyle name="Normal 3 5 2" xfId="568" xr:uid="{00000000-0005-0000-0000-00003A020000}"/>
    <cellStyle name="Normal 3 5 2 2" xfId="569" xr:uid="{00000000-0005-0000-0000-00003B020000}"/>
    <cellStyle name="Normal 3 6" xfId="570" xr:uid="{00000000-0005-0000-0000-00003C020000}"/>
    <cellStyle name="Normal 3 6 2" xfId="571" xr:uid="{00000000-0005-0000-0000-00003D020000}"/>
    <cellStyle name="Normal 3 6 2 2" xfId="572" xr:uid="{00000000-0005-0000-0000-00003E020000}"/>
    <cellStyle name="Normal 3 6 3" xfId="573" xr:uid="{00000000-0005-0000-0000-00003F020000}"/>
    <cellStyle name="Normal 3 7" xfId="574" xr:uid="{00000000-0005-0000-0000-000040020000}"/>
    <cellStyle name="Normal 3 7 2" xfId="575" xr:uid="{00000000-0005-0000-0000-000041020000}"/>
    <cellStyle name="Normal 3 7 3" xfId="576" xr:uid="{00000000-0005-0000-0000-000042020000}"/>
    <cellStyle name="Normal 3 8" xfId="577" xr:uid="{00000000-0005-0000-0000-000043020000}"/>
    <cellStyle name="Normal 30" xfId="578" xr:uid="{00000000-0005-0000-0000-000044020000}"/>
    <cellStyle name="Normal 30 2" xfId="579" xr:uid="{00000000-0005-0000-0000-000045020000}"/>
    <cellStyle name="Normal 31" xfId="580" xr:uid="{00000000-0005-0000-0000-000046020000}"/>
    <cellStyle name="Normal 31 2" xfId="581" xr:uid="{00000000-0005-0000-0000-000047020000}"/>
    <cellStyle name="Normal 32" xfId="582" xr:uid="{00000000-0005-0000-0000-000048020000}"/>
    <cellStyle name="Normal 32 2" xfId="583" xr:uid="{00000000-0005-0000-0000-000049020000}"/>
    <cellStyle name="Normal 33" xfId="584" xr:uid="{00000000-0005-0000-0000-00004A020000}"/>
    <cellStyle name="Normal 33 2" xfId="585" xr:uid="{00000000-0005-0000-0000-00004B020000}"/>
    <cellStyle name="Normal 34" xfId="586" xr:uid="{00000000-0005-0000-0000-00004C020000}"/>
    <cellStyle name="Normal 34 2" xfId="587" xr:uid="{00000000-0005-0000-0000-00004D020000}"/>
    <cellStyle name="Normal 35" xfId="588" xr:uid="{00000000-0005-0000-0000-00004E020000}"/>
    <cellStyle name="Normal 35 2" xfId="589" xr:uid="{00000000-0005-0000-0000-00004F020000}"/>
    <cellStyle name="Normal 36" xfId="590" xr:uid="{00000000-0005-0000-0000-000050020000}"/>
    <cellStyle name="Normal 36 2" xfId="591" xr:uid="{00000000-0005-0000-0000-000051020000}"/>
    <cellStyle name="Normal 37" xfId="592" xr:uid="{00000000-0005-0000-0000-000052020000}"/>
    <cellStyle name="Normal 37 2" xfId="593" xr:uid="{00000000-0005-0000-0000-000053020000}"/>
    <cellStyle name="Normal 38" xfId="594" xr:uid="{00000000-0005-0000-0000-000054020000}"/>
    <cellStyle name="Normal 38 2" xfId="595" xr:uid="{00000000-0005-0000-0000-000055020000}"/>
    <cellStyle name="Normal 39" xfId="596" xr:uid="{00000000-0005-0000-0000-000056020000}"/>
    <cellStyle name="Normal 39 2" xfId="597" xr:uid="{00000000-0005-0000-0000-000057020000}"/>
    <cellStyle name="Normal 39 2 2" xfId="598" xr:uid="{00000000-0005-0000-0000-000058020000}"/>
    <cellStyle name="Normal 39 2 3" xfId="599" xr:uid="{00000000-0005-0000-0000-000059020000}"/>
    <cellStyle name="Normal 39 3" xfId="600" xr:uid="{00000000-0005-0000-0000-00005A020000}"/>
    <cellStyle name="Normal 39 3 2" xfId="601" xr:uid="{00000000-0005-0000-0000-00005B020000}"/>
    <cellStyle name="Normal 39 4" xfId="602" xr:uid="{00000000-0005-0000-0000-00005C020000}"/>
    <cellStyle name="Normal 39 5" xfId="603" xr:uid="{00000000-0005-0000-0000-00005D020000}"/>
    <cellStyle name="Normal 4" xfId="604" xr:uid="{00000000-0005-0000-0000-00005E020000}"/>
    <cellStyle name="Normal 4 2" xfId="605" xr:uid="{00000000-0005-0000-0000-00005F020000}"/>
    <cellStyle name="Normal 4 2 2" xfId="606" xr:uid="{00000000-0005-0000-0000-000060020000}"/>
    <cellStyle name="Normal 4 3" xfId="607" xr:uid="{00000000-0005-0000-0000-000061020000}"/>
    <cellStyle name="Normal 4 3 2" xfId="608" xr:uid="{00000000-0005-0000-0000-000062020000}"/>
    <cellStyle name="Normal 4 3 2 2" xfId="609" xr:uid="{00000000-0005-0000-0000-000063020000}"/>
    <cellStyle name="Normal 4 3 3" xfId="610" xr:uid="{00000000-0005-0000-0000-000064020000}"/>
    <cellStyle name="Normal 4 4" xfId="611" xr:uid="{00000000-0005-0000-0000-000065020000}"/>
    <cellStyle name="Normal 4 4 2" xfId="612" xr:uid="{00000000-0005-0000-0000-000066020000}"/>
    <cellStyle name="Normal 4 4 2 2" xfId="613" xr:uid="{00000000-0005-0000-0000-000067020000}"/>
    <cellStyle name="Normal 4 5" xfId="614" xr:uid="{00000000-0005-0000-0000-000068020000}"/>
    <cellStyle name="Normal 4 5 2" xfId="615" xr:uid="{00000000-0005-0000-0000-000069020000}"/>
    <cellStyle name="Normal 4 5 2 2" xfId="616" xr:uid="{00000000-0005-0000-0000-00006A020000}"/>
    <cellStyle name="Normal 4 5 2 2 2" xfId="617" xr:uid="{00000000-0005-0000-0000-00006B020000}"/>
    <cellStyle name="Normal 4 5 2 2 3" xfId="618" xr:uid="{00000000-0005-0000-0000-00006C020000}"/>
    <cellStyle name="Normal 4 5 2 3" xfId="619" xr:uid="{00000000-0005-0000-0000-00006D020000}"/>
    <cellStyle name="Normal 4 5 2 3 2" xfId="620" xr:uid="{00000000-0005-0000-0000-00006E020000}"/>
    <cellStyle name="Normal 4 5 2 4" xfId="621" xr:uid="{00000000-0005-0000-0000-00006F020000}"/>
    <cellStyle name="Normal 4 5 3" xfId="622" xr:uid="{00000000-0005-0000-0000-000070020000}"/>
    <cellStyle name="Normal 4 5 3 2" xfId="623" xr:uid="{00000000-0005-0000-0000-000071020000}"/>
    <cellStyle name="Normal 4 5 3 2 2" xfId="624" xr:uid="{00000000-0005-0000-0000-000072020000}"/>
    <cellStyle name="Normal 4 5 3 3" xfId="625" xr:uid="{00000000-0005-0000-0000-000073020000}"/>
    <cellStyle name="Normal 4 5 4" xfId="626" xr:uid="{00000000-0005-0000-0000-000074020000}"/>
    <cellStyle name="Normal 4 5 4 2" xfId="627" xr:uid="{00000000-0005-0000-0000-000075020000}"/>
    <cellStyle name="Normal 4 5 5" xfId="628" xr:uid="{00000000-0005-0000-0000-000076020000}"/>
    <cellStyle name="Normal 4 5 6" xfId="629" xr:uid="{00000000-0005-0000-0000-000077020000}"/>
    <cellStyle name="Normal 4 6" xfId="630" xr:uid="{00000000-0005-0000-0000-000078020000}"/>
    <cellStyle name="Normal 40" xfId="631" xr:uid="{00000000-0005-0000-0000-000079020000}"/>
    <cellStyle name="Normal 40 2" xfId="632" xr:uid="{00000000-0005-0000-0000-00007A020000}"/>
    <cellStyle name="Normal 40 2 2" xfId="633" xr:uid="{00000000-0005-0000-0000-00007B020000}"/>
    <cellStyle name="Normal 40 2 3" xfId="634" xr:uid="{00000000-0005-0000-0000-00007C020000}"/>
    <cellStyle name="Normal 40 3" xfId="635" xr:uid="{00000000-0005-0000-0000-00007D020000}"/>
    <cellStyle name="Normal 40 3 2" xfId="636" xr:uid="{00000000-0005-0000-0000-00007E020000}"/>
    <cellStyle name="Normal 40 4" xfId="637" xr:uid="{00000000-0005-0000-0000-00007F020000}"/>
    <cellStyle name="Normal 40 5" xfId="638" xr:uid="{00000000-0005-0000-0000-000080020000}"/>
    <cellStyle name="Normal 41" xfId="639" xr:uid="{00000000-0005-0000-0000-000081020000}"/>
    <cellStyle name="Normal 41 2" xfId="640" xr:uid="{00000000-0005-0000-0000-000082020000}"/>
    <cellStyle name="Normal 41 2 2" xfId="641" xr:uid="{00000000-0005-0000-0000-000083020000}"/>
    <cellStyle name="Normal 41 2 3" xfId="642" xr:uid="{00000000-0005-0000-0000-000084020000}"/>
    <cellStyle name="Normal 41 3" xfId="643" xr:uid="{00000000-0005-0000-0000-000085020000}"/>
    <cellStyle name="Normal 41 3 2" xfId="644" xr:uid="{00000000-0005-0000-0000-000086020000}"/>
    <cellStyle name="Normal 41 4" xfId="645" xr:uid="{00000000-0005-0000-0000-000087020000}"/>
    <cellStyle name="Normal 41 5" xfId="646" xr:uid="{00000000-0005-0000-0000-000088020000}"/>
    <cellStyle name="Normal 42" xfId="647" xr:uid="{00000000-0005-0000-0000-000089020000}"/>
    <cellStyle name="Normal 42 2" xfId="648" xr:uid="{00000000-0005-0000-0000-00008A020000}"/>
    <cellStyle name="Normal 42 2 2" xfId="649" xr:uid="{00000000-0005-0000-0000-00008B020000}"/>
    <cellStyle name="Normal 42 2 3" xfId="650" xr:uid="{00000000-0005-0000-0000-00008C020000}"/>
    <cellStyle name="Normal 42 3" xfId="651" xr:uid="{00000000-0005-0000-0000-00008D020000}"/>
    <cellStyle name="Normal 42 3 2" xfId="652" xr:uid="{00000000-0005-0000-0000-00008E020000}"/>
    <cellStyle name="Normal 42 4" xfId="653" xr:uid="{00000000-0005-0000-0000-00008F020000}"/>
    <cellStyle name="Normal 43" xfId="654" xr:uid="{00000000-0005-0000-0000-000090020000}"/>
    <cellStyle name="Normal 43 2" xfId="655" xr:uid="{00000000-0005-0000-0000-000091020000}"/>
    <cellStyle name="Normal 43 2 2" xfId="656" xr:uid="{00000000-0005-0000-0000-000092020000}"/>
    <cellStyle name="Normal 43 2 2 2" xfId="657" xr:uid="{00000000-0005-0000-0000-000093020000}"/>
    <cellStyle name="Normal 43 2 3" xfId="658" xr:uid="{00000000-0005-0000-0000-000094020000}"/>
    <cellStyle name="Normal 43 3" xfId="659" xr:uid="{00000000-0005-0000-0000-000095020000}"/>
    <cellStyle name="Normal 43 3 2" xfId="660" xr:uid="{00000000-0005-0000-0000-000096020000}"/>
    <cellStyle name="Normal 43 4" xfId="661" xr:uid="{00000000-0005-0000-0000-000097020000}"/>
    <cellStyle name="Normal 43 5" xfId="662" xr:uid="{00000000-0005-0000-0000-000098020000}"/>
    <cellStyle name="Normal 44" xfId="663" xr:uid="{00000000-0005-0000-0000-000099020000}"/>
    <cellStyle name="Normal 44 2" xfId="664" xr:uid="{00000000-0005-0000-0000-00009A020000}"/>
    <cellStyle name="Normal 44 2 2" xfId="665" xr:uid="{00000000-0005-0000-0000-00009B020000}"/>
    <cellStyle name="Normal 44 2 2 2" xfId="666" xr:uid="{00000000-0005-0000-0000-00009C020000}"/>
    <cellStyle name="Normal 44 2 3" xfId="667" xr:uid="{00000000-0005-0000-0000-00009D020000}"/>
    <cellStyle name="Normal 44 3" xfId="668" xr:uid="{00000000-0005-0000-0000-00009E020000}"/>
    <cellStyle name="Normal 44 3 2" xfId="669" xr:uid="{00000000-0005-0000-0000-00009F020000}"/>
    <cellStyle name="Normal 44 4" xfId="670" xr:uid="{00000000-0005-0000-0000-0000A0020000}"/>
    <cellStyle name="Normal 44 5" xfId="671" xr:uid="{00000000-0005-0000-0000-0000A1020000}"/>
    <cellStyle name="Normal 45" xfId="672" xr:uid="{00000000-0005-0000-0000-0000A2020000}"/>
    <cellStyle name="Normal 45 2" xfId="673" xr:uid="{00000000-0005-0000-0000-0000A3020000}"/>
    <cellStyle name="Normal 45 2 2" xfId="674" xr:uid="{00000000-0005-0000-0000-0000A4020000}"/>
    <cellStyle name="Normal 45 2 2 2" xfId="675" xr:uid="{00000000-0005-0000-0000-0000A5020000}"/>
    <cellStyle name="Normal 45 2 3" xfId="676" xr:uid="{00000000-0005-0000-0000-0000A6020000}"/>
    <cellStyle name="Normal 45 3" xfId="677" xr:uid="{00000000-0005-0000-0000-0000A7020000}"/>
    <cellStyle name="Normal 45 3 2" xfId="678" xr:uid="{00000000-0005-0000-0000-0000A8020000}"/>
    <cellStyle name="Normal 45 4" xfId="679" xr:uid="{00000000-0005-0000-0000-0000A9020000}"/>
    <cellStyle name="Normal 45 5" xfId="680" xr:uid="{00000000-0005-0000-0000-0000AA020000}"/>
    <cellStyle name="Normal 46" xfId="681" xr:uid="{00000000-0005-0000-0000-0000AB020000}"/>
    <cellStyle name="Normal 46 2" xfId="682" xr:uid="{00000000-0005-0000-0000-0000AC020000}"/>
    <cellStyle name="Normal 46 2 2" xfId="683" xr:uid="{00000000-0005-0000-0000-0000AD020000}"/>
    <cellStyle name="Normal 46 2 3" xfId="684" xr:uid="{00000000-0005-0000-0000-0000AE020000}"/>
    <cellStyle name="Normal 46 3" xfId="685" xr:uid="{00000000-0005-0000-0000-0000AF020000}"/>
    <cellStyle name="Normal 46 3 2" xfId="686" xr:uid="{00000000-0005-0000-0000-0000B0020000}"/>
    <cellStyle name="Normal 46 4" xfId="687" xr:uid="{00000000-0005-0000-0000-0000B1020000}"/>
    <cellStyle name="Normal 46 5" xfId="688" xr:uid="{00000000-0005-0000-0000-0000B2020000}"/>
    <cellStyle name="Normal 47" xfId="689" xr:uid="{00000000-0005-0000-0000-0000B3020000}"/>
    <cellStyle name="Normal 47 2" xfId="690" xr:uid="{00000000-0005-0000-0000-0000B4020000}"/>
    <cellStyle name="Normal 47 2 2" xfId="691" xr:uid="{00000000-0005-0000-0000-0000B5020000}"/>
    <cellStyle name="Normal 47 2 2 2" xfId="692" xr:uid="{00000000-0005-0000-0000-0000B6020000}"/>
    <cellStyle name="Normal 47 2 3" xfId="693" xr:uid="{00000000-0005-0000-0000-0000B7020000}"/>
    <cellStyle name="Normal 47 3" xfId="694" xr:uid="{00000000-0005-0000-0000-0000B8020000}"/>
    <cellStyle name="Normal 47 3 2" xfId="695" xr:uid="{00000000-0005-0000-0000-0000B9020000}"/>
    <cellStyle name="Normal 47 4" xfId="696" xr:uid="{00000000-0005-0000-0000-0000BA020000}"/>
    <cellStyle name="Normal 47 5" xfId="697" xr:uid="{00000000-0005-0000-0000-0000BB020000}"/>
    <cellStyle name="Normal 48" xfId="698" xr:uid="{00000000-0005-0000-0000-0000BC020000}"/>
    <cellStyle name="Normal 48 2" xfId="699" xr:uid="{00000000-0005-0000-0000-0000BD020000}"/>
    <cellStyle name="Normal 48 2 2" xfId="700" xr:uid="{00000000-0005-0000-0000-0000BE020000}"/>
    <cellStyle name="Normal 48 2 3" xfId="701" xr:uid="{00000000-0005-0000-0000-0000BF020000}"/>
    <cellStyle name="Normal 48 3" xfId="702" xr:uid="{00000000-0005-0000-0000-0000C0020000}"/>
    <cellStyle name="Normal 48 3 2" xfId="703" xr:uid="{00000000-0005-0000-0000-0000C1020000}"/>
    <cellStyle name="Normal 48 4" xfId="704" xr:uid="{00000000-0005-0000-0000-0000C2020000}"/>
    <cellStyle name="Normal 48 5" xfId="705" xr:uid="{00000000-0005-0000-0000-0000C3020000}"/>
    <cellStyle name="Normal 49" xfId="706" xr:uid="{00000000-0005-0000-0000-0000C4020000}"/>
    <cellStyle name="Normal 49 2" xfId="707" xr:uid="{00000000-0005-0000-0000-0000C5020000}"/>
    <cellStyle name="Normal 49 2 2" xfId="708" xr:uid="{00000000-0005-0000-0000-0000C6020000}"/>
    <cellStyle name="Normal 49 2 3" xfId="709" xr:uid="{00000000-0005-0000-0000-0000C7020000}"/>
    <cellStyle name="Normal 49 3" xfId="710" xr:uid="{00000000-0005-0000-0000-0000C8020000}"/>
    <cellStyle name="Normal 49 3 2" xfId="711" xr:uid="{00000000-0005-0000-0000-0000C9020000}"/>
    <cellStyle name="Normal 49 4" xfId="712" xr:uid="{00000000-0005-0000-0000-0000CA020000}"/>
    <cellStyle name="Normal 49 5" xfId="713" xr:uid="{00000000-0005-0000-0000-0000CB020000}"/>
    <cellStyle name="Normal 5" xfId="714" xr:uid="{00000000-0005-0000-0000-0000CC020000}"/>
    <cellStyle name="Normal 5 10" xfId="715" xr:uid="{00000000-0005-0000-0000-0000CD020000}"/>
    <cellStyle name="Normal 5 2" xfId="716" xr:uid="{00000000-0005-0000-0000-0000CE020000}"/>
    <cellStyle name="Normal 5 3" xfId="717" xr:uid="{00000000-0005-0000-0000-0000CF020000}"/>
    <cellStyle name="Normal 5 4" xfId="718" xr:uid="{00000000-0005-0000-0000-0000D0020000}"/>
    <cellStyle name="Normal 5 5" xfId="719" xr:uid="{00000000-0005-0000-0000-0000D1020000}"/>
    <cellStyle name="Normal 5 6" xfId="720" xr:uid="{00000000-0005-0000-0000-0000D2020000}"/>
    <cellStyle name="Normal 5 7" xfId="721" xr:uid="{00000000-0005-0000-0000-0000D3020000}"/>
    <cellStyle name="Normal 5 8" xfId="722" xr:uid="{00000000-0005-0000-0000-0000D4020000}"/>
    <cellStyle name="Normal 5 8 2" xfId="723" xr:uid="{00000000-0005-0000-0000-0000D5020000}"/>
    <cellStyle name="Normal 5 9" xfId="724" xr:uid="{00000000-0005-0000-0000-0000D6020000}"/>
    <cellStyle name="Normal 5 9 2" xfId="725" xr:uid="{00000000-0005-0000-0000-0000D7020000}"/>
    <cellStyle name="Normal 5_DataSets ALL --&gt; Master DD" xfId="726" xr:uid="{00000000-0005-0000-0000-0000D8020000}"/>
    <cellStyle name="Normal 50" xfId="727" xr:uid="{00000000-0005-0000-0000-0000D9020000}"/>
    <cellStyle name="Normal 50 2" xfId="728" xr:uid="{00000000-0005-0000-0000-0000DA020000}"/>
    <cellStyle name="Normal 50 2 2" xfId="729" xr:uid="{00000000-0005-0000-0000-0000DB020000}"/>
    <cellStyle name="Normal 50 2 3" xfId="730" xr:uid="{00000000-0005-0000-0000-0000DC020000}"/>
    <cellStyle name="Normal 50 3" xfId="731" xr:uid="{00000000-0005-0000-0000-0000DD020000}"/>
    <cellStyle name="Normal 50 3 2" xfId="732" xr:uid="{00000000-0005-0000-0000-0000DE020000}"/>
    <cellStyle name="Normal 50 4" xfId="733" xr:uid="{00000000-0005-0000-0000-0000DF020000}"/>
    <cellStyle name="Normal 50 5" xfId="734" xr:uid="{00000000-0005-0000-0000-0000E0020000}"/>
    <cellStyle name="Normal 51" xfId="735" xr:uid="{00000000-0005-0000-0000-0000E1020000}"/>
    <cellStyle name="Normal 51 2" xfId="736" xr:uid="{00000000-0005-0000-0000-0000E2020000}"/>
    <cellStyle name="Normal 51 2 2" xfId="737" xr:uid="{00000000-0005-0000-0000-0000E3020000}"/>
    <cellStyle name="Normal 51 2 2 2" xfId="738" xr:uid="{00000000-0005-0000-0000-0000E4020000}"/>
    <cellStyle name="Normal 51 2 3" xfId="739" xr:uid="{00000000-0005-0000-0000-0000E5020000}"/>
    <cellStyle name="Normal 51 3" xfId="740" xr:uid="{00000000-0005-0000-0000-0000E6020000}"/>
    <cellStyle name="Normal 51 3 2" xfId="741" xr:uid="{00000000-0005-0000-0000-0000E7020000}"/>
    <cellStyle name="Normal 51 4" xfId="742" xr:uid="{00000000-0005-0000-0000-0000E8020000}"/>
    <cellStyle name="Normal 51 5" xfId="743" xr:uid="{00000000-0005-0000-0000-0000E9020000}"/>
    <cellStyle name="Normal 52" xfId="744" xr:uid="{00000000-0005-0000-0000-0000EA020000}"/>
    <cellStyle name="Normal 52 2" xfId="745" xr:uid="{00000000-0005-0000-0000-0000EB020000}"/>
    <cellStyle name="Normal 52 2 2" xfId="746" xr:uid="{00000000-0005-0000-0000-0000EC020000}"/>
    <cellStyle name="Normal 52 2 3" xfId="747" xr:uid="{00000000-0005-0000-0000-0000ED020000}"/>
    <cellStyle name="Normal 52 3" xfId="748" xr:uid="{00000000-0005-0000-0000-0000EE020000}"/>
    <cellStyle name="Normal 52 3 2" xfId="749" xr:uid="{00000000-0005-0000-0000-0000EF020000}"/>
    <cellStyle name="Normal 52 4" xfId="750" xr:uid="{00000000-0005-0000-0000-0000F0020000}"/>
    <cellStyle name="Normal 52 5" xfId="751" xr:uid="{00000000-0005-0000-0000-0000F1020000}"/>
    <cellStyle name="Normal 53" xfId="752" xr:uid="{00000000-0005-0000-0000-0000F2020000}"/>
    <cellStyle name="Normal 53 2" xfId="753" xr:uid="{00000000-0005-0000-0000-0000F3020000}"/>
    <cellStyle name="Normal 53 2 2" xfId="754" xr:uid="{00000000-0005-0000-0000-0000F4020000}"/>
    <cellStyle name="Normal 53 2 3" xfId="755" xr:uid="{00000000-0005-0000-0000-0000F5020000}"/>
    <cellStyle name="Normal 53 3" xfId="756" xr:uid="{00000000-0005-0000-0000-0000F6020000}"/>
    <cellStyle name="Normal 53 3 2" xfId="757" xr:uid="{00000000-0005-0000-0000-0000F7020000}"/>
    <cellStyle name="Normal 53 4" xfId="758" xr:uid="{00000000-0005-0000-0000-0000F8020000}"/>
    <cellStyle name="Normal 53 5" xfId="759" xr:uid="{00000000-0005-0000-0000-0000F9020000}"/>
    <cellStyle name="Normal 54" xfId="760" xr:uid="{00000000-0005-0000-0000-0000FA020000}"/>
    <cellStyle name="Normal 54 2" xfId="761" xr:uid="{00000000-0005-0000-0000-0000FB020000}"/>
    <cellStyle name="Normal 54 2 2" xfId="762" xr:uid="{00000000-0005-0000-0000-0000FC020000}"/>
    <cellStyle name="Normal 54 2 3" xfId="763" xr:uid="{00000000-0005-0000-0000-0000FD020000}"/>
    <cellStyle name="Normal 54 3" xfId="764" xr:uid="{00000000-0005-0000-0000-0000FE020000}"/>
    <cellStyle name="Normal 54 3 2" xfId="765" xr:uid="{00000000-0005-0000-0000-0000FF020000}"/>
    <cellStyle name="Normal 54 4" xfId="766" xr:uid="{00000000-0005-0000-0000-000000030000}"/>
    <cellStyle name="Normal 55" xfId="767" xr:uid="{00000000-0005-0000-0000-000001030000}"/>
    <cellStyle name="Normal 55 2" xfId="768" xr:uid="{00000000-0005-0000-0000-000002030000}"/>
    <cellStyle name="Normal 55 2 2" xfId="769" xr:uid="{00000000-0005-0000-0000-000003030000}"/>
    <cellStyle name="Normal 55 2 2 2" xfId="770" xr:uid="{00000000-0005-0000-0000-000004030000}"/>
    <cellStyle name="Normal 55 2 3" xfId="771" xr:uid="{00000000-0005-0000-0000-000005030000}"/>
    <cellStyle name="Normal 55 3" xfId="772" xr:uid="{00000000-0005-0000-0000-000006030000}"/>
    <cellStyle name="Normal 55 3 2" xfId="773" xr:uid="{00000000-0005-0000-0000-000007030000}"/>
    <cellStyle name="Normal 55 4" xfId="774" xr:uid="{00000000-0005-0000-0000-000008030000}"/>
    <cellStyle name="Normal 55 5" xfId="775" xr:uid="{00000000-0005-0000-0000-000009030000}"/>
    <cellStyle name="Normal 56" xfId="776" xr:uid="{00000000-0005-0000-0000-00000A030000}"/>
    <cellStyle name="Normal 56 2" xfId="777" xr:uid="{00000000-0005-0000-0000-00000B030000}"/>
    <cellStyle name="Normal 57" xfId="778" xr:uid="{00000000-0005-0000-0000-00000C030000}"/>
    <cellStyle name="Normal 57 2" xfId="779" xr:uid="{00000000-0005-0000-0000-00000D030000}"/>
    <cellStyle name="Normal 58" xfId="780" xr:uid="{00000000-0005-0000-0000-00000E030000}"/>
    <cellStyle name="Normal 58 2" xfId="781" xr:uid="{00000000-0005-0000-0000-00000F030000}"/>
    <cellStyle name="Normal 59" xfId="782" xr:uid="{00000000-0005-0000-0000-000010030000}"/>
    <cellStyle name="Normal 59 2" xfId="783" xr:uid="{00000000-0005-0000-0000-000011030000}"/>
    <cellStyle name="Normal 59 2 2" xfId="784" xr:uid="{00000000-0005-0000-0000-000012030000}"/>
    <cellStyle name="Normal 59 2 2 2" xfId="785" xr:uid="{00000000-0005-0000-0000-000013030000}"/>
    <cellStyle name="Normal 59 2 3" xfId="786" xr:uid="{00000000-0005-0000-0000-000014030000}"/>
    <cellStyle name="Normal 59 3" xfId="787" xr:uid="{00000000-0005-0000-0000-000015030000}"/>
    <cellStyle name="Normal 59 3 2" xfId="788" xr:uid="{00000000-0005-0000-0000-000016030000}"/>
    <cellStyle name="Normal 59 4" xfId="789" xr:uid="{00000000-0005-0000-0000-000017030000}"/>
    <cellStyle name="Normal 59 5" xfId="790" xr:uid="{00000000-0005-0000-0000-000018030000}"/>
    <cellStyle name="Normal 6" xfId="791" xr:uid="{00000000-0005-0000-0000-000019030000}"/>
    <cellStyle name="Normal 6 2" xfId="792" xr:uid="{00000000-0005-0000-0000-00001A030000}"/>
    <cellStyle name="Normal 6 2 2" xfId="793" xr:uid="{00000000-0005-0000-0000-00001B030000}"/>
    <cellStyle name="Normal 6 3" xfId="794" xr:uid="{00000000-0005-0000-0000-00001C030000}"/>
    <cellStyle name="Normal 6 3 2" xfId="795" xr:uid="{00000000-0005-0000-0000-00001D030000}"/>
    <cellStyle name="Normal 6 4" xfId="796" xr:uid="{00000000-0005-0000-0000-00001E030000}"/>
    <cellStyle name="Normal 6 4 2" xfId="797" xr:uid="{00000000-0005-0000-0000-00001F030000}"/>
    <cellStyle name="Normal 6 5" xfId="798" xr:uid="{00000000-0005-0000-0000-000020030000}"/>
    <cellStyle name="Normal 6 5 2" xfId="799" xr:uid="{00000000-0005-0000-0000-000021030000}"/>
    <cellStyle name="Normal 6 6" xfId="800" xr:uid="{00000000-0005-0000-0000-000022030000}"/>
    <cellStyle name="Normal 6 6 2" xfId="801" xr:uid="{00000000-0005-0000-0000-000023030000}"/>
    <cellStyle name="Normal 6 7" xfId="802" xr:uid="{00000000-0005-0000-0000-000024030000}"/>
    <cellStyle name="Normal 6 7 2" xfId="803" xr:uid="{00000000-0005-0000-0000-000025030000}"/>
    <cellStyle name="Normal 6 7 2 2" xfId="804" xr:uid="{00000000-0005-0000-0000-000026030000}"/>
    <cellStyle name="Normal 6 7 2 2 2" xfId="805" xr:uid="{00000000-0005-0000-0000-000027030000}"/>
    <cellStyle name="Normal 6 7 2 3" xfId="806" xr:uid="{00000000-0005-0000-0000-000028030000}"/>
    <cellStyle name="Normal 6 7 3" xfId="807" xr:uid="{00000000-0005-0000-0000-000029030000}"/>
    <cellStyle name="Normal 6_DataSets ALL --&gt; Master DD" xfId="808" xr:uid="{00000000-0005-0000-0000-00002A030000}"/>
    <cellStyle name="Normal 60" xfId="809" xr:uid="{00000000-0005-0000-0000-00002B030000}"/>
    <cellStyle name="Normal 60 2" xfId="810" xr:uid="{00000000-0005-0000-0000-00002C030000}"/>
    <cellStyle name="Normal 60 2 2" xfId="811" xr:uid="{00000000-0005-0000-0000-00002D030000}"/>
    <cellStyle name="Normal 60 2 2 2" xfId="812" xr:uid="{00000000-0005-0000-0000-00002E030000}"/>
    <cellStyle name="Normal 60 2 3" xfId="813" xr:uid="{00000000-0005-0000-0000-00002F030000}"/>
    <cellStyle name="Normal 60 3" xfId="814" xr:uid="{00000000-0005-0000-0000-000030030000}"/>
    <cellStyle name="Normal 60 3 2" xfId="815" xr:uid="{00000000-0005-0000-0000-000031030000}"/>
    <cellStyle name="Normal 60 4" xfId="816" xr:uid="{00000000-0005-0000-0000-000032030000}"/>
    <cellStyle name="Normal 60 5" xfId="817" xr:uid="{00000000-0005-0000-0000-000033030000}"/>
    <cellStyle name="Normal 61" xfId="818" xr:uid="{00000000-0005-0000-0000-000034030000}"/>
    <cellStyle name="Normal 61 2" xfId="819" xr:uid="{00000000-0005-0000-0000-000035030000}"/>
    <cellStyle name="Normal 62" xfId="820" xr:uid="{00000000-0005-0000-0000-000036030000}"/>
    <cellStyle name="Normal 62 2" xfId="821" xr:uid="{00000000-0005-0000-0000-000037030000}"/>
    <cellStyle name="Normal 62 2 2" xfId="822" xr:uid="{00000000-0005-0000-0000-000038030000}"/>
    <cellStyle name="Normal 62 2 3" xfId="823" xr:uid="{00000000-0005-0000-0000-000039030000}"/>
    <cellStyle name="Normal 62 3" xfId="824" xr:uid="{00000000-0005-0000-0000-00003A030000}"/>
    <cellStyle name="Normal 62 3 2" xfId="825" xr:uid="{00000000-0005-0000-0000-00003B030000}"/>
    <cellStyle name="Normal 62 4" xfId="826" xr:uid="{00000000-0005-0000-0000-00003C030000}"/>
    <cellStyle name="Normal 63" xfId="827" xr:uid="{00000000-0005-0000-0000-00003D030000}"/>
    <cellStyle name="Normal 63 2" xfId="828" xr:uid="{00000000-0005-0000-0000-00003E030000}"/>
    <cellStyle name="Normal 63 2 2" xfId="829" xr:uid="{00000000-0005-0000-0000-00003F030000}"/>
    <cellStyle name="Normal 63 2 2 2" xfId="830" xr:uid="{00000000-0005-0000-0000-000040030000}"/>
    <cellStyle name="Normal 63 2 3" xfId="831" xr:uid="{00000000-0005-0000-0000-000041030000}"/>
    <cellStyle name="Normal 63 3" xfId="832" xr:uid="{00000000-0005-0000-0000-000042030000}"/>
    <cellStyle name="Normal 63 3 2" xfId="833" xr:uid="{00000000-0005-0000-0000-000043030000}"/>
    <cellStyle name="Normal 63 4" xfId="834" xr:uid="{00000000-0005-0000-0000-000044030000}"/>
    <cellStyle name="Normal 64" xfId="835" xr:uid="{00000000-0005-0000-0000-000045030000}"/>
    <cellStyle name="Normal 64 2" xfId="836" xr:uid="{00000000-0005-0000-0000-000046030000}"/>
    <cellStyle name="Normal 64 2 2" xfId="837" xr:uid="{00000000-0005-0000-0000-000047030000}"/>
    <cellStyle name="Normal 64 2 3" xfId="838" xr:uid="{00000000-0005-0000-0000-000048030000}"/>
    <cellStyle name="Normal 64 3" xfId="839" xr:uid="{00000000-0005-0000-0000-000049030000}"/>
    <cellStyle name="Normal 64 3 2" xfId="840" xr:uid="{00000000-0005-0000-0000-00004A030000}"/>
    <cellStyle name="Normal 64 4" xfId="841" xr:uid="{00000000-0005-0000-0000-00004B030000}"/>
    <cellStyle name="Normal 65" xfId="842" xr:uid="{00000000-0005-0000-0000-00004C030000}"/>
    <cellStyle name="Normal 65 2" xfId="843" xr:uid="{00000000-0005-0000-0000-00004D030000}"/>
    <cellStyle name="Normal 65 2 2" xfId="844" xr:uid="{00000000-0005-0000-0000-00004E030000}"/>
    <cellStyle name="Normal 65 2 2 2" xfId="845" xr:uid="{00000000-0005-0000-0000-00004F030000}"/>
    <cellStyle name="Normal 65 2 3" xfId="846" xr:uid="{00000000-0005-0000-0000-000050030000}"/>
    <cellStyle name="Normal 65 3" xfId="847" xr:uid="{00000000-0005-0000-0000-000051030000}"/>
    <cellStyle name="Normal 65 3 2" xfId="848" xr:uid="{00000000-0005-0000-0000-000052030000}"/>
    <cellStyle name="Normal 65 4" xfId="849" xr:uid="{00000000-0005-0000-0000-000053030000}"/>
    <cellStyle name="Normal 65 5" xfId="850" xr:uid="{00000000-0005-0000-0000-000054030000}"/>
    <cellStyle name="Normal 66" xfId="851" xr:uid="{00000000-0005-0000-0000-000055030000}"/>
    <cellStyle name="Normal 66 2" xfId="852" xr:uid="{00000000-0005-0000-0000-000056030000}"/>
    <cellStyle name="Normal 66 2 2" xfId="853" xr:uid="{00000000-0005-0000-0000-000057030000}"/>
    <cellStyle name="Normal 66 2 3" xfId="854" xr:uid="{00000000-0005-0000-0000-000058030000}"/>
    <cellStyle name="Normal 66 3" xfId="855" xr:uid="{00000000-0005-0000-0000-000059030000}"/>
    <cellStyle name="Normal 66 3 2" xfId="856" xr:uid="{00000000-0005-0000-0000-00005A030000}"/>
    <cellStyle name="Normal 66 4" xfId="857" xr:uid="{00000000-0005-0000-0000-00005B030000}"/>
    <cellStyle name="Normal 67" xfId="858" xr:uid="{00000000-0005-0000-0000-00005C030000}"/>
    <cellStyle name="Normal 67 2" xfId="859" xr:uid="{00000000-0005-0000-0000-00005D030000}"/>
    <cellStyle name="Normal 67 2 2" xfId="860" xr:uid="{00000000-0005-0000-0000-00005E030000}"/>
    <cellStyle name="Normal 67 2 3" xfId="861" xr:uid="{00000000-0005-0000-0000-00005F030000}"/>
    <cellStyle name="Normal 67 3" xfId="862" xr:uid="{00000000-0005-0000-0000-000060030000}"/>
    <cellStyle name="Normal 67 3 2" xfId="863" xr:uid="{00000000-0005-0000-0000-000061030000}"/>
    <cellStyle name="Normal 67 4" xfId="864" xr:uid="{00000000-0005-0000-0000-000062030000}"/>
    <cellStyle name="Normal 68" xfId="865" xr:uid="{00000000-0005-0000-0000-000063030000}"/>
    <cellStyle name="Normal 68 2" xfId="866" xr:uid="{00000000-0005-0000-0000-000064030000}"/>
    <cellStyle name="Normal 68 2 2" xfId="867" xr:uid="{00000000-0005-0000-0000-000065030000}"/>
    <cellStyle name="Normal 68 2 3" xfId="868" xr:uid="{00000000-0005-0000-0000-000066030000}"/>
    <cellStyle name="Normal 68 3" xfId="869" xr:uid="{00000000-0005-0000-0000-000067030000}"/>
    <cellStyle name="Normal 68 3 2" xfId="870" xr:uid="{00000000-0005-0000-0000-000068030000}"/>
    <cellStyle name="Normal 68 4" xfId="871" xr:uid="{00000000-0005-0000-0000-000069030000}"/>
    <cellStyle name="Normal 69" xfId="872" xr:uid="{00000000-0005-0000-0000-00006A030000}"/>
    <cellStyle name="Normal 69 2" xfId="873" xr:uid="{00000000-0005-0000-0000-00006B030000}"/>
    <cellStyle name="Normal 69 2 2" xfId="874" xr:uid="{00000000-0005-0000-0000-00006C030000}"/>
    <cellStyle name="Normal 69 2 3" xfId="875" xr:uid="{00000000-0005-0000-0000-00006D030000}"/>
    <cellStyle name="Normal 69 3" xfId="876" xr:uid="{00000000-0005-0000-0000-00006E030000}"/>
    <cellStyle name="Normal 69 3 2" xfId="877" xr:uid="{00000000-0005-0000-0000-00006F030000}"/>
    <cellStyle name="Normal 69 4" xfId="878" xr:uid="{00000000-0005-0000-0000-000070030000}"/>
    <cellStyle name="Normal 7" xfId="879" xr:uid="{00000000-0005-0000-0000-000071030000}"/>
    <cellStyle name="Normal 7 2" xfId="880" xr:uid="{00000000-0005-0000-0000-000072030000}"/>
    <cellStyle name="Normal 7 2 2" xfId="881" xr:uid="{00000000-0005-0000-0000-000073030000}"/>
    <cellStyle name="Normal 7 2 2 2" xfId="882" xr:uid="{00000000-0005-0000-0000-000074030000}"/>
    <cellStyle name="Normal 7 2 3" xfId="883" xr:uid="{00000000-0005-0000-0000-000075030000}"/>
    <cellStyle name="Normal 7 3" xfId="884" xr:uid="{00000000-0005-0000-0000-000076030000}"/>
    <cellStyle name="Normal 7 3 2" xfId="885" xr:uid="{00000000-0005-0000-0000-000077030000}"/>
    <cellStyle name="Normal 7 4" xfId="886" xr:uid="{00000000-0005-0000-0000-000078030000}"/>
    <cellStyle name="Normal 7 5" xfId="887" xr:uid="{00000000-0005-0000-0000-000079030000}"/>
    <cellStyle name="Normal 70" xfId="888" xr:uid="{00000000-0005-0000-0000-00007A030000}"/>
    <cellStyle name="Normal 70 2" xfId="889" xr:uid="{00000000-0005-0000-0000-00007B030000}"/>
    <cellStyle name="Normal 70 2 2" xfId="890" xr:uid="{00000000-0005-0000-0000-00007C030000}"/>
    <cellStyle name="Normal 70 2 2 2" xfId="891" xr:uid="{00000000-0005-0000-0000-00007D030000}"/>
    <cellStyle name="Normal 70 2 3" xfId="892" xr:uid="{00000000-0005-0000-0000-00007E030000}"/>
    <cellStyle name="Normal 70 3" xfId="893" xr:uid="{00000000-0005-0000-0000-00007F030000}"/>
    <cellStyle name="Normal 70 3 2" xfId="894" xr:uid="{00000000-0005-0000-0000-000080030000}"/>
    <cellStyle name="Normal 70 4" xfId="895" xr:uid="{00000000-0005-0000-0000-000081030000}"/>
    <cellStyle name="Normal 71" xfId="896" xr:uid="{00000000-0005-0000-0000-000082030000}"/>
    <cellStyle name="Normal 71 2" xfId="897" xr:uid="{00000000-0005-0000-0000-000083030000}"/>
    <cellStyle name="Normal 71 2 2" xfId="898" xr:uid="{00000000-0005-0000-0000-000084030000}"/>
    <cellStyle name="Normal 71 2 2 2" xfId="899" xr:uid="{00000000-0005-0000-0000-000085030000}"/>
    <cellStyle name="Normal 71 2 3" xfId="900" xr:uid="{00000000-0005-0000-0000-000086030000}"/>
    <cellStyle name="Normal 71 3" xfId="901" xr:uid="{00000000-0005-0000-0000-000087030000}"/>
    <cellStyle name="Normal 71 3 2" xfId="902" xr:uid="{00000000-0005-0000-0000-000088030000}"/>
    <cellStyle name="Normal 71 4" xfId="903" xr:uid="{00000000-0005-0000-0000-000089030000}"/>
    <cellStyle name="Normal 72" xfId="904" xr:uid="{00000000-0005-0000-0000-00008A030000}"/>
    <cellStyle name="Normal 72 2" xfId="905" xr:uid="{00000000-0005-0000-0000-00008B030000}"/>
    <cellStyle name="Normal 72 2 2" xfId="906" xr:uid="{00000000-0005-0000-0000-00008C030000}"/>
    <cellStyle name="Normal 72 2 3" xfId="907" xr:uid="{00000000-0005-0000-0000-00008D030000}"/>
    <cellStyle name="Normal 72 3" xfId="908" xr:uid="{00000000-0005-0000-0000-00008E030000}"/>
    <cellStyle name="Normal 72 3 2" xfId="909" xr:uid="{00000000-0005-0000-0000-00008F030000}"/>
    <cellStyle name="Normal 72 4" xfId="910" xr:uid="{00000000-0005-0000-0000-000090030000}"/>
    <cellStyle name="Normal 73" xfId="911" xr:uid="{00000000-0005-0000-0000-000091030000}"/>
    <cellStyle name="Normal 73 2" xfId="912" xr:uid="{00000000-0005-0000-0000-000092030000}"/>
    <cellStyle name="Normal 73 2 2" xfId="913" xr:uid="{00000000-0005-0000-0000-000093030000}"/>
    <cellStyle name="Normal 73 2 3" xfId="914" xr:uid="{00000000-0005-0000-0000-000094030000}"/>
    <cellStyle name="Normal 73 3" xfId="915" xr:uid="{00000000-0005-0000-0000-000095030000}"/>
    <cellStyle name="Normal 73 3 2" xfId="916" xr:uid="{00000000-0005-0000-0000-000096030000}"/>
    <cellStyle name="Normal 73 4" xfId="917" xr:uid="{00000000-0005-0000-0000-000097030000}"/>
    <cellStyle name="Normal 74" xfId="918" xr:uid="{00000000-0005-0000-0000-000098030000}"/>
    <cellStyle name="Normal 74 2" xfId="919" xr:uid="{00000000-0005-0000-0000-000099030000}"/>
    <cellStyle name="Normal 74 2 2" xfId="920" xr:uid="{00000000-0005-0000-0000-00009A030000}"/>
    <cellStyle name="Normal 74 2 3" xfId="921" xr:uid="{00000000-0005-0000-0000-00009B030000}"/>
    <cellStyle name="Normal 74 3" xfId="922" xr:uid="{00000000-0005-0000-0000-00009C030000}"/>
    <cellStyle name="Normal 74 3 2" xfId="923" xr:uid="{00000000-0005-0000-0000-00009D030000}"/>
    <cellStyle name="Normal 74 4" xfId="924" xr:uid="{00000000-0005-0000-0000-00009E030000}"/>
    <cellStyle name="Normal 75" xfId="925" xr:uid="{00000000-0005-0000-0000-00009F030000}"/>
    <cellStyle name="Normal 75 2" xfId="926" xr:uid="{00000000-0005-0000-0000-0000A0030000}"/>
    <cellStyle name="Normal 75 2 2" xfId="927" xr:uid="{00000000-0005-0000-0000-0000A1030000}"/>
    <cellStyle name="Normal 75 2 3" xfId="928" xr:uid="{00000000-0005-0000-0000-0000A2030000}"/>
    <cellStyle name="Normal 75 3" xfId="929" xr:uid="{00000000-0005-0000-0000-0000A3030000}"/>
    <cellStyle name="Normal 75 3 2" xfId="930" xr:uid="{00000000-0005-0000-0000-0000A4030000}"/>
    <cellStyle name="Normal 75 4" xfId="931" xr:uid="{00000000-0005-0000-0000-0000A5030000}"/>
    <cellStyle name="Normal 76" xfId="932" xr:uid="{00000000-0005-0000-0000-0000A6030000}"/>
    <cellStyle name="Normal 76 2" xfId="933" xr:uid="{00000000-0005-0000-0000-0000A7030000}"/>
    <cellStyle name="Normal 76 2 2" xfId="934" xr:uid="{00000000-0005-0000-0000-0000A8030000}"/>
    <cellStyle name="Normal 76 2 2 2" xfId="935" xr:uid="{00000000-0005-0000-0000-0000A9030000}"/>
    <cellStyle name="Normal 76 2 3" xfId="936" xr:uid="{00000000-0005-0000-0000-0000AA030000}"/>
    <cellStyle name="Normal 76 3" xfId="937" xr:uid="{00000000-0005-0000-0000-0000AB030000}"/>
    <cellStyle name="Normal 76 3 2" xfId="938" xr:uid="{00000000-0005-0000-0000-0000AC030000}"/>
    <cellStyle name="Normal 76 4" xfId="939" xr:uid="{00000000-0005-0000-0000-0000AD030000}"/>
    <cellStyle name="Normal 77" xfId="940" xr:uid="{00000000-0005-0000-0000-0000AE030000}"/>
    <cellStyle name="Normal 77 2" xfId="941" xr:uid="{00000000-0005-0000-0000-0000AF030000}"/>
    <cellStyle name="Normal 77 2 2" xfId="942" xr:uid="{00000000-0005-0000-0000-0000B0030000}"/>
    <cellStyle name="Normal 77 2 2 2" xfId="943" xr:uid="{00000000-0005-0000-0000-0000B1030000}"/>
    <cellStyle name="Normal 77 2 3" xfId="944" xr:uid="{00000000-0005-0000-0000-0000B2030000}"/>
    <cellStyle name="Normal 77 3" xfId="945" xr:uid="{00000000-0005-0000-0000-0000B3030000}"/>
    <cellStyle name="Normal 77 3 2" xfId="946" xr:uid="{00000000-0005-0000-0000-0000B4030000}"/>
    <cellStyle name="Normal 77 4" xfId="947" xr:uid="{00000000-0005-0000-0000-0000B5030000}"/>
    <cellStyle name="Normal 78" xfId="948" xr:uid="{00000000-0005-0000-0000-0000B6030000}"/>
    <cellStyle name="Normal 78 2" xfId="949" xr:uid="{00000000-0005-0000-0000-0000B7030000}"/>
    <cellStyle name="Normal 78 2 2" xfId="950" xr:uid="{00000000-0005-0000-0000-0000B8030000}"/>
    <cellStyle name="Normal 78 2 3" xfId="951" xr:uid="{00000000-0005-0000-0000-0000B9030000}"/>
    <cellStyle name="Normal 78 3" xfId="952" xr:uid="{00000000-0005-0000-0000-0000BA030000}"/>
    <cellStyle name="Normal 78 3 2" xfId="953" xr:uid="{00000000-0005-0000-0000-0000BB030000}"/>
    <cellStyle name="Normal 78 4" xfId="954" xr:uid="{00000000-0005-0000-0000-0000BC030000}"/>
    <cellStyle name="Normal 79" xfId="955" xr:uid="{00000000-0005-0000-0000-0000BD030000}"/>
    <cellStyle name="Normal 79 2" xfId="956" xr:uid="{00000000-0005-0000-0000-0000BE030000}"/>
    <cellStyle name="Normal 79 2 2" xfId="957" xr:uid="{00000000-0005-0000-0000-0000BF030000}"/>
    <cellStyle name="Normal 79 2 2 2" xfId="958" xr:uid="{00000000-0005-0000-0000-0000C0030000}"/>
    <cellStyle name="Normal 79 2 3" xfId="959" xr:uid="{00000000-0005-0000-0000-0000C1030000}"/>
    <cellStyle name="Normal 79 3" xfId="960" xr:uid="{00000000-0005-0000-0000-0000C2030000}"/>
    <cellStyle name="Normal 79 3 2" xfId="961" xr:uid="{00000000-0005-0000-0000-0000C3030000}"/>
    <cellStyle name="Normal 79 4" xfId="962" xr:uid="{00000000-0005-0000-0000-0000C4030000}"/>
    <cellStyle name="Normal 8" xfId="963" xr:uid="{00000000-0005-0000-0000-0000C5030000}"/>
    <cellStyle name="Normal 8 2" xfId="964" xr:uid="{00000000-0005-0000-0000-0000C6030000}"/>
    <cellStyle name="Normal 8 2 2" xfId="965" xr:uid="{00000000-0005-0000-0000-0000C7030000}"/>
    <cellStyle name="Normal 8 3" xfId="966" xr:uid="{00000000-0005-0000-0000-0000C8030000}"/>
    <cellStyle name="Normal 8 3 2" xfId="967" xr:uid="{00000000-0005-0000-0000-0000C9030000}"/>
    <cellStyle name="Normal 8 4" xfId="968" xr:uid="{00000000-0005-0000-0000-0000CA030000}"/>
    <cellStyle name="Normal 8 4 2" xfId="969" xr:uid="{00000000-0005-0000-0000-0000CB030000}"/>
    <cellStyle name="Normal 8 5" xfId="970" xr:uid="{00000000-0005-0000-0000-0000CC030000}"/>
    <cellStyle name="Normal 8 5 2" xfId="971" xr:uid="{00000000-0005-0000-0000-0000CD030000}"/>
    <cellStyle name="Normal 8 6" xfId="972" xr:uid="{00000000-0005-0000-0000-0000CE030000}"/>
    <cellStyle name="Normal 8 6 2" xfId="973" xr:uid="{00000000-0005-0000-0000-0000CF030000}"/>
    <cellStyle name="Normal 8 7" xfId="974" xr:uid="{00000000-0005-0000-0000-0000D0030000}"/>
    <cellStyle name="Normal 8_DataSets ALL --&gt; Master DD" xfId="975" xr:uid="{00000000-0005-0000-0000-0000D1030000}"/>
    <cellStyle name="Normal 80" xfId="976" xr:uid="{00000000-0005-0000-0000-0000D2030000}"/>
    <cellStyle name="Normal 80 2" xfId="977" xr:uid="{00000000-0005-0000-0000-0000D3030000}"/>
    <cellStyle name="Normal 80 2 2" xfId="978" xr:uid="{00000000-0005-0000-0000-0000D4030000}"/>
    <cellStyle name="Normal 80 2 2 2" xfId="979" xr:uid="{00000000-0005-0000-0000-0000D5030000}"/>
    <cellStyle name="Normal 80 2 3" xfId="980" xr:uid="{00000000-0005-0000-0000-0000D6030000}"/>
    <cellStyle name="Normal 80 3" xfId="981" xr:uid="{00000000-0005-0000-0000-0000D7030000}"/>
    <cellStyle name="Normal 80 3 2" xfId="982" xr:uid="{00000000-0005-0000-0000-0000D8030000}"/>
    <cellStyle name="Normal 80 4" xfId="983" xr:uid="{00000000-0005-0000-0000-0000D9030000}"/>
    <cellStyle name="Normal 81" xfId="984" xr:uid="{00000000-0005-0000-0000-0000DA030000}"/>
    <cellStyle name="Normal 81 2" xfId="985" xr:uid="{00000000-0005-0000-0000-0000DB030000}"/>
    <cellStyle name="Normal 81 2 2" xfId="986" xr:uid="{00000000-0005-0000-0000-0000DC030000}"/>
    <cellStyle name="Normal 81 2 2 2" xfId="987" xr:uid="{00000000-0005-0000-0000-0000DD030000}"/>
    <cellStyle name="Normal 81 2 3" xfId="988" xr:uid="{00000000-0005-0000-0000-0000DE030000}"/>
    <cellStyle name="Normal 81 3" xfId="989" xr:uid="{00000000-0005-0000-0000-0000DF030000}"/>
    <cellStyle name="Normal 81 3 2" xfId="990" xr:uid="{00000000-0005-0000-0000-0000E0030000}"/>
    <cellStyle name="Normal 81 4" xfId="991" xr:uid="{00000000-0005-0000-0000-0000E1030000}"/>
    <cellStyle name="Normal 82" xfId="992" xr:uid="{00000000-0005-0000-0000-0000E2030000}"/>
    <cellStyle name="Normal 82 2" xfId="993" xr:uid="{00000000-0005-0000-0000-0000E3030000}"/>
    <cellStyle name="Normal 82 2 2" xfId="994" xr:uid="{00000000-0005-0000-0000-0000E4030000}"/>
    <cellStyle name="Normal 82 2 2 2" xfId="995" xr:uid="{00000000-0005-0000-0000-0000E5030000}"/>
    <cellStyle name="Normal 82 2 3" xfId="996" xr:uid="{00000000-0005-0000-0000-0000E6030000}"/>
    <cellStyle name="Normal 82 3" xfId="997" xr:uid="{00000000-0005-0000-0000-0000E7030000}"/>
    <cellStyle name="Normal 82 3 2" xfId="998" xr:uid="{00000000-0005-0000-0000-0000E8030000}"/>
    <cellStyle name="Normal 82 4" xfId="999" xr:uid="{00000000-0005-0000-0000-0000E9030000}"/>
    <cellStyle name="Normal 83" xfId="1000" xr:uid="{00000000-0005-0000-0000-0000EA030000}"/>
    <cellStyle name="Normal 83 2" xfId="1001" xr:uid="{00000000-0005-0000-0000-0000EB030000}"/>
    <cellStyle name="Normal 83 2 2" xfId="1002" xr:uid="{00000000-0005-0000-0000-0000EC030000}"/>
    <cellStyle name="Normal 83 2 3" xfId="1003" xr:uid="{00000000-0005-0000-0000-0000ED030000}"/>
    <cellStyle name="Normal 83 3" xfId="1004" xr:uid="{00000000-0005-0000-0000-0000EE030000}"/>
    <cellStyle name="Normal 83 3 2" xfId="1005" xr:uid="{00000000-0005-0000-0000-0000EF030000}"/>
    <cellStyle name="Normal 83 4" xfId="1006" xr:uid="{00000000-0005-0000-0000-0000F0030000}"/>
    <cellStyle name="Normal 84" xfId="1007" xr:uid="{00000000-0005-0000-0000-0000F1030000}"/>
    <cellStyle name="Normal 84 2" xfId="1008" xr:uid="{00000000-0005-0000-0000-0000F2030000}"/>
    <cellStyle name="Normal 84 2 2" xfId="1009" xr:uid="{00000000-0005-0000-0000-0000F3030000}"/>
    <cellStyle name="Normal 84 2 2 2" xfId="1010" xr:uid="{00000000-0005-0000-0000-0000F4030000}"/>
    <cellStyle name="Normal 84 2 3" xfId="1011" xr:uid="{00000000-0005-0000-0000-0000F5030000}"/>
    <cellStyle name="Normal 84 3" xfId="1012" xr:uid="{00000000-0005-0000-0000-0000F6030000}"/>
    <cellStyle name="Normal 84 3 2" xfId="1013" xr:uid="{00000000-0005-0000-0000-0000F7030000}"/>
    <cellStyle name="Normal 84 4" xfId="1014" xr:uid="{00000000-0005-0000-0000-0000F8030000}"/>
    <cellStyle name="Normal 85" xfId="1015" xr:uid="{00000000-0005-0000-0000-0000F9030000}"/>
    <cellStyle name="Normal 85 2" xfId="1016" xr:uid="{00000000-0005-0000-0000-0000FA030000}"/>
    <cellStyle name="Normal 85 3" xfId="1017" xr:uid="{00000000-0005-0000-0000-0000FB030000}"/>
    <cellStyle name="Normal 85 4" xfId="1018" xr:uid="{00000000-0005-0000-0000-0000FC030000}"/>
    <cellStyle name="Normal 85 5" xfId="1019" xr:uid="{00000000-0005-0000-0000-0000FD030000}"/>
    <cellStyle name="Normal 85 6" xfId="1020" xr:uid="{00000000-0005-0000-0000-0000FE030000}"/>
    <cellStyle name="Normal 86" xfId="1021" xr:uid="{00000000-0005-0000-0000-0000FF030000}"/>
    <cellStyle name="Normal 86 2" xfId="1022" xr:uid="{00000000-0005-0000-0000-000000040000}"/>
    <cellStyle name="Normal 86 3" xfId="1023" xr:uid="{00000000-0005-0000-0000-000001040000}"/>
    <cellStyle name="Normal 86 4" xfId="1024" xr:uid="{00000000-0005-0000-0000-000002040000}"/>
    <cellStyle name="Normal 87" xfId="1025" xr:uid="{00000000-0005-0000-0000-000003040000}"/>
    <cellStyle name="Normal 87 2" xfId="1026" xr:uid="{00000000-0005-0000-0000-000004040000}"/>
    <cellStyle name="Normal 87 3" xfId="1027" xr:uid="{00000000-0005-0000-0000-000005040000}"/>
    <cellStyle name="Normal 87 4" xfId="1028" xr:uid="{00000000-0005-0000-0000-000006040000}"/>
    <cellStyle name="Normal 88" xfId="1029" xr:uid="{00000000-0005-0000-0000-000007040000}"/>
    <cellStyle name="Normal 88 2" xfId="1030" xr:uid="{00000000-0005-0000-0000-000008040000}"/>
    <cellStyle name="Normal 88 3" xfId="1031" xr:uid="{00000000-0005-0000-0000-000009040000}"/>
    <cellStyle name="Normal 88 4" xfId="1032" xr:uid="{00000000-0005-0000-0000-00000A040000}"/>
    <cellStyle name="Normal 89" xfId="1033" xr:uid="{00000000-0005-0000-0000-00000B040000}"/>
    <cellStyle name="Normal 89 2" xfId="1034" xr:uid="{00000000-0005-0000-0000-00000C040000}"/>
    <cellStyle name="Normal 89 2 2" xfId="1035" xr:uid="{00000000-0005-0000-0000-00000D040000}"/>
    <cellStyle name="Normal 89 3" xfId="1036" xr:uid="{00000000-0005-0000-0000-00000E040000}"/>
    <cellStyle name="Normal 89 4" xfId="1037" xr:uid="{00000000-0005-0000-0000-00000F040000}"/>
    <cellStyle name="Normal 89 5" xfId="1038" xr:uid="{00000000-0005-0000-0000-000010040000}"/>
    <cellStyle name="Normal 9" xfId="1039" xr:uid="{00000000-0005-0000-0000-000011040000}"/>
    <cellStyle name="Normal 9 2" xfId="1040" xr:uid="{00000000-0005-0000-0000-000012040000}"/>
    <cellStyle name="Normal 9 2 2" xfId="1041" xr:uid="{00000000-0005-0000-0000-000013040000}"/>
    <cellStyle name="Normal 9 3" xfId="1042" xr:uid="{00000000-0005-0000-0000-000014040000}"/>
    <cellStyle name="Normal 9 3 2" xfId="1043" xr:uid="{00000000-0005-0000-0000-000015040000}"/>
    <cellStyle name="Normal 9 4" xfId="1044" xr:uid="{00000000-0005-0000-0000-000016040000}"/>
    <cellStyle name="Normal 9 4 2" xfId="1045" xr:uid="{00000000-0005-0000-0000-000017040000}"/>
    <cellStyle name="Normal 9 5" xfId="1046" xr:uid="{00000000-0005-0000-0000-000018040000}"/>
    <cellStyle name="Normal 9 5 2" xfId="1047" xr:uid="{00000000-0005-0000-0000-000019040000}"/>
    <cellStyle name="Normal 9 6" xfId="1048" xr:uid="{00000000-0005-0000-0000-00001A040000}"/>
    <cellStyle name="Normal 9 6 2" xfId="1049" xr:uid="{00000000-0005-0000-0000-00001B040000}"/>
    <cellStyle name="Normal 9 7" xfId="1050" xr:uid="{00000000-0005-0000-0000-00001C040000}"/>
    <cellStyle name="Normal 9_DataSets ALL --&gt; Master DD" xfId="1051" xr:uid="{00000000-0005-0000-0000-00001D040000}"/>
    <cellStyle name="Normal 90" xfId="1052" xr:uid="{00000000-0005-0000-0000-00001E040000}"/>
    <cellStyle name="Normal 90 2" xfId="1053" xr:uid="{00000000-0005-0000-0000-00001F040000}"/>
    <cellStyle name="Normal 90 2 2" xfId="1054" xr:uid="{00000000-0005-0000-0000-000020040000}"/>
    <cellStyle name="Normal 90 3" xfId="1055" xr:uid="{00000000-0005-0000-0000-000021040000}"/>
    <cellStyle name="Normal 90 4" xfId="1056" xr:uid="{00000000-0005-0000-0000-000022040000}"/>
    <cellStyle name="Normal 90 5" xfId="1057" xr:uid="{00000000-0005-0000-0000-000023040000}"/>
    <cellStyle name="Normal 90 6" xfId="1058" xr:uid="{00000000-0005-0000-0000-000024040000}"/>
    <cellStyle name="Normal 91" xfId="1059" xr:uid="{00000000-0005-0000-0000-000025040000}"/>
    <cellStyle name="Normal 91 2" xfId="1060" xr:uid="{00000000-0005-0000-0000-000026040000}"/>
    <cellStyle name="Normal 91 2 2" xfId="1061" xr:uid="{00000000-0005-0000-0000-000027040000}"/>
    <cellStyle name="Normal 91 3" xfId="1062" xr:uid="{00000000-0005-0000-0000-000028040000}"/>
    <cellStyle name="Normal 91 4" xfId="1063" xr:uid="{00000000-0005-0000-0000-000029040000}"/>
    <cellStyle name="Normal 91 5" xfId="1064" xr:uid="{00000000-0005-0000-0000-00002A040000}"/>
    <cellStyle name="Normal 92" xfId="1065" xr:uid="{00000000-0005-0000-0000-00002B040000}"/>
    <cellStyle name="Normal 92 2" xfId="1066" xr:uid="{00000000-0005-0000-0000-00002C040000}"/>
    <cellStyle name="Normal 92 3" xfId="1067" xr:uid="{00000000-0005-0000-0000-00002D040000}"/>
    <cellStyle name="Normal 92 4" xfId="1068" xr:uid="{00000000-0005-0000-0000-00002E040000}"/>
    <cellStyle name="Normal 93" xfId="1069" xr:uid="{00000000-0005-0000-0000-00002F040000}"/>
    <cellStyle name="Normal 93 2" xfId="1070" xr:uid="{00000000-0005-0000-0000-000030040000}"/>
    <cellStyle name="Normal 93 2 2" xfId="1071" xr:uid="{00000000-0005-0000-0000-000031040000}"/>
    <cellStyle name="Normal 93 3" xfId="1072" xr:uid="{00000000-0005-0000-0000-000032040000}"/>
    <cellStyle name="Normal 93 4" xfId="1073" xr:uid="{00000000-0005-0000-0000-000033040000}"/>
    <cellStyle name="Normal 93 5" xfId="1074" xr:uid="{00000000-0005-0000-0000-000034040000}"/>
    <cellStyle name="Normal 94" xfId="1075" xr:uid="{00000000-0005-0000-0000-000035040000}"/>
    <cellStyle name="Normal 94 2" xfId="1076" xr:uid="{00000000-0005-0000-0000-000036040000}"/>
    <cellStyle name="Normal 94 3" xfId="1077" xr:uid="{00000000-0005-0000-0000-000037040000}"/>
    <cellStyle name="Normal 94 4" xfId="1078" xr:uid="{00000000-0005-0000-0000-000038040000}"/>
    <cellStyle name="Normal 95" xfId="1079" xr:uid="{00000000-0005-0000-0000-000039040000}"/>
    <cellStyle name="Normal 95 2" xfId="1080" xr:uid="{00000000-0005-0000-0000-00003A040000}"/>
    <cellStyle name="Normal 95 3" xfId="1081" xr:uid="{00000000-0005-0000-0000-00003B040000}"/>
    <cellStyle name="Normal 95 4" xfId="1082" xr:uid="{00000000-0005-0000-0000-00003C040000}"/>
    <cellStyle name="Normal 95 5" xfId="1083" xr:uid="{00000000-0005-0000-0000-00003D040000}"/>
    <cellStyle name="Normal 96" xfId="1084" xr:uid="{00000000-0005-0000-0000-00003E040000}"/>
    <cellStyle name="Normal 96 2" xfId="1085" xr:uid="{00000000-0005-0000-0000-00003F040000}"/>
    <cellStyle name="Normal 96 3" xfId="1086" xr:uid="{00000000-0005-0000-0000-000040040000}"/>
    <cellStyle name="Normal 96 4" xfId="1087" xr:uid="{00000000-0005-0000-0000-000041040000}"/>
    <cellStyle name="Normal 96 5" xfId="1088" xr:uid="{00000000-0005-0000-0000-000042040000}"/>
    <cellStyle name="Normal 97" xfId="1089" xr:uid="{00000000-0005-0000-0000-000043040000}"/>
    <cellStyle name="Normal 97 2" xfId="1090" xr:uid="{00000000-0005-0000-0000-000044040000}"/>
    <cellStyle name="Normal 97 3" xfId="1091" xr:uid="{00000000-0005-0000-0000-000045040000}"/>
    <cellStyle name="Normal 97 4" xfId="1092" xr:uid="{00000000-0005-0000-0000-000046040000}"/>
    <cellStyle name="Normal 97 5" xfId="1093" xr:uid="{00000000-0005-0000-0000-000047040000}"/>
    <cellStyle name="Normal 98" xfId="1094" xr:uid="{00000000-0005-0000-0000-000048040000}"/>
    <cellStyle name="Normal 98 2" xfId="1095" xr:uid="{00000000-0005-0000-0000-000049040000}"/>
    <cellStyle name="Normal 98 3" xfId="1096" xr:uid="{00000000-0005-0000-0000-00004A040000}"/>
    <cellStyle name="Normal 98 4" xfId="1097" xr:uid="{00000000-0005-0000-0000-00004B040000}"/>
    <cellStyle name="Normal 98 5" xfId="1098" xr:uid="{00000000-0005-0000-0000-00004C040000}"/>
    <cellStyle name="Normal 99" xfId="1099" xr:uid="{00000000-0005-0000-0000-00004D040000}"/>
    <cellStyle name="Normal 99 2" xfId="1100" xr:uid="{00000000-0005-0000-0000-00004E040000}"/>
    <cellStyle name="Normal 99 3" xfId="1101" xr:uid="{00000000-0005-0000-0000-00004F040000}"/>
    <cellStyle name="Normal 99 4" xfId="1102" xr:uid="{00000000-0005-0000-0000-000050040000}"/>
    <cellStyle name="Normal 99 5" xfId="1103" xr:uid="{00000000-0005-0000-0000-000051040000}"/>
    <cellStyle name="Normal_Asmt" xfId="1111" xr:uid="{00000000-0005-0000-0000-000052040000}"/>
    <cellStyle name="Normal_DEEDRL" xfId="1104" xr:uid="{00000000-0005-0000-0000-000053040000}"/>
    <cellStyle name="Note 2" xfId="1105" xr:uid="{00000000-0005-0000-0000-000054040000}"/>
    <cellStyle name="Note 2 2" xfId="1106" xr:uid="{00000000-0005-0000-0000-000055040000}"/>
    <cellStyle name="Output" xfId="1107" builtinId="21" customBuiltin="1"/>
    <cellStyle name="Title 2" xfId="1108" xr:uid="{00000000-0005-0000-0000-000057040000}"/>
    <cellStyle name="Total" xfId="1109" builtinId="25" customBuiltin="1"/>
    <cellStyle name="Warning Text" xfId="1110"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95250</xdr:colOff>
      <xdr:row>0</xdr:row>
      <xdr:rowOff>114300</xdr:rowOff>
    </xdr:from>
    <xdr:to>
      <xdr:col>1</xdr:col>
      <xdr:colOff>1800225</xdr:colOff>
      <xdr:row>0</xdr:row>
      <xdr:rowOff>638175</xdr:rowOff>
    </xdr:to>
    <xdr:pic>
      <xdr:nvPicPr>
        <xdr:cNvPr id="2" name="Picture 1" descr="http://www.myblackknight.com/corporate/Marketing/Brand/Logos/BKI_RGB_RegMark_3inW72dpi.png">
          <a:extLst>
            <a:ext uri="{FF2B5EF4-FFF2-40B4-BE49-F238E27FC236}">
              <a16:creationId xmlns:a16="http://schemas.microsoft.com/office/drawing/2014/main" id="{D59FE4A1-92FF-433B-8A1A-67CA90F746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14300"/>
          <a:ext cx="231457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200025</xdr:colOff>
      <xdr:row>0</xdr:row>
      <xdr:rowOff>114300</xdr:rowOff>
    </xdr:from>
    <xdr:to>
      <xdr:col>1</xdr:col>
      <xdr:colOff>1905000</xdr:colOff>
      <xdr:row>0</xdr:row>
      <xdr:rowOff>638175</xdr:rowOff>
    </xdr:to>
    <xdr:pic>
      <xdr:nvPicPr>
        <xdr:cNvPr id="3" name="Picture 2" descr="http://www.myblackknight.com/corporate/Marketing/Brand/Logos/BKI_RGB_RegMark_3inW72dpi.png">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14300"/>
          <a:ext cx="205740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95250</xdr:colOff>
      <xdr:row>0</xdr:row>
      <xdr:rowOff>104775</xdr:rowOff>
    </xdr:from>
    <xdr:to>
      <xdr:col>1</xdr:col>
      <xdr:colOff>2152650</xdr:colOff>
      <xdr:row>0</xdr:row>
      <xdr:rowOff>628650</xdr:rowOff>
    </xdr:to>
    <xdr:pic>
      <xdr:nvPicPr>
        <xdr:cNvPr id="3" name="Picture 2" descr="http://www.myblackknight.com/corporate/Marketing/Brand/Logos/BKI_RGB_RegMark_3inW72dpi.png">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7675" y="104775"/>
          <a:ext cx="205740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333375</xdr:colOff>
      <xdr:row>0</xdr:row>
      <xdr:rowOff>142875</xdr:rowOff>
    </xdr:from>
    <xdr:to>
      <xdr:col>1</xdr:col>
      <xdr:colOff>2038350</xdr:colOff>
      <xdr:row>0</xdr:row>
      <xdr:rowOff>666750</xdr:rowOff>
    </xdr:to>
    <xdr:pic>
      <xdr:nvPicPr>
        <xdr:cNvPr id="3" name="Picture 2" descr="http://www.myblackknight.com/corporate/Marketing/Brand/Logos/BKI_RGB_RegMark_3inW72dpi.png">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3375" y="142875"/>
          <a:ext cx="205740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571500</xdr:colOff>
      <xdr:row>0</xdr:row>
      <xdr:rowOff>104775</xdr:rowOff>
    </xdr:from>
    <xdr:to>
      <xdr:col>1</xdr:col>
      <xdr:colOff>990600</xdr:colOff>
      <xdr:row>0</xdr:row>
      <xdr:rowOff>628650</xdr:rowOff>
    </xdr:to>
    <xdr:pic>
      <xdr:nvPicPr>
        <xdr:cNvPr id="3" name="Picture 2" descr="http://www.myblackknight.com/corporate/Marketing/Brand/Logos/BKI_RGB_RegMark_3inW72dpi.png">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0" y="104775"/>
          <a:ext cx="205740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itex.com\dfs\Users\sacosta\Documents\LAYOUTS\McDash%20HELOC%20Warehouse%20Extract%20Layou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LOC Extract Field List"/>
      <sheetName val="HELOC Technical Details"/>
      <sheetName val="Appraisal Method"/>
      <sheetName val="ARM Index"/>
      <sheetName val="ARM Negative Amortization"/>
      <sheetName val="Balloon Code"/>
      <sheetName val="Bankruptcy"/>
      <sheetName val="Bankruptcy Chapter"/>
      <sheetName val="Document Type"/>
      <sheetName val="Foreclosure"/>
      <sheetName val="Interest Type"/>
      <sheetName val="Investor"/>
      <sheetName val="Loan Purpose"/>
      <sheetName val="Loan Source"/>
      <sheetName val="Loan Status"/>
      <sheetName val="Mortgage Type"/>
      <sheetName val="Occupancy"/>
      <sheetName val="P &amp; I Frequency"/>
      <sheetName val="Paid In Full"/>
      <sheetName val="Prepayment Penalty Clause"/>
      <sheetName val="Primary Line Access Type"/>
      <sheetName val="Product Type"/>
      <sheetName val="Property Type"/>
      <sheetName val="Remittance Type"/>
      <sheetName val="Special Product"/>
      <sheetName val="State"/>
      <sheetName val="Underwritin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301AA-5485-4A75-AD82-D85CC2274651}">
  <dimension ref="A1:C8"/>
  <sheetViews>
    <sheetView workbookViewId="0">
      <selection activeCell="A5" sqref="A5:C5"/>
    </sheetView>
  </sheetViews>
  <sheetFormatPr defaultRowHeight="14.45"/>
  <cols>
    <col min="2" max="2" width="27.5703125" customWidth="1"/>
    <col min="3" max="3" width="77.85546875" customWidth="1"/>
  </cols>
  <sheetData>
    <row r="1" spans="1:3" s="1" customFormat="1" ht="60" customHeight="1">
      <c r="A1" s="26"/>
      <c r="B1" s="29"/>
      <c r="C1" s="72" t="s">
        <v>0</v>
      </c>
    </row>
    <row r="2" spans="1:3" s="1" customFormat="1" ht="12.6" thickBot="1">
      <c r="A2" s="26"/>
      <c r="B2" s="29"/>
      <c r="C2" s="29"/>
    </row>
    <row r="3" spans="1:3" s="1" customFormat="1" ht="18.600000000000001">
      <c r="A3" s="78" t="s">
        <v>1</v>
      </c>
      <c r="B3" s="79"/>
      <c r="C3" s="79"/>
    </row>
    <row r="4" spans="1:3" s="1" customFormat="1" ht="12.6" thickBot="1">
      <c r="A4" s="80" t="s">
        <v>2</v>
      </c>
      <c r="B4" s="81"/>
      <c r="C4" s="81"/>
    </row>
    <row r="5" spans="1:3">
      <c r="A5" s="82" t="s">
        <v>3</v>
      </c>
      <c r="B5" s="83"/>
      <c r="C5" s="84"/>
    </row>
    <row r="6" spans="1:3" ht="39">
      <c r="A6" s="73">
        <v>1</v>
      </c>
      <c r="B6" s="74" t="s">
        <v>4</v>
      </c>
      <c r="C6" s="75" t="s">
        <v>5</v>
      </c>
    </row>
    <row r="7" spans="1:3" ht="39">
      <c r="A7" s="73">
        <v>2</v>
      </c>
      <c r="B7" s="74" t="s">
        <v>6</v>
      </c>
      <c r="C7" s="75" t="s">
        <v>7</v>
      </c>
    </row>
    <row r="8" spans="1:3" ht="39">
      <c r="A8" s="73">
        <v>3</v>
      </c>
      <c r="B8" s="74" t="s">
        <v>8</v>
      </c>
      <c r="C8" s="75" t="s">
        <v>9</v>
      </c>
    </row>
  </sheetData>
  <mergeCells count="3">
    <mergeCell ref="A3:C3"/>
    <mergeCell ref="A4:C4"/>
    <mergeCell ref="A5:C5"/>
  </mergeCells>
  <hyperlinks>
    <hyperlink ref="B6" location="Assessment!A1" display="Assessment" xr:uid="{BCCD207C-7488-4CC3-904E-2A423E0D63AC}"/>
    <hyperlink ref="B7" location="Deed!A1" display="Deed" xr:uid="{06F690F6-808D-40C5-A512-8BFAB780D818}"/>
    <hyperlink ref="B8" location="Mortgage!A1" display="Mortgage" xr:uid="{FBCDD357-B325-4216-8494-031BAE7FCB3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3"/>
  <sheetViews>
    <sheetView zoomScaleNormal="100" workbookViewId="0">
      <pane ySplit="5" topLeftCell="A15" activePane="bottomLeft" state="frozenSplit"/>
      <selection pane="bottomLeft" activeCell="B25" sqref="B25"/>
      <selection sqref="A1:IV1"/>
    </sheetView>
  </sheetViews>
  <sheetFormatPr defaultColWidth="9.140625" defaultRowHeight="12"/>
  <cols>
    <col min="1" max="1" width="5.28515625" style="1" customWidth="1"/>
    <col min="2" max="2" width="35.7109375" style="11" customWidth="1"/>
    <col min="3" max="3" width="7" style="18" customWidth="1"/>
    <col min="4" max="4" width="13" style="18" customWidth="1"/>
    <col min="5" max="5" width="57" style="12" customWidth="1"/>
    <col min="6" max="16384" width="9.140625" style="1"/>
  </cols>
  <sheetData>
    <row r="1" spans="1:5" ht="60" customHeight="1">
      <c r="A1" s="26"/>
      <c r="B1" s="29"/>
      <c r="C1" s="85" t="s">
        <v>0</v>
      </c>
      <c r="D1" s="86"/>
      <c r="E1" s="86"/>
    </row>
    <row r="2" spans="1:5" ht="12.6" thickBot="1">
      <c r="A2" s="26"/>
      <c r="B2" s="29"/>
      <c r="C2" s="30"/>
      <c r="D2" s="28"/>
      <c r="E2" s="26"/>
    </row>
    <row r="3" spans="1:5" ht="18.600000000000001">
      <c r="A3" s="78" t="s">
        <v>10</v>
      </c>
      <c r="B3" s="79"/>
      <c r="C3" s="79"/>
      <c r="D3" s="79"/>
      <c r="E3" s="87"/>
    </row>
    <row r="4" spans="1:5" ht="12.6" thickBot="1">
      <c r="A4" s="80" t="s">
        <v>11</v>
      </c>
      <c r="B4" s="81"/>
      <c r="C4" s="81"/>
      <c r="D4" s="81"/>
      <c r="E4" s="88"/>
    </row>
    <row r="5" spans="1:5" s="18" customFormat="1" ht="21">
      <c r="A5" s="31" t="s">
        <v>12</v>
      </c>
      <c r="B5" s="31" t="s">
        <v>13</v>
      </c>
      <c r="C5" s="31" t="s">
        <v>14</v>
      </c>
      <c r="D5" s="31" t="s">
        <v>15</v>
      </c>
      <c r="E5" s="27" t="s">
        <v>16</v>
      </c>
    </row>
    <row r="6" spans="1:5" s="37" customFormat="1" ht="24">
      <c r="A6" s="4">
        <v>1</v>
      </c>
      <c r="B6" s="3" t="s">
        <v>17</v>
      </c>
      <c r="C6" s="4">
        <v>5</v>
      </c>
      <c r="D6" s="21" t="s">
        <v>18</v>
      </c>
      <c r="E6" s="3" t="s">
        <v>19</v>
      </c>
    </row>
    <row r="7" spans="1:5" s="37" customFormat="1">
      <c r="A7" s="4">
        <v>2</v>
      </c>
      <c r="B7" s="3" t="s">
        <v>20</v>
      </c>
      <c r="C7" s="4">
        <v>10</v>
      </c>
      <c r="D7" s="21" t="s">
        <v>21</v>
      </c>
      <c r="E7" s="3" t="s">
        <v>22</v>
      </c>
    </row>
    <row r="8" spans="1:5" s="37" customFormat="1" ht="110.25" customHeight="1">
      <c r="A8" s="4">
        <v>3</v>
      </c>
      <c r="B8" s="3" t="s">
        <v>23</v>
      </c>
      <c r="C8" s="4">
        <v>45</v>
      </c>
      <c r="D8" s="21" t="s">
        <v>24</v>
      </c>
      <c r="E8" s="3" t="s">
        <v>25</v>
      </c>
    </row>
    <row r="9" spans="1:5" s="37" customFormat="1" ht="36">
      <c r="A9" s="4">
        <v>4</v>
      </c>
      <c r="B9" s="3" t="s">
        <v>26</v>
      </c>
      <c r="C9" s="4">
        <v>2</v>
      </c>
      <c r="D9" s="21" t="s">
        <v>27</v>
      </c>
      <c r="E9" s="3" t="s">
        <v>28</v>
      </c>
    </row>
    <row r="10" spans="1:5" s="37" customFormat="1">
      <c r="A10" s="4">
        <v>5</v>
      </c>
      <c r="B10" s="3" t="s">
        <v>29</v>
      </c>
      <c r="C10" s="4">
        <v>1</v>
      </c>
      <c r="D10" s="21" t="s">
        <v>30</v>
      </c>
      <c r="E10" s="3" t="s">
        <v>31</v>
      </c>
    </row>
    <row r="11" spans="1:5" s="37" customFormat="1" ht="108">
      <c r="A11" s="4">
        <v>6</v>
      </c>
      <c r="B11" s="3" t="s">
        <v>32</v>
      </c>
      <c r="C11" s="5">
        <v>60</v>
      </c>
      <c r="D11" s="21" t="s">
        <v>33</v>
      </c>
      <c r="E11" s="3" t="s">
        <v>34</v>
      </c>
    </row>
    <row r="12" spans="1:5" s="37" customFormat="1" ht="24">
      <c r="A12" s="4">
        <v>7</v>
      </c>
      <c r="B12" s="3" t="s">
        <v>35</v>
      </c>
      <c r="C12" s="4">
        <v>30</v>
      </c>
      <c r="D12" s="21" t="s">
        <v>36</v>
      </c>
      <c r="E12" s="3" t="s">
        <v>37</v>
      </c>
    </row>
    <row r="13" spans="1:5" s="37" customFormat="1">
      <c r="A13" s="4">
        <v>8</v>
      </c>
      <c r="B13" s="3" t="s">
        <v>38</v>
      </c>
      <c r="C13" s="4">
        <v>2</v>
      </c>
      <c r="D13" s="21" t="s">
        <v>27</v>
      </c>
      <c r="E13" s="3" t="s">
        <v>39</v>
      </c>
    </row>
    <row r="14" spans="1:5" s="37" customFormat="1" ht="24">
      <c r="A14" s="4">
        <v>9</v>
      </c>
      <c r="B14" s="3" t="s">
        <v>40</v>
      </c>
      <c r="C14" s="4">
        <v>5</v>
      </c>
      <c r="D14" s="21" t="s">
        <v>18</v>
      </c>
      <c r="E14" s="3" t="s">
        <v>41</v>
      </c>
    </row>
    <row r="15" spans="1:5" s="37" customFormat="1">
      <c r="A15" s="4">
        <v>10</v>
      </c>
      <c r="B15" s="3" t="s">
        <v>42</v>
      </c>
      <c r="C15" s="4">
        <v>4</v>
      </c>
      <c r="D15" s="21" t="s">
        <v>43</v>
      </c>
      <c r="E15" s="3" t="s">
        <v>44</v>
      </c>
    </row>
    <row r="16" spans="1:5" s="37" customFormat="1" ht="36">
      <c r="A16" s="4">
        <v>11</v>
      </c>
      <c r="B16" s="3" t="s">
        <v>45</v>
      </c>
      <c r="C16" s="4">
        <v>4</v>
      </c>
      <c r="D16" s="21" t="s">
        <v>43</v>
      </c>
      <c r="E16" s="3" t="s">
        <v>46</v>
      </c>
    </row>
    <row r="17" spans="1:5" s="37" customFormat="1" ht="48">
      <c r="A17" s="4">
        <v>12</v>
      </c>
      <c r="B17" s="3" t="s">
        <v>47</v>
      </c>
      <c r="C17" s="4">
        <v>11</v>
      </c>
      <c r="D17" s="21" t="s">
        <v>48</v>
      </c>
      <c r="E17" s="3" t="s">
        <v>49</v>
      </c>
    </row>
    <row r="18" spans="1:5" s="37" customFormat="1" ht="36">
      <c r="A18" s="4">
        <v>13</v>
      </c>
      <c r="B18" s="3" t="s">
        <v>50</v>
      </c>
      <c r="C18" s="4">
        <v>13</v>
      </c>
      <c r="D18" s="21" t="s">
        <v>51</v>
      </c>
      <c r="E18" s="3" t="s">
        <v>52</v>
      </c>
    </row>
    <row r="19" spans="1:5" s="37" customFormat="1" ht="36">
      <c r="A19" s="4">
        <v>14</v>
      </c>
      <c r="B19" s="3" t="s">
        <v>53</v>
      </c>
      <c r="C19" s="4">
        <v>2</v>
      </c>
      <c r="D19" s="21" t="s">
        <v>27</v>
      </c>
      <c r="E19" s="3" t="s">
        <v>54</v>
      </c>
    </row>
    <row r="20" spans="1:5" s="37" customFormat="1">
      <c r="A20" s="4">
        <v>15</v>
      </c>
      <c r="B20" s="3" t="s">
        <v>55</v>
      </c>
      <c r="C20" s="4">
        <v>40</v>
      </c>
      <c r="D20" s="21" t="s">
        <v>56</v>
      </c>
      <c r="E20" s="3"/>
    </row>
    <row r="21" spans="1:5" s="37" customFormat="1" ht="48">
      <c r="A21" s="4">
        <v>16</v>
      </c>
      <c r="B21" s="3" t="s">
        <v>57</v>
      </c>
      <c r="C21" s="4">
        <v>4</v>
      </c>
      <c r="D21" s="21" t="s">
        <v>43</v>
      </c>
      <c r="E21" s="3" t="s">
        <v>58</v>
      </c>
    </row>
    <row r="22" spans="1:5" s="37" customFormat="1" ht="48">
      <c r="A22" s="4">
        <v>17</v>
      </c>
      <c r="B22" s="3" t="s">
        <v>59</v>
      </c>
      <c r="C22" s="4">
        <v>2</v>
      </c>
      <c r="D22" s="21" t="s">
        <v>27</v>
      </c>
      <c r="E22" s="3" t="s">
        <v>60</v>
      </c>
    </row>
    <row r="23" spans="1:5" s="37" customFormat="1">
      <c r="A23" s="4">
        <v>18</v>
      </c>
      <c r="B23" s="3" t="s">
        <v>61</v>
      </c>
      <c r="C23" s="4">
        <v>4</v>
      </c>
      <c r="D23" s="21" t="s">
        <v>43</v>
      </c>
      <c r="E23" s="3" t="s">
        <v>62</v>
      </c>
    </row>
    <row r="24" spans="1:5" s="37" customFormat="1">
      <c r="A24" s="4">
        <v>19</v>
      </c>
      <c r="B24" s="3" t="s">
        <v>63</v>
      </c>
      <c r="C24" s="4">
        <v>10</v>
      </c>
      <c r="D24" s="21" t="s">
        <v>64</v>
      </c>
      <c r="E24" s="3" t="s">
        <v>65</v>
      </c>
    </row>
    <row r="25" spans="1:5" s="37" customFormat="1">
      <c r="A25" s="4">
        <v>20</v>
      </c>
      <c r="B25" s="3" t="s">
        <v>66</v>
      </c>
      <c r="C25" s="4">
        <v>11</v>
      </c>
      <c r="D25" s="21" t="s">
        <v>64</v>
      </c>
      <c r="E25" s="3" t="s">
        <v>67</v>
      </c>
    </row>
    <row r="26" spans="1:5" s="37" customFormat="1" ht="36">
      <c r="A26" s="4">
        <v>21</v>
      </c>
      <c r="B26" s="3" t="s">
        <v>68</v>
      </c>
      <c r="C26" s="4">
        <v>16</v>
      </c>
      <c r="D26" s="21" t="s">
        <v>69</v>
      </c>
      <c r="E26" s="3" t="s">
        <v>70</v>
      </c>
    </row>
    <row r="27" spans="1:5" s="37" customFormat="1" ht="24">
      <c r="A27" s="4">
        <v>22</v>
      </c>
      <c r="B27" s="3" t="s">
        <v>71</v>
      </c>
      <c r="C27" s="5">
        <v>80</v>
      </c>
      <c r="D27" s="21" t="s">
        <v>72</v>
      </c>
      <c r="E27" s="3" t="s">
        <v>73</v>
      </c>
    </row>
    <row r="28" spans="1:5" s="37" customFormat="1" ht="24">
      <c r="A28" s="4">
        <v>23</v>
      </c>
      <c r="B28" s="3" t="s">
        <v>74</v>
      </c>
      <c r="C28" s="5">
        <v>60</v>
      </c>
      <c r="D28" s="21" t="s">
        <v>33</v>
      </c>
      <c r="E28" s="3" t="s">
        <v>75</v>
      </c>
    </row>
    <row r="29" spans="1:5" s="37" customFormat="1" ht="24">
      <c r="A29" s="4">
        <v>24</v>
      </c>
      <c r="B29" s="3" t="s">
        <v>76</v>
      </c>
      <c r="C29" s="5">
        <v>5</v>
      </c>
      <c r="D29" s="21" t="s">
        <v>18</v>
      </c>
      <c r="E29" s="3" t="s">
        <v>77</v>
      </c>
    </row>
    <row r="30" spans="1:5" s="37" customFormat="1" ht="24">
      <c r="A30" s="4">
        <v>25</v>
      </c>
      <c r="B30" s="3" t="s">
        <v>78</v>
      </c>
      <c r="C30" s="5">
        <v>30</v>
      </c>
      <c r="D30" s="21" t="s">
        <v>36</v>
      </c>
      <c r="E30" s="3" t="s">
        <v>79</v>
      </c>
    </row>
    <row r="31" spans="1:5" s="37" customFormat="1" ht="24">
      <c r="A31" s="4">
        <v>26</v>
      </c>
      <c r="B31" s="3" t="s">
        <v>80</v>
      </c>
      <c r="C31" s="5">
        <v>60</v>
      </c>
      <c r="D31" s="21" t="s">
        <v>33</v>
      </c>
      <c r="E31" s="3" t="s">
        <v>81</v>
      </c>
    </row>
    <row r="32" spans="1:5" s="37" customFormat="1" ht="24">
      <c r="A32" s="4">
        <v>27</v>
      </c>
      <c r="B32" s="3" t="s">
        <v>82</v>
      </c>
      <c r="C32" s="5">
        <v>80</v>
      </c>
      <c r="D32" s="21" t="s">
        <v>72</v>
      </c>
      <c r="E32" s="3" t="s">
        <v>83</v>
      </c>
    </row>
    <row r="33" spans="1:5" s="37" customFormat="1" ht="60">
      <c r="A33" s="4">
        <v>28</v>
      </c>
      <c r="B33" s="3" t="s">
        <v>84</v>
      </c>
      <c r="C33" s="5">
        <v>30</v>
      </c>
      <c r="D33" s="21" t="s">
        <v>36</v>
      </c>
      <c r="E33" s="3" t="s">
        <v>85</v>
      </c>
    </row>
    <row r="34" spans="1:5" s="37" customFormat="1" ht="24">
      <c r="A34" s="4">
        <v>29</v>
      </c>
      <c r="B34" s="3" t="s">
        <v>86</v>
      </c>
      <c r="C34" s="5">
        <v>2</v>
      </c>
      <c r="D34" s="21" t="s">
        <v>27</v>
      </c>
      <c r="E34" s="3" t="s">
        <v>87</v>
      </c>
    </row>
    <row r="35" spans="1:5" s="37" customFormat="1">
      <c r="A35" s="4">
        <v>30</v>
      </c>
      <c r="B35" s="3" t="s">
        <v>88</v>
      </c>
      <c r="C35" s="5">
        <v>5</v>
      </c>
      <c r="D35" s="21" t="s">
        <v>18</v>
      </c>
      <c r="E35" s="3"/>
    </row>
    <row r="36" spans="1:5" s="37" customFormat="1" ht="24">
      <c r="A36" s="4">
        <v>31</v>
      </c>
      <c r="B36" s="3" t="s">
        <v>89</v>
      </c>
      <c r="C36" s="5">
        <v>4</v>
      </c>
      <c r="D36" s="21" t="s">
        <v>43</v>
      </c>
      <c r="E36" s="3" t="s">
        <v>90</v>
      </c>
    </row>
    <row r="37" spans="1:5" s="37" customFormat="1">
      <c r="A37" s="4">
        <v>32</v>
      </c>
      <c r="B37" s="3" t="s">
        <v>91</v>
      </c>
      <c r="C37" s="4">
        <v>4</v>
      </c>
      <c r="D37" s="21" t="s">
        <v>43</v>
      </c>
      <c r="E37" s="3" t="s">
        <v>92</v>
      </c>
    </row>
    <row r="38" spans="1:5" s="37" customFormat="1">
      <c r="A38" s="4">
        <v>33</v>
      </c>
      <c r="B38" s="3" t="s">
        <v>93</v>
      </c>
      <c r="C38" s="5">
        <v>11</v>
      </c>
      <c r="D38" s="21" t="s">
        <v>48</v>
      </c>
      <c r="E38" s="3" t="s">
        <v>94</v>
      </c>
    </row>
    <row r="39" spans="1:5" s="37" customFormat="1" ht="24">
      <c r="A39" s="4">
        <v>34</v>
      </c>
      <c r="B39" s="3" t="s">
        <v>95</v>
      </c>
      <c r="C39" s="4">
        <v>1</v>
      </c>
      <c r="D39" s="21" t="s">
        <v>30</v>
      </c>
      <c r="E39" s="3" t="s">
        <v>96</v>
      </c>
    </row>
    <row r="40" spans="1:5" s="37" customFormat="1" ht="24">
      <c r="A40" s="4">
        <v>35</v>
      </c>
      <c r="B40" s="3" t="s">
        <v>97</v>
      </c>
      <c r="C40" s="4">
        <v>10</v>
      </c>
      <c r="D40" s="21" t="s">
        <v>21</v>
      </c>
      <c r="E40" s="3" t="s">
        <v>98</v>
      </c>
    </row>
    <row r="41" spans="1:5" s="37" customFormat="1" ht="48">
      <c r="A41" s="4">
        <v>36</v>
      </c>
      <c r="B41" s="3" t="s">
        <v>99</v>
      </c>
      <c r="C41" s="4">
        <v>10</v>
      </c>
      <c r="D41" s="21" t="s">
        <v>21</v>
      </c>
      <c r="E41" s="3" t="s">
        <v>100</v>
      </c>
    </row>
    <row r="42" spans="1:5" s="37" customFormat="1" ht="36">
      <c r="A42" s="4">
        <v>37</v>
      </c>
      <c r="B42" s="3" t="s">
        <v>101</v>
      </c>
      <c r="C42" s="4">
        <v>11</v>
      </c>
      <c r="D42" s="21" t="s">
        <v>21</v>
      </c>
      <c r="E42" s="3" t="s">
        <v>102</v>
      </c>
    </row>
    <row r="43" spans="1:5" s="37" customFormat="1" ht="36">
      <c r="A43" s="4">
        <v>38</v>
      </c>
      <c r="B43" s="3" t="s">
        <v>103</v>
      </c>
      <c r="C43" s="4">
        <v>4</v>
      </c>
      <c r="D43" s="21" t="s">
        <v>43</v>
      </c>
      <c r="E43" s="3" t="s">
        <v>104</v>
      </c>
    </row>
    <row r="44" spans="1:5" s="37" customFormat="1" ht="24">
      <c r="A44" s="4">
        <v>39</v>
      </c>
      <c r="B44" s="3" t="s">
        <v>105</v>
      </c>
      <c r="C44" s="5">
        <v>1</v>
      </c>
      <c r="D44" s="21" t="s">
        <v>30</v>
      </c>
      <c r="E44" s="3" t="s">
        <v>106</v>
      </c>
    </row>
    <row r="45" spans="1:5" s="37" customFormat="1" ht="24">
      <c r="A45" s="4">
        <v>40</v>
      </c>
      <c r="B45" s="3" t="s">
        <v>107</v>
      </c>
      <c r="C45" s="5">
        <v>4</v>
      </c>
      <c r="D45" s="21" t="s">
        <v>43</v>
      </c>
      <c r="E45" s="3" t="s">
        <v>108</v>
      </c>
    </row>
    <row r="46" spans="1:5" s="37" customFormat="1" ht="24">
      <c r="A46" s="4">
        <v>41</v>
      </c>
      <c r="B46" s="3" t="s">
        <v>109</v>
      </c>
      <c r="C46" s="5">
        <v>18</v>
      </c>
      <c r="D46" s="21" t="s">
        <v>110</v>
      </c>
      <c r="E46" s="3" t="s">
        <v>111</v>
      </c>
    </row>
    <row r="47" spans="1:5" s="37" customFormat="1" ht="36">
      <c r="A47" s="4">
        <v>42</v>
      </c>
      <c r="B47" s="3" t="s">
        <v>112</v>
      </c>
      <c r="C47" s="5">
        <v>20</v>
      </c>
      <c r="D47" s="21" t="s">
        <v>113</v>
      </c>
      <c r="E47" s="3" t="s">
        <v>114</v>
      </c>
    </row>
    <row r="48" spans="1:5" s="37" customFormat="1" ht="36">
      <c r="A48" s="4">
        <v>43</v>
      </c>
      <c r="B48" s="3" t="s">
        <v>115</v>
      </c>
      <c r="C48" s="5">
        <v>10</v>
      </c>
      <c r="D48" s="21" t="s">
        <v>116</v>
      </c>
      <c r="E48" s="3" t="s">
        <v>117</v>
      </c>
    </row>
    <row r="49" spans="1:5" s="37" customFormat="1">
      <c r="A49" s="4">
        <v>44</v>
      </c>
      <c r="B49" s="3" t="s">
        <v>118</v>
      </c>
      <c r="C49" s="5">
        <v>10</v>
      </c>
      <c r="D49" s="21" t="s">
        <v>116</v>
      </c>
      <c r="E49" s="3" t="s">
        <v>119</v>
      </c>
    </row>
    <row r="50" spans="1:5" s="37" customFormat="1" ht="36">
      <c r="A50" s="4">
        <v>45</v>
      </c>
      <c r="B50" s="3" t="s">
        <v>120</v>
      </c>
      <c r="C50" s="4">
        <v>8</v>
      </c>
      <c r="D50" s="21" t="s">
        <v>121</v>
      </c>
      <c r="E50" s="3" t="s">
        <v>122</v>
      </c>
    </row>
    <row r="51" spans="1:5" s="37" customFormat="1" ht="24">
      <c r="A51" s="4">
        <v>46</v>
      </c>
      <c r="B51" s="3" t="s">
        <v>123</v>
      </c>
      <c r="C51" s="5">
        <v>25</v>
      </c>
      <c r="D51" s="21" t="s">
        <v>124</v>
      </c>
      <c r="E51" s="3" t="s">
        <v>125</v>
      </c>
    </row>
    <row r="52" spans="1:5" s="37" customFormat="1" ht="36">
      <c r="A52" s="4">
        <v>47</v>
      </c>
      <c r="B52" s="3" t="s">
        <v>126</v>
      </c>
      <c r="C52" s="4">
        <v>10</v>
      </c>
      <c r="D52" s="21" t="s">
        <v>21</v>
      </c>
      <c r="E52" s="3" t="s">
        <v>127</v>
      </c>
    </row>
    <row r="53" spans="1:5" s="37" customFormat="1">
      <c r="A53" s="4">
        <v>48</v>
      </c>
      <c r="B53" s="3" t="s">
        <v>128</v>
      </c>
      <c r="C53" s="4">
        <v>1</v>
      </c>
      <c r="D53" s="21" t="s">
        <v>30</v>
      </c>
      <c r="E53" s="3" t="s">
        <v>129</v>
      </c>
    </row>
    <row r="54" spans="1:5" s="37" customFormat="1" ht="24">
      <c r="A54" s="4">
        <v>49</v>
      </c>
      <c r="B54" s="3" t="s">
        <v>130</v>
      </c>
      <c r="C54" s="4">
        <v>8</v>
      </c>
      <c r="D54" s="21" t="s">
        <v>121</v>
      </c>
      <c r="E54" s="3" t="s">
        <v>131</v>
      </c>
    </row>
    <row r="55" spans="1:5" s="37" customFormat="1" ht="24">
      <c r="A55" s="4">
        <v>50</v>
      </c>
      <c r="B55" s="3" t="s">
        <v>132</v>
      </c>
      <c r="C55" s="4">
        <v>10</v>
      </c>
      <c r="D55" s="21" t="s">
        <v>21</v>
      </c>
      <c r="E55" s="3" t="s">
        <v>133</v>
      </c>
    </row>
    <row r="56" spans="1:5" s="37" customFormat="1">
      <c r="A56" s="4">
        <v>51</v>
      </c>
      <c r="B56" s="3" t="s">
        <v>134</v>
      </c>
      <c r="C56" s="4">
        <v>1</v>
      </c>
      <c r="D56" s="21" t="s">
        <v>30</v>
      </c>
      <c r="E56" s="3" t="s">
        <v>129</v>
      </c>
    </row>
    <row r="57" spans="1:5" s="37" customFormat="1">
      <c r="A57" s="4">
        <f t="shared" ref="A57:A122" si="0">A56+1</f>
        <v>52</v>
      </c>
      <c r="B57" s="3" t="s">
        <v>135</v>
      </c>
      <c r="C57" s="4">
        <v>1</v>
      </c>
      <c r="D57" s="21" t="s">
        <v>30</v>
      </c>
      <c r="E57" s="3" t="s">
        <v>136</v>
      </c>
    </row>
    <row r="58" spans="1:5" s="37" customFormat="1" ht="108">
      <c r="A58" s="4">
        <f t="shared" si="0"/>
        <v>53</v>
      </c>
      <c r="B58" s="3" t="s">
        <v>137</v>
      </c>
      <c r="C58" s="4">
        <v>10</v>
      </c>
      <c r="D58" s="21" t="s">
        <v>64</v>
      </c>
      <c r="E58" s="3" t="s">
        <v>138</v>
      </c>
    </row>
    <row r="59" spans="1:5" s="37" customFormat="1">
      <c r="A59" s="4">
        <f t="shared" si="0"/>
        <v>54</v>
      </c>
      <c r="B59" s="3" t="s">
        <v>139</v>
      </c>
      <c r="C59" s="4">
        <v>4</v>
      </c>
      <c r="D59" s="21" t="s">
        <v>43</v>
      </c>
      <c r="E59" s="3" t="s">
        <v>140</v>
      </c>
    </row>
    <row r="60" spans="1:5" s="37" customFormat="1">
      <c r="A60" s="4">
        <f t="shared" si="0"/>
        <v>55</v>
      </c>
      <c r="B60" s="3" t="s">
        <v>141</v>
      </c>
      <c r="C60" s="4">
        <v>4</v>
      </c>
      <c r="D60" s="21" t="s">
        <v>43</v>
      </c>
      <c r="E60" s="3" t="s">
        <v>142</v>
      </c>
    </row>
    <row r="61" spans="1:5" s="37" customFormat="1" ht="24">
      <c r="A61" s="4">
        <f t="shared" si="0"/>
        <v>56</v>
      </c>
      <c r="B61" s="3" t="s">
        <v>143</v>
      </c>
      <c r="C61" s="5">
        <v>125</v>
      </c>
      <c r="D61" s="21" t="s">
        <v>144</v>
      </c>
      <c r="E61" s="3" t="s">
        <v>145</v>
      </c>
    </row>
    <row r="62" spans="1:5" s="37" customFormat="1">
      <c r="A62" s="4">
        <f t="shared" si="0"/>
        <v>57</v>
      </c>
      <c r="B62" s="3" t="s">
        <v>146</v>
      </c>
      <c r="C62" s="5">
        <v>400</v>
      </c>
      <c r="D62" s="21" t="s">
        <v>147</v>
      </c>
      <c r="E62" s="3" t="s">
        <v>148</v>
      </c>
    </row>
    <row r="63" spans="1:5" s="37" customFormat="1" ht="24">
      <c r="A63" s="4">
        <f t="shared" si="0"/>
        <v>58</v>
      </c>
      <c r="B63" s="3" t="s">
        <v>149</v>
      </c>
      <c r="C63" s="5">
        <v>2</v>
      </c>
      <c r="D63" s="21" t="s">
        <v>27</v>
      </c>
      <c r="E63" s="3" t="s">
        <v>150</v>
      </c>
    </row>
    <row r="64" spans="1:5" s="37" customFormat="1" ht="48">
      <c r="A64" s="4">
        <f t="shared" si="0"/>
        <v>59</v>
      </c>
      <c r="B64" s="3" t="s">
        <v>151</v>
      </c>
      <c r="C64" s="5">
        <v>7</v>
      </c>
      <c r="D64" s="21" t="s">
        <v>152</v>
      </c>
      <c r="E64" s="3" t="s">
        <v>153</v>
      </c>
    </row>
    <row r="65" spans="1:5" s="37" customFormat="1" ht="24">
      <c r="A65" s="4">
        <f t="shared" si="0"/>
        <v>60</v>
      </c>
      <c r="B65" s="3" t="s">
        <v>154</v>
      </c>
      <c r="C65" s="5">
        <v>10</v>
      </c>
      <c r="D65" s="21" t="s">
        <v>116</v>
      </c>
      <c r="E65" s="3" t="s">
        <v>155</v>
      </c>
    </row>
    <row r="66" spans="1:5" s="37" customFormat="1">
      <c r="A66" s="4">
        <f t="shared" si="0"/>
        <v>61</v>
      </c>
      <c r="B66" s="3" t="s">
        <v>156</v>
      </c>
      <c r="C66" s="5">
        <v>7</v>
      </c>
      <c r="D66" s="21" t="s">
        <v>152</v>
      </c>
      <c r="E66" s="3" t="s">
        <v>157</v>
      </c>
    </row>
    <row r="67" spans="1:5" s="37" customFormat="1" ht="24">
      <c r="A67" s="4">
        <f t="shared" si="0"/>
        <v>62</v>
      </c>
      <c r="B67" s="3" t="s">
        <v>158</v>
      </c>
      <c r="C67" s="5">
        <v>7</v>
      </c>
      <c r="D67" s="21" t="s">
        <v>152</v>
      </c>
      <c r="E67" s="3" t="s">
        <v>159</v>
      </c>
    </row>
    <row r="68" spans="1:5" s="37" customFormat="1" ht="24">
      <c r="A68" s="4">
        <f t="shared" si="0"/>
        <v>63</v>
      </c>
      <c r="B68" s="3" t="s">
        <v>160</v>
      </c>
      <c r="C68" s="5">
        <v>12</v>
      </c>
      <c r="D68" s="21" t="s">
        <v>161</v>
      </c>
      <c r="E68" s="3" t="s">
        <v>162</v>
      </c>
    </row>
    <row r="69" spans="1:5" s="37" customFormat="1" ht="24">
      <c r="A69" s="4">
        <f t="shared" si="0"/>
        <v>64</v>
      </c>
      <c r="B69" s="3" t="s">
        <v>163</v>
      </c>
      <c r="C69" s="5">
        <v>6</v>
      </c>
      <c r="D69" s="21" t="s">
        <v>164</v>
      </c>
      <c r="E69" s="3" t="s">
        <v>165</v>
      </c>
    </row>
    <row r="70" spans="1:5" s="37" customFormat="1" ht="36">
      <c r="A70" s="4">
        <f t="shared" si="0"/>
        <v>65</v>
      </c>
      <c r="B70" s="3" t="s">
        <v>166</v>
      </c>
      <c r="C70" s="4">
        <v>30</v>
      </c>
      <c r="D70" s="21" t="s">
        <v>36</v>
      </c>
      <c r="E70" s="3" t="s">
        <v>167</v>
      </c>
    </row>
    <row r="71" spans="1:5" s="37" customFormat="1">
      <c r="A71" s="4">
        <f t="shared" si="0"/>
        <v>66</v>
      </c>
      <c r="B71" s="3" t="s">
        <v>168</v>
      </c>
      <c r="C71" s="4">
        <v>40</v>
      </c>
      <c r="D71" s="21" t="s">
        <v>56</v>
      </c>
      <c r="E71" s="3" t="s">
        <v>169</v>
      </c>
    </row>
    <row r="72" spans="1:5" s="37" customFormat="1">
      <c r="A72" s="4">
        <f t="shared" si="0"/>
        <v>67</v>
      </c>
      <c r="B72" s="3" t="s">
        <v>170</v>
      </c>
      <c r="C72" s="5">
        <v>7</v>
      </c>
      <c r="D72" s="21" t="s">
        <v>152</v>
      </c>
      <c r="E72" s="3" t="s">
        <v>171</v>
      </c>
    </row>
    <row r="73" spans="1:5" s="37" customFormat="1">
      <c r="A73" s="4">
        <f t="shared" si="0"/>
        <v>68</v>
      </c>
      <c r="B73" s="3" t="s">
        <v>172</v>
      </c>
      <c r="C73" s="5">
        <v>10</v>
      </c>
      <c r="D73" s="21" t="s">
        <v>116</v>
      </c>
      <c r="E73" s="3" t="s">
        <v>173</v>
      </c>
    </row>
    <row r="74" spans="1:5" s="37" customFormat="1" ht="24">
      <c r="A74" s="4">
        <f t="shared" si="0"/>
        <v>69</v>
      </c>
      <c r="B74" s="3" t="s">
        <v>174</v>
      </c>
      <c r="C74" s="5">
        <v>30</v>
      </c>
      <c r="D74" s="21" t="s">
        <v>36</v>
      </c>
      <c r="E74" s="3" t="s">
        <v>175</v>
      </c>
    </row>
    <row r="75" spans="1:5" s="37" customFormat="1" ht="24">
      <c r="A75" s="4">
        <f t="shared" si="0"/>
        <v>70</v>
      </c>
      <c r="B75" s="3" t="s">
        <v>176</v>
      </c>
      <c r="C75" s="5">
        <v>15</v>
      </c>
      <c r="D75" s="21" t="s">
        <v>177</v>
      </c>
      <c r="E75" s="3" t="s">
        <v>178</v>
      </c>
    </row>
    <row r="76" spans="1:5" s="37" customFormat="1" ht="84">
      <c r="A76" s="4">
        <f t="shared" si="0"/>
        <v>71</v>
      </c>
      <c r="B76" s="3" t="s">
        <v>179</v>
      </c>
      <c r="C76" s="5">
        <v>4</v>
      </c>
      <c r="D76" s="21" t="s">
        <v>43</v>
      </c>
      <c r="E76" s="3" t="s">
        <v>180</v>
      </c>
    </row>
    <row r="77" spans="1:5" s="69" customFormat="1" ht="36">
      <c r="A77" s="4">
        <f t="shared" si="0"/>
        <v>72</v>
      </c>
      <c r="B77" s="67" t="s">
        <v>181</v>
      </c>
      <c r="C77" s="68">
        <v>45</v>
      </c>
      <c r="D77" s="21" t="s">
        <v>24</v>
      </c>
      <c r="E77" s="3" t="s">
        <v>182</v>
      </c>
    </row>
    <row r="78" spans="1:5" s="69" customFormat="1" ht="36">
      <c r="A78" s="4">
        <f t="shared" si="0"/>
        <v>73</v>
      </c>
      <c r="B78" s="67" t="s">
        <v>183</v>
      </c>
      <c r="C78" s="68">
        <v>8</v>
      </c>
      <c r="D78" s="21" t="s">
        <v>121</v>
      </c>
      <c r="E78" s="3" t="s">
        <v>184</v>
      </c>
    </row>
    <row r="79" spans="1:5" s="37" customFormat="1" ht="24">
      <c r="A79" s="4">
        <f t="shared" si="0"/>
        <v>74</v>
      </c>
      <c r="B79" s="3" t="s">
        <v>185</v>
      </c>
      <c r="C79" s="5">
        <v>25</v>
      </c>
      <c r="D79" s="21" t="s">
        <v>124</v>
      </c>
      <c r="E79" s="3" t="s">
        <v>186</v>
      </c>
    </row>
    <row r="80" spans="1:5" s="37" customFormat="1">
      <c r="A80" s="4">
        <f t="shared" si="0"/>
        <v>75</v>
      </c>
      <c r="B80" s="3" t="s">
        <v>187</v>
      </c>
      <c r="C80" s="4">
        <v>14</v>
      </c>
      <c r="D80" s="21" t="s">
        <v>188</v>
      </c>
      <c r="E80" s="3" t="s">
        <v>189</v>
      </c>
    </row>
    <row r="81" spans="1:5" s="37" customFormat="1" ht="24">
      <c r="A81" s="4">
        <f t="shared" si="0"/>
        <v>76</v>
      </c>
      <c r="B81" s="3" t="s">
        <v>190</v>
      </c>
      <c r="C81" s="4">
        <v>2</v>
      </c>
      <c r="D81" s="21" t="s">
        <v>27</v>
      </c>
      <c r="E81" s="3" t="s">
        <v>191</v>
      </c>
    </row>
    <row r="82" spans="1:5" s="37" customFormat="1" ht="84">
      <c r="A82" s="4">
        <f t="shared" si="0"/>
        <v>77</v>
      </c>
      <c r="B82" s="3" t="s">
        <v>192</v>
      </c>
      <c r="C82" s="4">
        <v>14</v>
      </c>
      <c r="D82" s="21" t="s">
        <v>193</v>
      </c>
      <c r="E82" s="3" t="s">
        <v>194</v>
      </c>
    </row>
    <row r="83" spans="1:5" s="37" customFormat="1" ht="36">
      <c r="A83" s="4">
        <f t="shared" si="0"/>
        <v>78</v>
      </c>
      <c r="B83" s="3" t="s">
        <v>195</v>
      </c>
      <c r="C83" s="4">
        <v>10</v>
      </c>
      <c r="D83" s="21" t="s">
        <v>21</v>
      </c>
      <c r="E83" s="3" t="s">
        <v>196</v>
      </c>
    </row>
    <row r="84" spans="1:5" s="37" customFormat="1">
      <c r="A84" s="4">
        <f t="shared" si="0"/>
        <v>79</v>
      </c>
      <c r="B84" s="3" t="s">
        <v>197</v>
      </c>
      <c r="C84" s="4">
        <v>1</v>
      </c>
      <c r="D84" s="21" t="s">
        <v>30</v>
      </c>
      <c r="E84" s="3" t="s">
        <v>198</v>
      </c>
    </row>
    <row r="85" spans="1:5" s="37" customFormat="1">
      <c r="A85" s="4">
        <f t="shared" si="0"/>
        <v>80</v>
      </c>
      <c r="B85" s="3" t="s">
        <v>199</v>
      </c>
      <c r="C85" s="4">
        <v>4</v>
      </c>
      <c r="D85" s="21" t="s">
        <v>43</v>
      </c>
      <c r="E85" s="3" t="s">
        <v>200</v>
      </c>
    </row>
    <row r="86" spans="1:5" s="37" customFormat="1" ht="60">
      <c r="A86" s="4">
        <f t="shared" si="0"/>
        <v>81</v>
      </c>
      <c r="B86" s="3" t="s">
        <v>201</v>
      </c>
      <c r="C86" s="4">
        <v>3</v>
      </c>
      <c r="D86" s="21" t="s">
        <v>21</v>
      </c>
      <c r="E86" s="3" t="s">
        <v>202</v>
      </c>
    </row>
    <row r="87" spans="1:5" s="37" customFormat="1" ht="60">
      <c r="A87" s="4">
        <f t="shared" si="0"/>
        <v>82</v>
      </c>
      <c r="B87" s="3" t="s">
        <v>203</v>
      </c>
      <c r="C87" s="4">
        <v>10</v>
      </c>
      <c r="D87" s="21" t="s">
        <v>116</v>
      </c>
      <c r="E87" s="3" t="s">
        <v>204</v>
      </c>
    </row>
    <row r="88" spans="1:5" s="37" customFormat="1">
      <c r="A88" s="4">
        <f t="shared" si="0"/>
        <v>83</v>
      </c>
      <c r="B88" s="3" t="s">
        <v>205</v>
      </c>
      <c r="C88" s="4">
        <v>2</v>
      </c>
      <c r="D88" s="21" t="s">
        <v>27</v>
      </c>
      <c r="E88" s="3" t="s">
        <v>206</v>
      </c>
    </row>
    <row r="89" spans="1:5" s="37" customFormat="1" ht="24">
      <c r="A89" s="4">
        <f t="shared" si="0"/>
        <v>84</v>
      </c>
      <c r="B89" s="3" t="s">
        <v>207</v>
      </c>
      <c r="C89" s="4">
        <v>4</v>
      </c>
      <c r="D89" s="21" t="s">
        <v>21</v>
      </c>
      <c r="E89" s="3" t="s">
        <v>208</v>
      </c>
    </row>
    <row r="90" spans="1:5" s="37" customFormat="1">
      <c r="A90" s="4">
        <f t="shared" si="0"/>
        <v>85</v>
      </c>
      <c r="B90" s="3" t="s">
        <v>209</v>
      </c>
      <c r="C90" s="4">
        <v>2</v>
      </c>
      <c r="D90" s="21" t="s">
        <v>21</v>
      </c>
      <c r="E90" s="3" t="s">
        <v>210</v>
      </c>
    </row>
    <row r="91" spans="1:5" s="37" customFormat="1" ht="24">
      <c r="A91" s="4">
        <f t="shared" si="0"/>
        <v>86</v>
      </c>
      <c r="B91" s="3" t="s">
        <v>211</v>
      </c>
      <c r="C91" s="4">
        <v>4</v>
      </c>
      <c r="D91" s="21" t="s">
        <v>21</v>
      </c>
      <c r="E91" s="3" t="s">
        <v>212</v>
      </c>
    </row>
    <row r="92" spans="1:5" s="37" customFormat="1" ht="36">
      <c r="A92" s="4">
        <f t="shared" si="0"/>
        <v>87</v>
      </c>
      <c r="B92" s="3" t="s">
        <v>213</v>
      </c>
      <c r="C92" s="4">
        <v>2</v>
      </c>
      <c r="D92" s="21" t="s">
        <v>21</v>
      </c>
      <c r="E92" s="3" t="s">
        <v>214</v>
      </c>
    </row>
    <row r="93" spans="1:5" s="37" customFormat="1">
      <c r="A93" s="4">
        <f t="shared" si="0"/>
        <v>88</v>
      </c>
      <c r="B93" s="3" t="s">
        <v>215</v>
      </c>
      <c r="C93" s="4">
        <v>1</v>
      </c>
      <c r="D93" s="21" t="s">
        <v>30</v>
      </c>
      <c r="E93" s="3" t="s">
        <v>129</v>
      </c>
    </row>
    <row r="94" spans="1:5" s="37" customFormat="1" ht="48">
      <c r="A94" s="4">
        <f t="shared" si="0"/>
        <v>89</v>
      </c>
      <c r="B94" s="3" t="s">
        <v>216</v>
      </c>
      <c r="C94" s="4">
        <v>4</v>
      </c>
      <c r="D94" s="21" t="s">
        <v>21</v>
      </c>
      <c r="E94" s="3" t="s">
        <v>217</v>
      </c>
    </row>
    <row r="95" spans="1:5" s="37" customFormat="1" ht="24">
      <c r="A95" s="4">
        <f t="shared" si="0"/>
        <v>90</v>
      </c>
      <c r="B95" s="3" t="s">
        <v>218</v>
      </c>
      <c r="C95" s="4">
        <v>1</v>
      </c>
      <c r="D95" s="21" t="s">
        <v>30</v>
      </c>
      <c r="E95" s="3" t="s">
        <v>219</v>
      </c>
    </row>
    <row r="96" spans="1:5" s="37" customFormat="1" ht="24">
      <c r="A96" s="4">
        <f t="shared" si="0"/>
        <v>91</v>
      </c>
      <c r="B96" s="3" t="s">
        <v>220</v>
      </c>
      <c r="C96" s="4">
        <v>10</v>
      </c>
      <c r="D96" s="21" t="s">
        <v>21</v>
      </c>
      <c r="E96" s="3" t="s">
        <v>221</v>
      </c>
    </row>
    <row r="97" spans="1:5" s="37" customFormat="1" ht="24">
      <c r="A97" s="4">
        <f t="shared" si="0"/>
        <v>92</v>
      </c>
      <c r="B97" s="3" t="s">
        <v>222</v>
      </c>
      <c r="C97" s="4">
        <v>10</v>
      </c>
      <c r="D97" s="21" t="s">
        <v>21</v>
      </c>
      <c r="E97" s="3" t="s">
        <v>223</v>
      </c>
    </row>
    <row r="98" spans="1:5" s="37" customFormat="1" ht="24">
      <c r="A98" s="4">
        <f t="shared" si="0"/>
        <v>93</v>
      </c>
      <c r="B98" s="3" t="s">
        <v>224</v>
      </c>
      <c r="C98" s="4">
        <v>11</v>
      </c>
      <c r="D98" s="21" t="s">
        <v>21</v>
      </c>
      <c r="E98" s="3" t="s">
        <v>225</v>
      </c>
    </row>
    <row r="99" spans="1:5" s="37" customFormat="1" ht="60">
      <c r="A99" s="4">
        <f t="shared" si="0"/>
        <v>94</v>
      </c>
      <c r="B99" s="3" t="s">
        <v>226</v>
      </c>
      <c r="C99" s="4">
        <v>4</v>
      </c>
      <c r="D99" s="21" t="s">
        <v>43</v>
      </c>
      <c r="E99" s="3" t="s">
        <v>227</v>
      </c>
    </row>
    <row r="100" spans="1:5" s="37" customFormat="1" ht="24">
      <c r="A100" s="4">
        <f t="shared" si="0"/>
        <v>95</v>
      </c>
      <c r="B100" s="3" t="s">
        <v>228</v>
      </c>
      <c r="C100" s="4">
        <v>1</v>
      </c>
      <c r="D100" s="21" t="s">
        <v>30</v>
      </c>
      <c r="E100" s="3" t="s">
        <v>229</v>
      </c>
    </row>
    <row r="101" spans="1:5" s="37" customFormat="1">
      <c r="A101" s="4">
        <f t="shared" si="0"/>
        <v>96</v>
      </c>
      <c r="B101" s="3" t="s">
        <v>230</v>
      </c>
      <c r="C101" s="4">
        <v>1</v>
      </c>
      <c r="D101" s="21" t="s">
        <v>30</v>
      </c>
      <c r="E101" s="3" t="s">
        <v>129</v>
      </c>
    </row>
    <row r="102" spans="1:5" s="37" customFormat="1">
      <c r="A102" s="4">
        <f t="shared" si="0"/>
        <v>97</v>
      </c>
      <c r="B102" s="3" t="s">
        <v>231</v>
      </c>
      <c r="C102" s="4">
        <v>1</v>
      </c>
      <c r="D102" s="21" t="s">
        <v>30</v>
      </c>
      <c r="E102" s="3" t="s">
        <v>129</v>
      </c>
    </row>
    <row r="103" spans="1:5" s="37" customFormat="1">
      <c r="A103" s="4">
        <f t="shared" si="0"/>
        <v>98</v>
      </c>
      <c r="B103" s="3" t="s">
        <v>232</v>
      </c>
      <c r="C103" s="4">
        <v>1</v>
      </c>
      <c r="D103" s="21" t="s">
        <v>30</v>
      </c>
      <c r="E103" s="3" t="s">
        <v>129</v>
      </c>
    </row>
    <row r="104" spans="1:5" s="37" customFormat="1">
      <c r="A104" s="4">
        <f t="shared" si="0"/>
        <v>99</v>
      </c>
      <c r="B104" s="3" t="s">
        <v>233</v>
      </c>
      <c r="C104" s="4">
        <v>1</v>
      </c>
      <c r="D104" s="21" t="s">
        <v>30</v>
      </c>
      <c r="E104" s="3" t="s">
        <v>129</v>
      </c>
    </row>
    <row r="105" spans="1:5" s="37" customFormat="1" ht="48">
      <c r="A105" s="4">
        <f t="shared" si="0"/>
        <v>100</v>
      </c>
      <c r="B105" s="3" t="s">
        <v>234</v>
      </c>
      <c r="C105" s="4">
        <v>1</v>
      </c>
      <c r="D105" s="21" t="s">
        <v>30</v>
      </c>
      <c r="E105" s="3" t="s">
        <v>235</v>
      </c>
    </row>
    <row r="106" spans="1:5" s="37" customFormat="1">
      <c r="A106" s="4">
        <f t="shared" si="0"/>
        <v>101</v>
      </c>
      <c r="B106" s="3" t="s">
        <v>236</v>
      </c>
      <c r="C106" s="4">
        <v>1</v>
      </c>
      <c r="D106" s="21" t="s">
        <v>30</v>
      </c>
      <c r="E106" s="3" t="s">
        <v>129</v>
      </c>
    </row>
    <row r="107" spans="1:5" s="37" customFormat="1">
      <c r="A107" s="4">
        <f t="shared" si="0"/>
        <v>102</v>
      </c>
      <c r="B107" s="3" t="s">
        <v>237</v>
      </c>
      <c r="C107" s="4">
        <v>1</v>
      </c>
      <c r="D107" s="21" t="s">
        <v>30</v>
      </c>
      <c r="E107" s="3" t="s">
        <v>129</v>
      </c>
    </row>
    <row r="108" spans="1:5" s="37" customFormat="1">
      <c r="A108" s="4">
        <f t="shared" si="0"/>
        <v>103</v>
      </c>
      <c r="B108" s="3" t="s">
        <v>238</v>
      </c>
      <c r="C108" s="4">
        <v>1</v>
      </c>
      <c r="D108" s="21" t="s">
        <v>30</v>
      </c>
      <c r="E108" s="3" t="s">
        <v>239</v>
      </c>
    </row>
    <row r="109" spans="1:5" s="37" customFormat="1">
      <c r="A109" s="4">
        <f t="shared" si="0"/>
        <v>104</v>
      </c>
      <c r="B109" s="3" t="s">
        <v>240</v>
      </c>
      <c r="C109" s="4">
        <v>1</v>
      </c>
      <c r="D109" s="21" t="s">
        <v>30</v>
      </c>
      <c r="E109" s="3" t="s">
        <v>241</v>
      </c>
    </row>
    <row r="110" spans="1:5" s="37" customFormat="1">
      <c r="A110" s="4">
        <f t="shared" si="0"/>
        <v>105</v>
      </c>
      <c r="B110" s="3" t="s">
        <v>242</v>
      </c>
      <c r="C110" s="4">
        <v>1</v>
      </c>
      <c r="D110" s="21" t="s">
        <v>30</v>
      </c>
      <c r="E110" s="3" t="s">
        <v>129</v>
      </c>
    </row>
    <row r="111" spans="1:5" s="37" customFormat="1" ht="60">
      <c r="A111" s="4">
        <f t="shared" si="0"/>
        <v>106</v>
      </c>
      <c r="B111" s="13" t="s">
        <v>243</v>
      </c>
      <c r="C111" s="14">
        <v>166</v>
      </c>
      <c r="D111" s="21" t="s">
        <v>244</v>
      </c>
      <c r="E111" s="3" t="s">
        <v>245</v>
      </c>
    </row>
    <row r="112" spans="1:5" s="37" customFormat="1">
      <c r="A112" s="4">
        <f t="shared" si="0"/>
        <v>107</v>
      </c>
      <c r="B112" s="3" t="s">
        <v>246</v>
      </c>
      <c r="C112" s="5">
        <v>80</v>
      </c>
      <c r="D112" s="21" t="s">
        <v>72</v>
      </c>
      <c r="E112" s="3" t="s">
        <v>247</v>
      </c>
    </row>
    <row r="113" spans="1:5" s="37" customFormat="1">
      <c r="A113" s="4">
        <f t="shared" si="0"/>
        <v>108</v>
      </c>
      <c r="B113" s="3" t="s">
        <v>248</v>
      </c>
      <c r="C113" s="5">
        <v>30</v>
      </c>
      <c r="D113" s="21" t="s">
        <v>36</v>
      </c>
      <c r="E113" s="3" t="s">
        <v>249</v>
      </c>
    </row>
    <row r="114" spans="1:5" s="37" customFormat="1">
      <c r="A114" s="4">
        <f t="shared" si="0"/>
        <v>109</v>
      </c>
      <c r="B114" s="3" t="s">
        <v>250</v>
      </c>
      <c r="C114" s="5">
        <v>2</v>
      </c>
      <c r="D114" s="21" t="s">
        <v>27</v>
      </c>
      <c r="E114" s="3" t="s">
        <v>251</v>
      </c>
    </row>
    <row r="115" spans="1:5" s="37" customFormat="1">
      <c r="A115" s="4">
        <f t="shared" si="0"/>
        <v>110</v>
      </c>
      <c r="B115" s="3" t="s">
        <v>252</v>
      </c>
      <c r="C115" s="5">
        <v>5</v>
      </c>
      <c r="D115" s="21" t="s">
        <v>18</v>
      </c>
      <c r="E115" s="3"/>
    </row>
    <row r="116" spans="1:5" s="37" customFormat="1">
      <c r="A116" s="4">
        <f t="shared" si="0"/>
        <v>111</v>
      </c>
      <c r="B116" s="3" t="s">
        <v>253</v>
      </c>
      <c r="C116" s="5">
        <v>4</v>
      </c>
      <c r="D116" s="21" t="s">
        <v>43</v>
      </c>
      <c r="E116" s="3" t="s">
        <v>254</v>
      </c>
    </row>
    <row r="117" spans="1:5" s="37" customFormat="1">
      <c r="A117" s="4">
        <f t="shared" si="0"/>
        <v>112</v>
      </c>
      <c r="B117" s="3" t="s">
        <v>255</v>
      </c>
      <c r="C117" s="4">
        <v>4</v>
      </c>
      <c r="D117" s="21" t="s">
        <v>43</v>
      </c>
      <c r="E117" s="3" t="s">
        <v>129</v>
      </c>
    </row>
    <row r="118" spans="1:5" s="37" customFormat="1">
      <c r="A118" s="4">
        <f t="shared" si="0"/>
        <v>113</v>
      </c>
      <c r="B118" s="3" t="s">
        <v>256</v>
      </c>
      <c r="C118" s="5">
        <v>11</v>
      </c>
      <c r="D118" s="21" t="s">
        <v>48</v>
      </c>
      <c r="E118" s="3" t="s">
        <v>94</v>
      </c>
    </row>
    <row r="119" spans="1:5" s="37" customFormat="1">
      <c r="A119" s="4">
        <f t="shared" si="0"/>
        <v>114</v>
      </c>
      <c r="B119" s="3" t="s">
        <v>257</v>
      </c>
      <c r="C119" s="5">
        <v>60</v>
      </c>
      <c r="D119" s="21" t="s">
        <v>33</v>
      </c>
      <c r="E119" s="3" t="s">
        <v>258</v>
      </c>
    </row>
    <row r="120" spans="1:5" s="37" customFormat="1" ht="36">
      <c r="A120" s="4">
        <f t="shared" si="0"/>
        <v>115</v>
      </c>
      <c r="B120" s="3" t="s">
        <v>259</v>
      </c>
      <c r="C120" s="4">
        <v>10</v>
      </c>
      <c r="D120" s="21" t="s">
        <v>116</v>
      </c>
      <c r="E120" s="3" t="s">
        <v>260</v>
      </c>
    </row>
    <row r="121" spans="1:5" s="37" customFormat="1" ht="24">
      <c r="A121" s="4">
        <f t="shared" si="0"/>
        <v>116</v>
      </c>
      <c r="B121" s="3" t="s">
        <v>261</v>
      </c>
      <c r="C121" s="4">
        <v>8</v>
      </c>
      <c r="D121" s="21" t="s">
        <v>121</v>
      </c>
      <c r="E121" s="3" t="s">
        <v>262</v>
      </c>
    </row>
    <row r="122" spans="1:5" s="37" customFormat="1">
      <c r="A122" s="4">
        <f t="shared" si="0"/>
        <v>117</v>
      </c>
      <c r="B122" s="3" t="s">
        <v>263</v>
      </c>
      <c r="C122" s="4">
        <v>10</v>
      </c>
      <c r="D122" s="21" t="s">
        <v>116</v>
      </c>
      <c r="E122" s="3"/>
    </row>
    <row r="123" spans="1:5" s="37" customFormat="1">
      <c r="A123" s="4">
        <f t="shared" ref="A123:A186" si="1">A122+1</f>
        <v>118</v>
      </c>
      <c r="B123" s="3" t="s">
        <v>264</v>
      </c>
      <c r="C123" s="4">
        <v>10</v>
      </c>
      <c r="D123" s="21" t="s">
        <v>116</v>
      </c>
      <c r="E123" s="3"/>
    </row>
    <row r="124" spans="1:5" s="37" customFormat="1">
      <c r="A124" s="4">
        <f t="shared" si="1"/>
        <v>119</v>
      </c>
      <c r="B124" s="3" t="s">
        <v>265</v>
      </c>
      <c r="C124" s="4">
        <v>20</v>
      </c>
      <c r="D124" s="21" t="s">
        <v>113</v>
      </c>
      <c r="E124" s="3"/>
    </row>
    <row r="125" spans="1:5" s="37" customFormat="1">
      <c r="A125" s="4">
        <f t="shared" si="1"/>
        <v>120</v>
      </c>
      <c r="B125" s="3" t="s">
        <v>266</v>
      </c>
      <c r="C125" s="5">
        <v>2</v>
      </c>
      <c r="D125" s="21" t="s">
        <v>27</v>
      </c>
      <c r="E125" s="3" t="s">
        <v>129</v>
      </c>
    </row>
    <row r="126" spans="1:5" s="37" customFormat="1">
      <c r="A126" s="4">
        <f t="shared" si="1"/>
        <v>121</v>
      </c>
      <c r="B126" s="3" t="s">
        <v>267</v>
      </c>
      <c r="C126" s="4">
        <v>10</v>
      </c>
      <c r="D126" s="21" t="s">
        <v>116</v>
      </c>
      <c r="E126" s="3" t="s">
        <v>268</v>
      </c>
    </row>
    <row r="127" spans="1:5" s="37" customFormat="1">
      <c r="A127" s="4">
        <f t="shared" si="1"/>
        <v>122</v>
      </c>
      <c r="B127" s="3" t="s">
        <v>269</v>
      </c>
      <c r="C127" s="5">
        <v>1</v>
      </c>
      <c r="D127" s="21" t="s">
        <v>30</v>
      </c>
      <c r="E127" s="3" t="s">
        <v>129</v>
      </c>
    </row>
    <row r="128" spans="1:5" s="37" customFormat="1" ht="24">
      <c r="A128" s="4">
        <f t="shared" si="1"/>
        <v>123</v>
      </c>
      <c r="B128" s="3" t="s">
        <v>270</v>
      </c>
      <c r="C128" s="4">
        <v>8</v>
      </c>
      <c r="D128" s="21" t="s">
        <v>121</v>
      </c>
      <c r="E128" s="3" t="s">
        <v>271</v>
      </c>
    </row>
    <row r="129" spans="1:5" s="37" customFormat="1">
      <c r="A129" s="4">
        <f t="shared" si="1"/>
        <v>124</v>
      </c>
      <c r="B129" s="3" t="s">
        <v>272</v>
      </c>
      <c r="C129" s="4">
        <v>10</v>
      </c>
      <c r="D129" s="21" t="s">
        <v>116</v>
      </c>
      <c r="E129" s="3"/>
    </row>
    <row r="130" spans="1:5" s="37" customFormat="1">
      <c r="A130" s="4">
        <f t="shared" si="1"/>
        <v>125</v>
      </c>
      <c r="B130" s="3" t="s">
        <v>273</v>
      </c>
      <c r="C130" s="4">
        <v>10</v>
      </c>
      <c r="D130" s="21" t="s">
        <v>116</v>
      </c>
      <c r="E130" s="3"/>
    </row>
    <row r="131" spans="1:5" s="37" customFormat="1">
      <c r="A131" s="4">
        <f t="shared" si="1"/>
        <v>126</v>
      </c>
      <c r="B131" s="3" t="s">
        <v>274</v>
      </c>
      <c r="C131" s="4">
        <v>20</v>
      </c>
      <c r="D131" s="21" t="s">
        <v>113</v>
      </c>
      <c r="E131" s="3"/>
    </row>
    <row r="132" spans="1:5" s="37" customFormat="1">
      <c r="A132" s="4">
        <f t="shared" si="1"/>
        <v>127</v>
      </c>
      <c r="B132" s="3" t="s">
        <v>275</v>
      </c>
      <c r="C132" s="5">
        <v>2</v>
      </c>
      <c r="D132" s="21" t="s">
        <v>27</v>
      </c>
      <c r="E132" s="3" t="s">
        <v>129</v>
      </c>
    </row>
    <row r="133" spans="1:5" s="37" customFormat="1">
      <c r="A133" s="4">
        <f t="shared" si="1"/>
        <v>128</v>
      </c>
      <c r="B133" s="3" t="s">
        <v>276</v>
      </c>
      <c r="C133" s="4">
        <v>10</v>
      </c>
      <c r="D133" s="21" t="s">
        <v>116</v>
      </c>
      <c r="E133" s="3"/>
    </row>
    <row r="134" spans="1:5" s="37" customFormat="1">
      <c r="A134" s="4">
        <f t="shared" si="1"/>
        <v>129</v>
      </c>
      <c r="B134" s="3" t="s">
        <v>277</v>
      </c>
      <c r="C134" s="5">
        <v>1</v>
      </c>
      <c r="D134" s="21" t="s">
        <v>30</v>
      </c>
      <c r="E134" s="3" t="s">
        <v>129</v>
      </c>
    </row>
    <row r="135" spans="1:5" s="37" customFormat="1" ht="24">
      <c r="A135" s="4">
        <f t="shared" si="1"/>
        <v>130</v>
      </c>
      <c r="B135" s="3" t="s">
        <v>278</v>
      </c>
      <c r="C135" s="4">
        <v>8</v>
      </c>
      <c r="D135" s="21" t="s">
        <v>121</v>
      </c>
      <c r="E135" s="3" t="s">
        <v>279</v>
      </c>
    </row>
    <row r="136" spans="1:5" s="37" customFormat="1">
      <c r="A136" s="4">
        <f t="shared" si="1"/>
        <v>131</v>
      </c>
      <c r="B136" s="3" t="s">
        <v>280</v>
      </c>
      <c r="C136" s="4">
        <v>10</v>
      </c>
      <c r="D136" s="21" t="s">
        <v>116</v>
      </c>
      <c r="E136" s="3"/>
    </row>
    <row r="137" spans="1:5" s="37" customFormat="1">
      <c r="A137" s="4">
        <f t="shared" si="1"/>
        <v>132</v>
      </c>
      <c r="B137" s="3" t="s">
        <v>281</v>
      </c>
      <c r="C137" s="4">
        <v>10</v>
      </c>
      <c r="D137" s="21" t="s">
        <v>116</v>
      </c>
      <c r="E137" s="3"/>
    </row>
    <row r="138" spans="1:5" s="37" customFormat="1">
      <c r="A138" s="4">
        <f t="shared" si="1"/>
        <v>133</v>
      </c>
      <c r="B138" s="3" t="s">
        <v>282</v>
      </c>
      <c r="C138" s="4">
        <v>20</v>
      </c>
      <c r="D138" s="21" t="s">
        <v>113</v>
      </c>
      <c r="E138" s="3"/>
    </row>
    <row r="139" spans="1:5" s="37" customFormat="1">
      <c r="A139" s="4">
        <f t="shared" si="1"/>
        <v>134</v>
      </c>
      <c r="B139" s="3" t="s">
        <v>283</v>
      </c>
      <c r="C139" s="5">
        <v>2</v>
      </c>
      <c r="D139" s="21" t="s">
        <v>27</v>
      </c>
      <c r="E139" s="3" t="s">
        <v>129</v>
      </c>
    </row>
    <row r="140" spans="1:5" s="37" customFormat="1">
      <c r="A140" s="4">
        <f t="shared" si="1"/>
        <v>135</v>
      </c>
      <c r="B140" s="3" t="s">
        <v>284</v>
      </c>
      <c r="C140" s="4">
        <v>10</v>
      </c>
      <c r="D140" s="21" t="s">
        <v>116</v>
      </c>
      <c r="E140" s="3"/>
    </row>
    <row r="141" spans="1:5" s="37" customFormat="1">
      <c r="A141" s="4">
        <f t="shared" si="1"/>
        <v>136</v>
      </c>
      <c r="B141" s="3" t="s">
        <v>285</v>
      </c>
      <c r="C141" s="5">
        <v>1</v>
      </c>
      <c r="D141" s="21" t="s">
        <v>30</v>
      </c>
      <c r="E141" s="3" t="s">
        <v>129</v>
      </c>
    </row>
    <row r="142" spans="1:5" s="37" customFormat="1" ht="24">
      <c r="A142" s="4">
        <f t="shared" si="1"/>
        <v>137</v>
      </c>
      <c r="B142" s="3" t="s">
        <v>286</v>
      </c>
      <c r="C142" s="4">
        <v>8</v>
      </c>
      <c r="D142" s="21" t="s">
        <v>121</v>
      </c>
      <c r="E142" s="3" t="s">
        <v>287</v>
      </c>
    </row>
    <row r="143" spans="1:5" s="37" customFormat="1">
      <c r="A143" s="4">
        <f t="shared" si="1"/>
        <v>138</v>
      </c>
      <c r="B143" s="3" t="s">
        <v>288</v>
      </c>
      <c r="C143" s="4">
        <v>10</v>
      </c>
      <c r="D143" s="21" t="s">
        <v>116</v>
      </c>
      <c r="E143" s="3"/>
    </row>
    <row r="144" spans="1:5" s="37" customFormat="1">
      <c r="A144" s="4">
        <f t="shared" si="1"/>
        <v>139</v>
      </c>
      <c r="B144" s="3" t="s">
        <v>289</v>
      </c>
      <c r="C144" s="4">
        <v>10</v>
      </c>
      <c r="D144" s="21" t="s">
        <v>116</v>
      </c>
      <c r="E144" s="3"/>
    </row>
    <row r="145" spans="1:5" s="37" customFormat="1">
      <c r="A145" s="4">
        <f t="shared" si="1"/>
        <v>140</v>
      </c>
      <c r="B145" s="3" t="s">
        <v>290</v>
      </c>
      <c r="C145" s="4">
        <v>20</v>
      </c>
      <c r="D145" s="21" t="s">
        <v>113</v>
      </c>
      <c r="E145" s="3"/>
    </row>
    <row r="146" spans="1:5" s="37" customFormat="1">
      <c r="A146" s="4">
        <f t="shared" si="1"/>
        <v>141</v>
      </c>
      <c r="B146" s="3" t="s">
        <v>291</v>
      </c>
      <c r="C146" s="5">
        <v>2</v>
      </c>
      <c r="D146" s="21" t="s">
        <v>27</v>
      </c>
      <c r="E146" s="3" t="s">
        <v>129</v>
      </c>
    </row>
    <row r="147" spans="1:5" s="37" customFormat="1" ht="24">
      <c r="A147" s="4">
        <f t="shared" si="1"/>
        <v>142</v>
      </c>
      <c r="B147" s="3" t="s">
        <v>292</v>
      </c>
      <c r="C147" s="4">
        <v>10</v>
      </c>
      <c r="D147" s="21" t="s">
        <v>116</v>
      </c>
      <c r="E147" s="3" t="s">
        <v>293</v>
      </c>
    </row>
    <row r="148" spans="1:5" s="37" customFormat="1">
      <c r="A148" s="4">
        <f t="shared" si="1"/>
        <v>143</v>
      </c>
      <c r="B148" s="3" t="s">
        <v>294</v>
      </c>
      <c r="C148" s="5">
        <v>1</v>
      </c>
      <c r="D148" s="21" t="s">
        <v>30</v>
      </c>
      <c r="E148" s="3" t="s">
        <v>129</v>
      </c>
    </row>
    <row r="149" spans="1:5" s="37" customFormat="1">
      <c r="A149" s="4">
        <f t="shared" si="1"/>
        <v>144</v>
      </c>
      <c r="B149" s="19" t="s">
        <v>295</v>
      </c>
      <c r="C149" s="17">
        <v>1</v>
      </c>
      <c r="D149" s="21" t="s">
        <v>30</v>
      </c>
      <c r="E149" s="38" t="s">
        <v>296</v>
      </c>
    </row>
    <row r="150" spans="1:5" s="37" customFormat="1">
      <c r="A150" s="4">
        <f t="shared" si="1"/>
        <v>145</v>
      </c>
      <c r="B150" s="19" t="s">
        <v>297</v>
      </c>
      <c r="C150" s="17">
        <v>1</v>
      </c>
      <c r="D150" s="21" t="s">
        <v>30</v>
      </c>
      <c r="E150" s="38" t="s">
        <v>298</v>
      </c>
    </row>
    <row r="151" spans="1:5" s="37" customFormat="1">
      <c r="A151" s="4">
        <f t="shared" si="1"/>
        <v>146</v>
      </c>
      <c r="B151" s="19" t="s">
        <v>299</v>
      </c>
      <c r="C151" s="17">
        <v>1</v>
      </c>
      <c r="D151" s="21" t="s">
        <v>30</v>
      </c>
      <c r="E151" s="38" t="s">
        <v>300</v>
      </c>
    </row>
    <row r="152" spans="1:5" s="37" customFormat="1" ht="24">
      <c r="A152" s="4">
        <f t="shared" si="1"/>
        <v>147</v>
      </c>
      <c r="B152" s="19" t="s">
        <v>301</v>
      </c>
      <c r="C152" s="17">
        <v>1</v>
      </c>
      <c r="D152" s="21" t="s">
        <v>30</v>
      </c>
      <c r="E152" s="39" t="s">
        <v>302</v>
      </c>
    </row>
    <row r="153" spans="1:5" s="37" customFormat="1" ht="24">
      <c r="A153" s="4">
        <f t="shared" si="1"/>
        <v>148</v>
      </c>
      <c r="B153" s="19" t="s">
        <v>303</v>
      </c>
      <c r="C153" s="17">
        <v>1</v>
      </c>
      <c r="D153" s="21" t="s">
        <v>30</v>
      </c>
      <c r="E153" s="39" t="s">
        <v>304</v>
      </c>
    </row>
    <row r="154" spans="1:5" s="37" customFormat="1">
      <c r="A154" s="4">
        <f t="shared" si="1"/>
        <v>149</v>
      </c>
      <c r="B154" s="19" t="s">
        <v>305</v>
      </c>
      <c r="C154" s="17">
        <v>1</v>
      </c>
      <c r="D154" s="21" t="s">
        <v>30</v>
      </c>
      <c r="E154" s="19" t="s">
        <v>306</v>
      </c>
    </row>
    <row r="155" spans="1:5" s="37" customFormat="1">
      <c r="A155" s="4">
        <f t="shared" si="1"/>
        <v>150</v>
      </c>
      <c r="B155" s="19" t="s">
        <v>307</v>
      </c>
      <c r="C155" s="17">
        <v>8</v>
      </c>
      <c r="D155" s="21" t="s">
        <v>121</v>
      </c>
      <c r="E155" s="40" t="s">
        <v>308</v>
      </c>
    </row>
    <row r="156" spans="1:5" s="37" customFormat="1" ht="96">
      <c r="A156" s="4">
        <f t="shared" si="1"/>
        <v>151</v>
      </c>
      <c r="B156" s="20" t="s">
        <v>309</v>
      </c>
      <c r="C156" s="17">
        <v>14</v>
      </c>
      <c r="D156" s="21" t="s">
        <v>21</v>
      </c>
      <c r="E156" s="70" t="s">
        <v>310</v>
      </c>
    </row>
    <row r="157" spans="1:5" s="37" customFormat="1">
      <c r="A157" s="4">
        <f t="shared" si="1"/>
        <v>152</v>
      </c>
      <c r="B157" s="19" t="s">
        <v>311</v>
      </c>
      <c r="C157" s="17">
        <v>2</v>
      </c>
      <c r="D157" s="21" t="s">
        <v>27</v>
      </c>
      <c r="E157" s="19"/>
    </row>
    <row r="158" spans="1:5" s="37" customFormat="1" ht="24">
      <c r="A158" s="4">
        <f t="shared" si="1"/>
        <v>153</v>
      </c>
      <c r="B158" s="19" t="s">
        <v>312</v>
      </c>
      <c r="C158" s="17">
        <v>2</v>
      </c>
      <c r="D158" s="21" t="s">
        <v>27</v>
      </c>
      <c r="E158" s="41" t="s">
        <v>313</v>
      </c>
    </row>
    <row r="159" spans="1:5" s="37" customFormat="1" ht="24">
      <c r="A159" s="4">
        <f t="shared" si="1"/>
        <v>154</v>
      </c>
      <c r="B159" s="19" t="s">
        <v>314</v>
      </c>
      <c r="C159" s="17">
        <v>3</v>
      </c>
      <c r="D159" s="21" t="s">
        <v>315</v>
      </c>
      <c r="E159" s="42" t="s">
        <v>316</v>
      </c>
    </row>
    <row r="160" spans="1:5" s="37" customFormat="1">
      <c r="A160" s="4">
        <f t="shared" si="1"/>
        <v>155</v>
      </c>
      <c r="B160" s="19" t="s">
        <v>317</v>
      </c>
      <c r="C160" s="17">
        <v>8</v>
      </c>
      <c r="D160" s="21" t="s">
        <v>21</v>
      </c>
      <c r="E160" s="43" t="s">
        <v>318</v>
      </c>
    </row>
    <row r="161" spans="1:5" s="37" customFormat="1" ht="24">
      <c r="A161" s="4">
        <f t="shared" si="1"/>
        <v>156</v>
      </c>
      <c r="B161" s="19" t="s">
        <v>319</v>
      </c>
      <c r="C161" s="17">
        <v>2</v>
      </c>
      <c r="D161" s="21" t="s">
        <v>27</v>
      </c>
      <c r="E161" s="43" t="s">
        <v>320</v>
      </c>
    </row>
    <row r="162" spans="1:5" s="37" customFormat="1">
      <c r="A162" s="4">
        <f t="shared" si="1"/>
        <v>157</v>
      </c>
      <c r="B162" s="19" t="s">
        <v>321</v>
      </c>
      <c r="C162" s="17">
        <v>8</v>
      </c>
      <c r="D162" s="21" t="s">
        <v>21</v>
      </c>
      <c r="E162" s="43" t="s">
        <v>318</v>
      </c>
    </row>
    <row r="163" spans="1:5" s="37" customFormat="1" ht="24">
      <c r="A163" s="4">
        <f t="shared" si="1"/>
        <v>158</v>
      </c>
      <c r="B163" s="19" t="s">
        <v>322</v>
      </c>
      <c r="C163" s="17">
        <v>2</v>
      </c>
      <c r="D163" s="21" t="s">
        <v>27</v>
      </c>
      <c r="E163" s="43" t="s">
        <v>320</v>
      </c>
    </row>
    <row r="164" spans="1:5" s="37" customFormat="1">
      <c r="A164" s="4">
        <f t="shared" si="1"/>
        <v>159</v>
      </c>
      <c r="B164" s="19" t="s">
        <v>323</v>
      </c>
      <c r="C164" s="17">
        <v>8</v>
      </c>
      <c r="D164" s="21" t="s">
        <v>21</v>
      </c>
      <c r="E164" s="43" t="s">
        <v>318</v>
      </c>
    </row>
    <row r="165" spans="1:5" s="37" customFormat="1" ht="24">
      <c r="A165" s="4">
        <f t="shared" si="1"/>
        <v>160</v>
      </c>
      <c r="B165" s="19" t="s">
        <v>324</v>
      </c>
      <c r="C165" s="17">
        <v>2</v>
      </c>
      <c r="D165" s="21" t="s">
        <v>27</v>
      </c>
      <c r="E165" s="43" t="s">
        <v>320</v>
      </c>
    </row>
    <row r="166" spans="1:5" s="37" customFormat="1">
      <c r="A166" s="4">
        <f t="shared" si="1"/>
        <v>161</v>
      </c>
      <c r="B166" s="19" t="s">
        <v>325</v>
      </c>
      <c r="C166" s="17">
        <v>8</v>
      </c>
      <c r="D166" s="21" t="s">
        <v>21</v>
      </c>
      <c r="E166" s="43" t="s">
        <v>318</v>
      </c>
    </row>
    <row r="167" spans="1:5" s="37" customFormat="1" ht="24">
      <c r="A167" s="4">
        <f t="shared" si="1"/>
        <v>162</v>
      </c>
      <c r="B167" s="19" t="s">
        <v>326</v>
      </c>
      <c r="C167" s="17">
        <v>2</v>
      </c>
      <c r="D167" s="21" t="s">
        <v>27</v>
      </c>
      <c r="E167" s="43" t="s">
        <v>320</v>
      </c>
    </row>
    <row r="168" spans="1:5" s="37" customFormat="1">
      <c r="A168" s="4">
        <f t="shared" si="1"/>
        <v>163</v>
      </c>
      <c r="B168" s="19" t="s">
        <v>327</v>
      </c>
      <c r="C168" s="17">
        <v>8</v>
      </c>
      <c r="D168" s="21" t="s">
        <v>21</v>
      </c>
      <c r="E168" s="43" t="s">
        <v>318</v>
      </c>
    </row>
    <row r="169" spans="1:5" s="37" customFormat="1" ht="24">
      <c r="A169" s="4">
        <f t="shared" si="1"/>
        <v>164</v>
      </c>
      <c r="B169" s="19" t="s">
        <v>328</v>
      </c>
      <c r="C169" s="17">
        <v>2</v>
      </c>
      <c r="D169" s="21" t="s">
        <v>27</v>
      </c>
      <c r="E169" s="43" t="s">
        <v>320</v>
      </c>
    </row>
    <row r="170" spans="1:5" s="37" customFormat="1">
      <c r="A170" s="4">
        <f t="shared" si="1"/>
        <v>165</v>
      </c>
      <c r="B170" s="19" t="s">
        <v>329</v>
      </c>
      <c r="C170" s="17">
        <v>8</v>
      </c>
      <c r="D170" s="21" t="s">
        <v>21</v>
      </c>
      <c r="E170" s="43" t="s">
        <v>318</v>
      </c>
    </row>
    <row r="171" spans="1:5" s="37" customFormat="1" ht="24">
      <c r="A171" s="4">
        <f t="shared" si="1"/>
        <v>166</v>
      </c>
      <c r="B171" s="19" t="s">
        <v>330</v>
      </c>
      <c r="C171" s="17">
        <v>2</v>
      </c>
      <c r="D171" s="21" t="s">
        <v>27</v>
      </c>
      <c r="E171" s="43" t="s">
        <v>320</v>
      </c>
    </row>
    <row r="172" spans="1:5" s="37" customFormat="1">
      <c r="A172" s="4">
        <f t="shared" si="1"/>
        <v>167</v>
      </c>
      <c r="B172" s="19" t="s">
        <v>331</v>
      </c>
      <c r="C172" s="17">
        <v>8</v>
      </c>
      <c r="D172" s="21" t="s">
        <v>21</v>
      </c>
      <c r="E172" s="43" t="s">
        <v>318</v>
      </c>
    </row>
    <row r="173" spans="1:5" s="37" customFormat="1" ht="24">
      <c r="A173" s="4">
        <f t="shared" si="1"/>
        <v>168</v>
      </c>
      <c r="B173" s="19" t="s">
        <v>332</v>
      </c>
      <c r="C173" s="17">
        <v>2</v>
      </c>
      <c r="D173" s="21" t="s">
        <v>27</v>
      </c>
      <c r="E173" s="43" t="s">
        <v>320</v>
      </c>
    </row>
    <row r="174" spans="1:5" s="37" customFormat="1" ht="48">
      <c r="A174" s="4">
        <f t="shared" si="1"/>
        <v>169</v>
      </c>
      <c r="B174" s="19" t="s">
        <v>333</v>
      </c>
      <c r="C174" s="17">
        <v>4</v>
      </c>
      <c r="D174" s="21" t="s">
        <v>43</v>
      </c>
      <c r="E174" s="19" t="s">
        <v>334</v>
      </c>
    </row>
    <row r="175" spans="1:5" s="37" customFormat="1" ht="24">
      <c r="A175" s="4">
        <f t="shared" si="1"/>
        <v>170</v>
      </c>
      <c r="B175" s="19" t="s">
        <v>335</v>
      </c>
      <c r="C175" s="17">
        <v>1</v>
      </c>
      <c r="D175" s="21" t="s">
        <v>30</v>
      </c>
      <c r="E175" s="19" t="s">
        <v>336</v>
      </c>
    </row>
    <row r="176" spans="1:5" s="37" customFormat="1">
      <c r="A176" s="4">
        <f t="shared" si="1"/>
        <v>171</v>
      </c>
      <c r="B176" s="19" t="s">
        <v>337</v>
      </c>
      <c r="C176" s="17">
        <v>1</v>
      </c>
      <c r="D176" s="21" t="s">
        <v>30</v>
      </c>
      <c r="E176" s="19"/>
    </row>
    <row r="177" spans="1:5" s="37" customFormat="1" ht="96">
      <c r="A177" s="4">
        <f t="shared" si="1"/>
        <v>172</v>
      </c>
      <c r="B177" s="20" t="s">
        <v>338</v>
      </c>
      <c r="C177" s="17">
        <v>14</v>
      </c>
      <c r="D177" s="21" t="s">
        <v>64</v>
      </c>
      <c r="E177" s="20" t="s">
        <v>339</v>
      </c>
    </row>
    <row r="178" spans="1:5" s="37" customFormat="1" ht="24">
      <c r="A178" s="4">
        <f t="shared" si="1"/>
        <v>173</v>
      </c>
      <c r="B178" s="19" t="s">
        <v>340</v>
      </c>
      <c r="C178" s="17">
        <v>40</v>
      </c>
      <c r="D178" s="21" t="s">
        <v>56</v>
      </c>
      <c r="E178" s="19" t="s">
        <v>341</v>
      </c>
    </row>
    <row r="179" spans="1:5" s="37" customFormat="1">
      <c r="A179" s="4">
        <f t="shared" si="1"/>
        <v>174</v>
      </c>
      <c r="B179" s="19" t="s">
        <v>342</v>
      </c>
      <c r="C179" s="17">
        <v>1</v>
      </c>
      <c r="D179" s="21" t="s">
        <v>30</v>
      </c>
      <c r="E179" s="19" t="s">
        <v>343</v>
      </c>
    </row>
    <row r="180" spans="1:5" s="37" customFormat="1" ht="72">
      <c r="A180" s="4">
        <f t="shared" si="1"/>
        <v>175</v>
      </c>
      <c r="B180" s="19" t="s">
        <v>344</v>
      </c>
      <c r="C180" s="17">
        <v>15</v>
      </c>
      <c r="D180" s="21" t="s">
        <v>177</v>
      </c>
      <c r="E180" s="44" t="s">
        <v>345</v>
      </c>
    </row>
    <row r="181" spans="1:5" s="37" customFormat="1">
      <c r="A181" s="4">
        <f t="shared" si="1"/>
        <v>176</v>
      </c>
      <c r="B181" s="19" t="s">
        <v>346</v>
      </c>
      <c r="C181" s="17">
        <v>1</v>
      </c>
      <c r="D181" s="21" t="s">
        <v>30</v>
      </c>
      <c r="E181" s="45" t="s">
        <v>347</v>
      </c>
    </row>
    <row r="182" spans="1:5" s="37" customFormat="1" ht="72">
      <c r="A182" s="4">
        <f t="shared" si="1"/>
        <v>177</v>
      </c>
      <c r="B182" s="19" t="s">
        <v>348</v>
      </c>
      <c r="C182" s="17">
        <v>15</v>
      </c>
      <c r="D182" s="21" t="s">
        <v>177</v>
      </c>
      <c r="E182" s="46" t="s">
        <v>345</v>
      </c>
    </row>
    <row r="183" spans="1:5" s="37" customFormat="1">
      <c r="A183" s="4">
        <f t="shared" si="1"/>
        <v>178</v>
      </c>
      <c r="B183" s="19" t="s">
        <v>349</v>
      </c>
      <c r="C183" s="17">
        <v>1</v>
      </c>
      <c r="D183" s="21" t="s">
        <v>30</v>
      </c>
      <c r="E183" s="47" t="s">
        <v>347</v>
      </c>
    </row>
    <row r="184" spans="1:5" s="37" customFormat="1" ht="72">
      <c r="A184" s="4">
        <f t="shared" si="1"/>
        <v>179</v>
      </c>
      <c r="B184" s="19" t="s">
        <v>350</v>
      </c>
      <c r="C184" s="17">
        <v>15</v>
      </c>
      <c r="D184" s="21" t="s">
        <v>177</v>
      </c>
      <c r="E184" s="48" t="s">
        <v>345</v>
      </c>
    </row>
    <row r="185" spans="1:5" s="37" customFormat="1" ht="24">
      <c r="A185" s="4">
        <f t="shared" si="1"/>
        <v>180</v>
      </c>
      <c r="B185" s="19" t="s">
        <v>351</v>
      </c>
      <c r="C185" s="17">
        <v>1</v>
      </c>
      <c r="D185" s="21" t="s">
        <v>30</v>
      </c>
      <c r="E185" s="49" t="s">
        <v>347</v>
      </c>
    </row>
    <row r="186" spans="1:5" s="37" customFormat="1" ht="36">
      <c r="A186" s="4">
        <f t="shared" si="1"/>
        <v>181</v>
      </c>
      <c r="B186" s="19" t="s">
        <v>352</v>
      </c>
      <c r="C186" s="17">
        <v>2</v>
      </c>
      <c r="D186" s="21" t="s">
        <v>27</v>
      </c>
      <c r="E186" s="19" t="s">
        <v>353</v>
      </c>
    </row>
    <row r="187" spans="1:5" s="37" customFormat="1" ht="36">
      <c r="A187" s="4">
        <f t="shared" ref="A187:A250" si="2">A186+1</f>
        <v>182</v>
      </c>
      <c r="B187" s="19" t="s">
        <v>354</v>
      </c>
      <c r="C187" s="17">
        <v>5</v>
      </c>
      <c r="D187" s="21" t="s">
        <v>18</v>
      </c>
      <c r="E187" s="50" t="s">
        <v>355</v>
      </c>
    </row>
    <row r="188" spans="1:5" s="37" customFormat="1" ht="48">
      <c r="A188" s="4">
        <f t="shared" si="2"/>
        <v>183</v>
      </c>
      <c r="B188" s="19" t="s">
        <v>356</v>
      </c>
      <c r="C188" s="17">
        <v>2</v>
      </c>
      <c r="D188" s="21" t="s">
        <v>27</v>
      </c>
      <c r="E188" s="51" t="s">
        <v>357</v>
      </c>
    </row>
    <row r="189" spans="1:5" s="37" customFormat="1" ht="48">
      <c r="A189" s="4">
        <f t="shared" si="2"/>
        <v>184</v>
      </c>
      <c r="B189" s="19" t="s">
        <v>358</v>
      </c>
      <c r="C189" s="17">
        <v>2</v>
      </c>
      <c r="D189" s="21" t="s">
        <v>27</v>
      </c>
      <c r="E189" s="51" t="s">
        <v>357</v>
      </c>
    </row>
    <row r="190" spans="1:5" s="37" customFormat="1" ht="48">
      <c r="A190" s="4">
        <f t="shared" si="2"/>
        <v>185</v>
      </c>
      <c r="B190" s="19" t="s">
        <v>359</v>
      </c>
      <c r="C190" s="17">
        <v>2</v>
      </c>
      <c r="D190" s="21" t="s">
        <v>27</v>
      </c>
      <c r="E190" s="51" t="s">
        <v>357</v>
      </c>
    </row>
    <row r="191" spans="1:5" s="37" customFormat="1" ht="48">
      <c r="A191" s="4">
        <f t="shared" si="2"/>
        <v>186</v>
      </c>
      <c r="B191" s="19" t="s">
        <v>360</v>
      </c>
      <c r="C191" s="17">
        <v>2</v>
      </c>
      <c r="D191" s="21" t="s">
        <v>27</v>
      </c>
      <c r="E191" s="51" t="s">
        <v>357</v>
      </c>
    </row>
    <row r="192" spans="1:5" s="37" customFormat="1" ht="36">
      <c r="A192" s="4">
        <f t="shared" si="2"/>
        <v>187</v>
      </c>
      <c r="B192" s="19" t="s">
        <v>361</v>
      </c>
      <c r="C192" s="17">
        <v>9</v>
      </c>
      <c r="D192" s="21" t="s">
        <v>362</v>
      </c>
      <c r="E192" s="19" t="s">
        <v>363</v>
      </c>
    </row>
    <row r="193" spans="1:5" s="37" customFormat="1">
      <c r="A193" s="4">
        <f t="shared" si="2"/>
        <v>188</v>
      </c>
      <c r="B193" s="19" t="s">
        <v>364</v>
      </c>
      <c r="C193" s="17">
        <v>20</v>
      </c>
      <c r="D193" s="21" t="s">
        <v>113</v>
      </c>
      <c r="E193" s="19" t="s">
        <v>365</v>
      </c>
    </row>
    <row r="194" spans="1:5" s="37" customFormat="1">
      <c r="A194" s="4">
        <f t="shared" si="2"/>
        <v>189</v>
      </c>
      <c r="B194" s="19" t="s">
        <v>366</v>
      </c>
      <c r="C194" s="17">
        <v>2</v>
      </c>
      <c r="D194" s="21" t="s">
        <v>27</v>
      </c>
      <c r="E194" s="52" t="s">
        <v>367</v>
      </c>
    </row>
    <row r="195" spans="1:5" s="37" customFormat="1" ht="24">
      <c r="A195" s="4">
        <f t="shared" si="2"/>
        <v>190</v>
      </c>
      <c r="B195" s="19" t="s">
        <v>368</v>
      </c>
      <c r="C195" s="17">
        <v>5</v>
      </c>
      <c r="D195" s="21" t="s">
        <v>18</v>
      </c>
      <c r="E195" s="52" t="s">
        <v>369</v>
      </c>
    </row>
    <row r="196" spans="1:5" s="37" customFormat="1" ht="24">
      <c r="A196" s="4">
        <f t="shared" si="2"/>
        <v>191</v>
      </c>
      <c r="B196" s="19" t="s">
        <v>370</v>
      </c>
      <c r="C196" s="17">
        <v>9</v>
      </c>
      <c r="D196" s="21" t="s">
        <v>362</v>
      </c>
      <c r="E196" s="53" t="s">
        <v>371</v>
      </c>
    </row>
    <row r="197" spans="1:5" s="37" customFormat="1">
      <c r="A197" s="4">
        <f t="shared" si="2"/>
        <v>192</v>
      </c>
      <c r="B197" s="19" t="s">
        <v>372</v>
      </c>
      <c r="C197" s="17">
        <v>9</v>
      </c>
      <c r="D197" s="21" t="s">
        <v>362</v>
      </c>
      <c r="E197" s="53" t="s">
        <v>373</v>
      </c>
    </row>
    <row r="198" spans="1:5" s="37" customFormat="1">
      <c r="A198" s="4">
        <f t="shared" si="2"/>
        <v>193</v>
      </c>
      <c r="B198" s="19" t="s">
        <v>374</v>
      </c>
      <c r="C198" s="17">
        <v>9</v>
      </c>
      <c r="D198" s="21" t="s">
        <v>362</v>
      </c>
      <c r="E198" s="53" t="s">
        <v>373</v>
      </c>
    </row>
    <row r="199" spans="1:5" s="37" customFormat="1">
      <c r="A199" s="4">
        <f t="shared" si="2"/>
        <v>194</v>
      </c>
      <c r="B199" s="19" t="s">
        <v>375</v>
      </c>
      <c r="C199" s="17">
        <v>9</v>
      </c>
      <c r="D199" s="21" t="s">
        <v>362</v>
      </c>
      <c r="E199" s="53" t="s">
        <v>373</v>
      </c>
    </row>
    <row r="200" spans="1:5" s="37" customFormat="1">
      <c r="A200" s="4">
        <f t="shared" si="2"/>
        <v>195</v>
      </c>
      <c r="B200" s="19" t="s">
        <v>376</v>
      </c>
      <c r="C200" s="17">
        <v>9</v>
      </c>
      <c r="D200" s="21" t="s">
        <v>362</v>
      </c>
      <c r="E200" s="53" t="s">
        <v>373</v>
      </c>
    </row>
    <row r="201" spans="1:5" s="37" customFormat="1" ht="24">
      <c r="A201" s="4">
        <f t="shared" si="2"/>
        <v>196</v>
      </c>
      <c r="B201" s="19" t="s">
        <v>377</v>
      </c>
      <c r="C201" s="17">
        <v>5</v>
      </c>
      <c r="D201" s="21" t="s">
        <v>18</v>
      </c>
      <c r="E201" s="53" t="s">
        <v>378</v>
      </c>
    </row>
    <row r="202" spans="1:5" s="37" customFormat="1" ht="84">
      <c r="A202" s="4">
        <f t="shared" si="2"/>
        <v>197</v>
      </c>
      <c r="B202" s="19" t="s">
        <v>379</v>
      </c>
      <c r="C202" s="17">
        <v>9</v>
      </c>
      <c r="D202" s="21" t="s">
        <v>362</v>
      </c>
      <c r="E202" s="54" t="s">
        <v>380</v>
      </c>
    </row>
    <row r="203" spans="1:5" s="37" customFormat="1" ht="48">
      <c r="A203" s="4">
        <f t="shared" si="2"/>
        <v>198</v>
      </c>
      <c r="B203" s="19" t="s">
        <v>381</v>
      </c>
      <c r="C203" s="17">
        <v>2</v>
      </c>
      <c r="D203" s="21" t="s">
        <v>27</v>
      </c>
      <c r="E203" s="54" t="s">
        <v>382</v>
      </c>
    </row>
    <row r="204" spans="1:5" s="37" customFormat="1" ht="24">
      <c r="A204" s="4">
        <f t="shared" si="2"/>
        <v>199</v>
      </c>
      <c r="B204" s="19" t="s">
        <v>383</v>
      </c>
      <c r="C204" s="17">
        <v>1</v>
      </c>
      <c r="D204" s="21" t="s">
        <v>30</v>
      </c>
      <c r="E204" s="54" t="s">
        <v>384</v>
      </c>
    </row>
    <row r="205" spans="1:5" s="37" customFormat="1" ht="24">
      <c r="A205" s="4">
        <f t="shared" si="2"/>
        <v>200</v>
      </c>
      <c r="B205" s="19" t="s">
        <v>385</v>
      </c>
      <c r="C205" s="17">
        <v>1</v>
      </c>
      <c r="D205" s="21" t="s">
        <v>30</v>
      </c>
      <c r="E205" s="54" t="s">
        <v>386</v>
      </c>
    </row>
    <row r="206" spans="1:5" s="37" customFormat="1">
      <c r="A206" s="4">
        <f t="shared" si="2"/>
        <v>201</v>
      </c>
      <c r="B206" s="19" t="s">
        <v>387</v>
      </c>
      <c r="C206" s="17">
        <v>9</v>
      </c>
      <c r="D206" s="21" t="s">
        <v>362</v>
      </c>
      <c r="E206" s="54" t="s">
        <v>388</v>
      </c>
    </row>
    <row r="207" spans="1:5" s="37" customFormat="1">
      <c r="A207" s="4">
        <f t="shared" si="2"/>
        <v>202</v>
      </c>
      <c r="B207" s="19" t="s">
        <v>389</v>
      </c>
      <c r="C207" s="17">
        <v>2</v>
      </c>
      <c r="D207" s="21" t="s">
        <v>27</v>
      </c>
      <c r="E207" s="55" t="s">
        <v>390</v>
      </c>
    </row>
    <row r="208" spans="1:5" s="37" customFormat="1">
      <c r="A208" s="4">
        <f t="shared" si="2"/>
        <v>203</v>
      </c>
      <c r="B208" s="19" t="s">
        <v>391</v>
      </c>
      <c r="C208" s="17">
        <v>9</v>
      </c>
      <c r="D208" s="21" t="s">
        <v>362</v>
      </c>
      <c r="E208" s="54" t="s">
        <v>388</v>
      </c>
    </row>
    <row r="209" spans="1:5" s="37" customFormat="1">
      <c r="A209" s="4">
        <f t="shared" si="2"/>
        <v>204</v>
      </c>
      <c r="B209" s="19" t="s">
        <v>392</v>
      </c>
      <c r="C209" s="17">
        <v>2</v>
      </c>
      <c r="D209" s="21" t="s">
        <v>27</v>
      </c>
      <c r="E209" s="55" t="s">
        <v>390</v>
      </c>
    </row>
    <row r="210" spans="1:5" s="37" customFormat="1">
      <c r="A210" s="4">
        <f t="shared" si="2"/>
        <v>205</v>
      </c>
      <c r="B210" s="19" t="s">
        <v>393</v>
      </c>
      <c r="C210" s="17">
        <v>9</v>
      </c>
      <c r="D210" s="21" t="s">
        <v>362</v>
      </c>
      <c r="E210" s="54" t="s">
        <v>388</v>
      </c>
    </row>
    <row r="211" spans="1:5" s="37" customFormat="1">
      <c r="A211" s="4">
        <f t="shared" si="2"/>
        <v>206</v>
      </c>
      <c r="B211" s="19" t="s">
        <v>394</v>
      </c>
      <c r="C211" s="17">
        <v>2</v>
      </c>
      <c r="D211" s="21" t="s">
        <v>27</v>
      </c>
      <c r="E211" s="55" t="s">
        <v>390</v>
      </c>
    </row>
    <row r="212" spans="1:5" s="37" customFormat="1" ht="132">
      <c r="A212" s="4">
        <f t="shared" si="2"/>
        <v>207</v>
      </c>
      <c r="B212" s="19" t="s">
        <v>395</v>
      </c>
      <c r="C212" s="17">
        <v>31</v>
      </c>
      <c r="D212" s="21" t="s">
        <v>396</v>
      </c>
      <c r="E212" s="19" t="s">
        <v>397</v>
      </c>
    </row>
    <row r="213" spans="1:5" s="37" customFormat="1" ht="60">
      <c r="A213" s="4">
        <f t="shared" si="2"/>
        <v>208</v>
      </c>
      <c r="B213" s="19" t="s">
        <v>398</v>
      </c>
      <c r="C213" s="17">
        <v>1</v>
      </c>
      <c r="D213" s="21" t="s">
        <v>30</v>
      </c>
      <c r="E213" s="56" t="s">
        <v>399</v>
      </c>
    </row>
    <row r="214" spans="1:5" s="37" customFormat="1" ht="108">
      <c r="A214" s="4">
        <f t="shared" si="2"/>
        <v>209</v>
      </c>
      <c r="B214" s="20" t="s">
        <v>400</v>
      </c>
      <c r="C214" s="17">
        <v>10</v>
      </c>
      <c r="D214" s="21" t="s">
        <v>116</v>
      </c>
      <c r="E214" s="71" t="s">
        <v>401</v>
      </c>
    </row>
    <row r="215" spans="1:5" s="37" customFormat="1" ht="108">
      <c r="A215" s="4">
        <f t="shared" si="2"/>
        <v>210</v>
      </c>
      <c r="B215" s="20" t="s">
        <v>402</v>
      </c>
      <c r="C215" s="17">
        <v>10</v>
      </c>
      <c r="D215" s="21" t="s">
        <v>116</v>
      </c>
      <c r="E215" s="71" t="s">
        <v>403</v>
      </c>
    </row>
    <row r="216" spans="1:5" s="37" customFormat="1" ht="60">
      <c r="A216" s="4">
        <f t="shared" si="2"/>
        <v>211</v>
      </c>
      <c r="B216" s="19" t="s">
        <v>404</v>
      </c>
      <c r="C216" s="17">
        <v>120</v>
      </c>
      <c r="D216" s="21" t="s">
        <v>405</v>
      </c>
      <c r="E216" s="56" t="s">
        <v>399</v>
      </c>
    </row>
    <row r="217" spans="1:5" s="37" customFormat="1">
      <c r="A217" s="4">
        <f t="shared" si="2"/>
        <v>212</v>
      </c>
      <c r="B217" s="19" t="s">
        <v>406</v>
      </c>
      <c r="C217" s="17">
        <v>1</v>
      </c>
      <c r="D217" s="21" t="s">
        <v>30</v>
      </c>
      <c r="E217" s="56" t="s">
        <v>407</v>
      </c>
    </row>
    <row r="218" spans="1:5" s="37" customFormat="1">
      <c r="A218" s="4">
        <f t="shared" si="2"/>
        <v>213</v>
      </c>
      <c r="B218" s="19" t="s">
        <v>408</v>
      </c>
      <c r="C218" s="17">
        <v>1</v>
      </c>
      <c r="D218" s="21" t="s">
        <v>30</v>
      </c>
      <c r="E218" s="56" t="s">
        <v>409</v>
      </c>
    </row>
    <row r="219" spans="1:5" s="37" customFormat="1">
      <c r="A219" s="4">
        <f t="shared" si="2"/>
        <v>214</v>
      </c>
      <c r="B219" s="19" t="s">
        <v>410</v>
      </c>
      <c r="C219" s="17">
        <v>4</v>
      </c>
      <c r="D219" s="21" t="s">
        <v>43</v>
      </c>
      <c r="E219" s="56" t="s">
        <v>411</v>
      </c>
    </row>
    <row r="220" spans="1:5" s="37" customFormat="1">
      <c r="A220" s="4">
        <f t="shared" si="2"/>
        <v>215</v>
      </c>
      <c r="B220" s="19" t="s">
        <v>412</v>
      </c>
      <c r="C220" s="17">
        <v>4</v>
      </c>
      <c r="D220" s="21" t="s">
        <v>43</v>
      </c>
      <c r="E220" s="56" t="s">
        <v>413</v>
      </c>
    </row>
    <row r="221" spans="1:5" s="37" customFormat="1">
      <c r="A221" s="4">
        <f t="shared" si="2"/>
        <v>216</v>
      </c>
      <c r="B221" s="19" t="s">
        <v>414</v>
      </c>
      <c r="C221" s="17">
        <v>7</v>
      </c>
      <c r="D221" s="21" t="s">
        <v>152</v>
      </c>
      <c r="E221" s="56" t="s">
        <v>415</v>
      </c>
    </row>
    <row r="222" spans="1:5" s="37" customFormat="1">
      <c r="A222" s="4">
        <f t="shared" si="2"/>
        <v>217</v>
      </c>
      <c r="B222" s="19" t="s">
        <v>416</v>
      </c>
      <c r="C222" s="17">
        <v>6</v>
      </c>
      <c r="D222" s="21" t="s">
        <v>164</v>
      </c>
      <c r="E222" s="56" t="s">
        <v>415</v>
      </c>
    </row>
    <row r="223" spans="1:5" s="37" customFormat="1">
      <c r="A223" s="4">
        <f t="shared" si="2"/>
        <v>218</v>
      </c>
      <c r="B223" s="19" t="s">
        <v>417</v>
      </c>
      <c r="C223" s="17">
        <v>2</v>
      </c>
      <c r="D223" s="21" t="s">
        <v>27</v>
      </c>
      <c r="E223" s="56" t="s">
        <v>415</v>
      </c>
    </row>
    <row r="224" spans="1:5" s="37" customFormat="1">
      <c r="A224" s="4">
        <f t="shared" si="2"/>
        <v>219</v>
      </c>
      <c r="B224" s="19" t="s">
        <v>418</v>
      </c>
      <c r="C224" s="17">
        <v>30</v>
      </c>
      <c r="D224" s="21" t="s">
        <v>36</v>
      </c>
      <c r="E224" s="56" t="s">
        <v>415</v>
      </c>
    </row>
    <row r="225" spans="1:5" s="37" customFormat="1">
      <c r="A225" s="4">
        <f t="shared" si="2"/>
        <v>220</v>
      </c>
      <c r="B225" s="19" t="s">
        <v>419</v>
      </c>
      <c r="C225" s="17">
        <v>4</v>
      </c>
      <c r="D225" s="21" t="s">
        <v>43</v>
      </c>
      <c r="E225" s="56" t="s">
        <v>415</v>
      </c>
    </row>
    <row r="226" spans="1:5" s="37" customFormat="1">
      <c r="A226" s="4">
        <f t="shared" si="2"/>
        <v>221</v>
      </c>
      <c r="B226" s="19" t="s">
        <v>420</v>
      </c>
      <c r="C226" s="17">
        <v>2</v>
      </c>
      <c r="D226" s="21" t="s">
        <v>27</v>
      </c>
      <c r="E226" s="56" t="s">
        <v>415</v>
      </c>
    </row>
    <row r="227" spans="1:5" s="37" customFormat="1">
      <c r="A227" s="4">
        <f t="shared" si="2"/>
        <v>222</v>
      </c>
      <c r="B227" s="19" t="s">
        <v>421</v>
      </c>
      <c r="C227" s="17">
        <v>6</v>
      </c>
      <c r="D227" s="21" t="s">
        <v>164</v>
      </c>
      <c r="E227" s="56" t="s">
        <v>415</v>
      </c>
    </row>
    <row r="228" spans="1:5" s="37" customFormat="1">
      <c r="A228" s="4">
        <f t="shared" si="2"/>
        <v>223</v>
      </c>
      <c r="B228" s="19" t="s">
        <v>422</v>
      </c>
      <c r="C228" s="17">
        <v>60</v>
      </c>
      <c r="D228" s="21" t="s">
        <v>33</v>
      </c>
      <c r="E228" s="56" t="s">
        <v>415</v>
      </c>
    </row>
    <row r="229" spans="1:5" s="37" customFormat="1">
      <c r="A229" s="4">
        <f t="shared" si="2"/>
        <v>224</v>
      </c>
      <c r="B229" s="19" t="s">
        <v>423</v>
      </c>
      <c r="C229" s="17">
        <v>30</v>
      </c>
      <c r="D229" s="21" t="s">
        <v>36</v>
      </c>
      <c r="E229" s="56" t="s">
        <v>415</v>
      </c>
    </row>
    <row r="230" spans="1:5" s="37" customFormat="1">
      <c r="A230" s="4">
        <f t="shared" si="2"/>
        <v>225</v>
      </c>
      <c r="B230" s="19" t="s">
        <v>424</v>
      </c>
      <c r="C230" s="17">
        <v>2</v>
      </c>
      <c r="D230" s="21" t="s">
        <v>27</v>
      </c>
      <c r="E230" s="56" t="s">
        <v>415</v>
      </c>
    </row>
    <row r="231" spans="1:5" s="37" customFormat="1">
      <c r="A231" s="4">
        <f t="shared" si="2"/>
        <v>226</v>
      </c>
      <c r="B231" s="19" t="s">
        <v>425</v>
      </c>
      <c r="C231" s="17">
        <v>5</v>
      </c>
      <c r="D231" s="21" t="s">
        <v>18</v>
      </c>
      <c r="E231" s="56" t="s">
        <v>415</v>
      </c>
    </row>
    <row r="232" spans="1:5" s="37" customFormat="1">
      <c r="A232" s="4">
        <f t="shared" si="2"/>
        <v>227</v>
      </c>
      <c r="B232" s="19" t="s">
        <v>426</v>
      </c>
      <c r="C232" s="17">
        <v>4</v>
      </c>
      <c r="D232" s="21" t="s">
        <v>43</v>
      </c>
      <c r="E232" s="56" t="s">
        <v>415</v>
      </c>
    </row>
    <row r="233" spans="1:5" s="37" customFormat="1">
      <c r="A233" s="4">
        <f t="shared" si="2"/>
        <v>228</v>
      </c>
      <c r="B233" s="19" t="s">
        <v>427</v>
      </c>
      <c r="C233" s="17">
        <v>7</v>
      </c>
      <c r="D233" s="21" t="s">
        <v>152</v>
      </c>
      <c r="E233" s="56" t="s">
        <v>415</v>
      </c>
    </row>
    <row r="234" spans="1:5" s="37" customFormat="1">
      <c r="A234" s="4">
        <f t="shared" si="2"/>
        <v>229</v>
      </c>
      <c r="B234" s="19" t="s">
        <v>428</v>
      </c>
      <c r="C234" s="17">
        <v>6</v>
      </c>
      <c r="D234" s="21" t="s">
        <v>164</v>
      </c>
      <c r="E234" s="56" t="s">
        <v>415</v>
      </c>
    </row>
    <row r="235" spans="1:5" s="37" customFormat="1">
      <c r="A235" s="4">
        <f t="shared" si="2"/>
        <v>230</v>
      </c>
      <c r="B235" s="19" t="s">
        <v>429</v>
      </c>
      <c r="C235" s="17">
        <v>2</v>
      </c>
      <c r="D235" s="21" t="s">
        <v>27</v>
      </c>
      <c r="E235" s="56" t="s">
        <v>415</v>
      </c>
    </row>
    <row r="236" spans="1:5" s="37" customFormat="1">
      <c r="A236" s="4">
        <f t="shared" si="2"/>
        <v>231</v>
      </c>
      <c r="B236" s="19" t="s">
        <v>430</v>
      </c>
      <c r="C236" s="17">
        <v>30</v>
      </c>
      <c r="D236" s="21" t="s">
        <v>36</v>
      </c>
      <c r="E236" s="56" t="s">
        <v>415</v>
      </c>
    </row>
    <row r="237" spans="1:5" s="37" customFormat="1">
      <c r="A237" s="4">
        <f t="shared" si="2"/>
        <v>232</v>
      </c>
      <c r="B237" s="19" t="s">
        <v>431</v>
      </c>
      <c r="C237" s="17">
        <v>4</v>
      </c>
      <c r="D237" s="21" t="s">
        <v>43</v>
      </c>
      <c r="E237" s="56" t="s">
        <v>415</v>
      </c>
    </row>
    <row r="238" spans="1:5" s="37" customFormat="1">
      <c r="A238" s="4">
        <f t="shared" si="2"/>
        <v>233</v>
      </c>
      <c r="B238" s="19" t="s">
        <v>432</v>
      </c>
      <c r="C238" s="17">
        <v>2</v>
      </c>
      <c r="D238" s="21" t="s">
        <v>27</v>
      </c>
      <c r="E238" s="56" t="s">
        <v>415</v>
      </c>
    </row>
    <row r="239" spans="1:5" s="37" customFormat="1">
      <c r="A239" s="4">
        <f t="shared" si="2"/>
        <v>234</v>
      </c>
      <c r="B239" s="19" t="s">
        <v>433</v>
      </c>
      <c r="C239" s="17">
        <v>6</v>
      </c>
      <c r="D239" s="21" t="s">
        <v>164</v>
      </c>
      <c r="E239" s="56" t="s">
        <v>415</v>
      </c>
    </row>
    <row r="240" spans="1:5" s="37" customFormat="1">
      <c r="A240" s="4">
        <f t="shared" si="2"/>
        <v>235</v>
      </c>
      <c r="B240" s="19" t="s">
        <v>434</v>
      </c>
      <c r="C240" s="17">
        <v>80</v>
      </c>
      <c r="D240" s="21" t="s">
        <v>72</v>
      </c>
      <c r="E240" s="56" t="s">
        <v>415</v>
      </c>
    </row>
    <row r="241" spans="1:5" s="37" customFormat="1">
      <c r="A241" s="4">
        <f t="shared" si="2"/>
        <v>236</v>
      </c>
      <c r="B241" s="19" t="s">
        <v>435</v>
      </c>
      <c r="C241" s="17">
        <v>30</v>
      </c>
      <c r="D241" s="21" t="s">
        <v>36</v>
      </c>
      <c r="E241" s="56" t="s">
        <v>415</v>
      </c>
    </row>
    <row r="242" spans="1:5" s="37" customFormat="1">
      <c r="A242" s="4">
        <f t="shared" si="2"/>
        <v>237</v>
      </c>
      <c r="B242" s="19" t="s">
        <v>436</v>
      </c>
      <c r="C242" s="17">
        <v>2</v>
      </c>
      <c r="D242" s="21" t="s">
        <v>27</v>
      </c>
      <c r="E242" s="56" t="s">
        <v>415</v>
      </c>
    </row>
    <row r="243" spans="1:5" s="37" customFormat="1">
      <c r="A243" s="4">
        <f t="shared" si="2"/>
        <v>238</v>
      </c>
      <c r="B243" s="19" t="s">
        <v>437</v>
      </c>
      <c r="C243" s="17">
        <v>5</v>
      </c>
      <c r="D243" s="21" t="s">
        <v>18</v>
      </c>
      <c r="E243" s="56" t="s">
        <v>415</v>
      </c>
    </row>
    <row r="244" spans="1:5" s="37" customFormat="1">
      <c r="A244" s="4">
        <f t="shared" si="2"/>
        <v>239</v>
      </c>
      <c r="B244" s="19" t="s">
        <v>438</v>
      </c>
      <c r="C244" s="17">
        <v>4</v>
      </c>
      <c r="D244" s="21" t="s">
        <v>43</v>
      </c>
      <c r="E244" s="56" t="s">
        <v>415</v>
      </c>
    </row>
    <row r="245" spans="1:5" s="37" customFormat="1" ht="24">
      <c r="A245" s="4">
        <f t="shared" si="2"/>
        <v>240</v>
      </c>
      <c r="B245" s="19" t="s">
        <v>439</v>
      </c>
      <c r="C245" s="17">
        <v>2</v>
      </c>
      <c r="D245" s="21" t="s">
        <v>27</v>
      </c>
      <c r="E245" s="56" t="s">
        <v>440</v>
      </c>
    </row>
    <row r="246" spans="1:5" s="37" customFormat="1">
      <c r="A246" s="33">
        <f t="shared" si="2"/>
        <v>241</v>
      </c>
      <c r="B246" s="34" t="s">
        <v>441</v>
      </c>
      <c r="C246" s="35">
        <v>166</v>
      </c>
      <c r="D246" s="21" t="s">
        <v>244</v>
      </c>
      <c r="E246" s="36" t="s">
        <v>442</v>
      </c>
    </row>
    <row r="247" spans="1:5" s="37" customFormat="1">
      <c r="A247" s="33">
        <f t="shared" si="2"/>
        <v>242</v>
      </c>
      <c r="B247" s="34" t="s">
        <v>443</v>
      </c>
      <c r="C247" s="35">
        <v>166</v>
      </c>
      <c r="D247" s="21" t="s">
        <v>244</v>
      </c>
      <c r="E247" s="36" t="s">
        <v>444</v>
      </c>
    </row>
    <row r="248" spans="1:5" s="37" customFormat="1">
      <c r="A248" s="33">
        <f t="shared" si="2"/>
        <v>243</v>
      </c>
      <c r="B248" s="34" t="s">
        <v>445</v>
      </c>
      <c r="C248" s="35">
        <v>166</v>
      </c>
      <c r="D248" s="21" t="s">
        <v>244</v>
      </c>
      <c r="E248" s="36" t="s">
        <v>446</v>
      </c>
    </row>
    <row r="249" spans="1:5" s="37" customFormat="1">
      <c r="A249" s="33">
        <f t="shared" si="2"/>
        <v>244</v>
      </c>
      <c r="B249" s="34" t="s">
        <v>447</v>
      </c>
      <c r="C249" s="35">
        <v>166</v>
      </c>
      <c r="D249" s="21" t="s">
        <v>244</v>
      </c>
      <c r="E249" s="36" t="s">
        <v>448</v>
      </c>
    </row>
    <row r="250" spans="1:5" s="37" customFormat="1">
      <c r="A250" s="33">
        <f t="shared" si="2"/>
        <v>245</v>
      </c>
      <c r="B250" s="34" t="s">
        <v>449</v>
      </c>
      <c r="C250" s="35">
        <v>166</v>
      </c>
      <c r="D250" s="21" t="s">
        <v>244</v>
      </c>
      <c r="E250" s="36" t="s">
        <v>450</v>
      </c>
    </row>
    <row r="251" spans="1:5" s="37" customFormat="1">
      <c r="A251" s="33">
        <f>A250+1</f>
        <v>246</v>
      </c>
      <c r="B251" s="34" t="s">
        <v>451</v>
      </c>
      <c r="C251" s="35">
        <v>166</v>
      </c>
      <c r="D251" s="21" t="s">
        <v>244</v>
      </c>
      <c r="E251" s="36" t="s">
        <v>452</v>
      </c>
    </row>
    <row r="252" spans="1:5" s="37" customFormat="1" ht="60">
      <c r="A252" s="33">
        <f>A251+1</f>
        <v>247</v>
      </c>
      <c r="B252" s="34" t="s">
        <v>453</v>
      </c>
      <c r="C252" s="35">
        <v>1</v>
      </c>
      <c r="D252" s="21" t="s">
        <v>30</v>
      </c>
      <c r="E252" s="36" t="s">
        <v>454</v>
      </c>
    </row>
    <row r="253" spans="1:5">
      <c r="A253" s="33">
        <f>A252+1</f>
        <v>248</v>
      </c>
      <c r="B253" s="34" t="s">
        <v>455</v>
      </c>
      <c r="C253" s="35">
        <v>40</v>
      </c>
      <c r="D253" s="21" t="s">
        <v>456</v>
      </c>
      <c r="E253" s="36" t="s">
        <v>457</v>
      </c>
    </row>
  </sheetData>
  <autoFilter ref="A5:E252" xr:uid="{00000000-0009-0000-0000-000000000000}"/>
  <mergeCells count="3">
    <mergeCell ref="C1:E1"/>
    <mergeCell ref="A3:E3"/>
    <mergeCell ref="A4:E4"/>
  </mergeCells>
  <printOptions horizontalCentered="1"/>
  <pageMargins left="0.45" right="0.45" top="0.75" bottom="0.75" header="0.3" footer="0.3"/>
  <pageSetup scale="80" orientation="portrait" r:id="rId1"/>
  <headerFooter>
    <firstHeader>&amp;C&amp;G</firstHeader>
    <firstFooter>&amp;L&amp;"Book Antiqua,Regular"&amp;10LPS Applied Analytics&amp;"-,Regular"&amp;11 &amp;C&amp;"Book Antiqua,Regular"&amp;10CONFIDENTIAL / PROPRIETARY&amp;R&amp;"Book Antiqua,Regular"&amp;10Page &amp;P of &amp;N</first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5"/>
  <sheetViews>
    <sheetView tabSelected="1" zoomScaleNormal="100" workbookViewId="0">
      <pane ySplit="5" topLeftCell="A11" activePane="bottomLeft" state="frozenSplit"/>
      <selection pane="bottomLeft" activeCell="A5" sqref="A5"/>
    </sheetView>
  </sheetViews>
  <sheetFormatPr defaultColWidth="9.140625" defaultRowHeight="12"/>
  <cols>
    <col min="1" max="1" width="5.28515625" style="1" customWidth="1"/>
    <col min="2" max="2" width="35.7109375" style="11" customWidth="1"/>
    <col min="3" max="3" width="6.5703125" style="11" customWidth="1"/>
    <col min="4" max="4" width="12.85546875" style="1" customWidth="1"/>
    <col min="5" max="5" width="55.7109375" style="12" customWidth="1"/>
    <col min="6" max="16384" width="9.140625" style="1"/>
  </cols>
  <sheetData>
    <row r="1" spans="1:5" ht="60" customHeight="1">
      <c r="A1" s="26"/>
      <c r="B1" s="29"/>
      <c r="C1" s="85" t="s">
        <v>0</v>
      </c>
      <c r="D1" s="86"/>
      <c r="E1" s="86"/>
    </row>
    <row r="2" spans="1:5" ht="12.6" thickBot="1">
      <c r="A2" s="26"/>
      <c r="B2" s="29"/>
      <c r="C2" s="30"/>
      <c r="D2" s="28"/>
      <c r="E2" s="26"/>
    </row>
    <row r="3" spans="1:5" ht="18.600000000000001">
      <c r="A3" s="78" t="s">
        <v>458</v>
      </c>
      <c r="B3" s="79"/>
      <c r="C3" s="79"/>
      <c r="D3" s="79"/>
      <c r="E3" s="87"/>
    </row>
    <row r="4" spans="1:5" ht="12.6" thickBot="1">
      <c r="A4" s="80" t="s">
        <v>459</v>
      </c>
      <c r="B4" s="81"/>
      <c r="C4" s="81"/>
      <c r="D4" s="81"/>
      <c r="E4" s="88"/>
    </row>
    <row r="5" spans="1:5" s="18" customFormat="1" ht="21">
      <c r="A5" s="31" t="s">
        <v>12</v>
      </c>
      <c r="B5" s="31" t="s">
        <v>13</v>
      </c>
      <c r="C5" s="31" t="s">
        <v>14</v>
      </c>
      <c r="D5" s="31" t="s">
        <v>15</v>
      </c>
      <c r="E5" s="27" t="s">
        <v>16</v>
      </c>
    </row>
    <row r="6" spans="1:5" ht="24">
      <c r="A6" s="4">
        <v>1</v>
      </c>
      <c r="B6" s="3" t="s">
        <v>17</v>
      </c>
      <c r="C6" s="5">
        <v>5</v>
      </c>
      <c r="D6" s="4" t="s">
        <v>18</v>
      </c>
      <c r="E6" s="3" t="s">
        <v>19</v>
      </c>
    </row>
    <row r="7" spans="1:5" ht="24">
      <c r="A7" s="4">
        <v>2</v>
      </c>
      <c r="B7" s="6" t="s">
        <v>32</v>
      </c>
      <c r="C7" s="7">
        <v>60</v>
      </c>
      <c r="D7" s="7" t="s">
        <v>33</v>
      </c>
      <c r="E7" s="6" t="s">
        <v>460</v>
      </c>
    </row>
    <row r="8" spans="1:5">
      <c r="A8" s="4">
        <v>3</v>
      </c>
      <c r="B8" s="3" t="s">
        <v>35</v>
      </c>
      <c r="C8" s="5">
        <v>30</v>
      </c>
      <c r="D8" s="5" t="s">
        <v>36</v>
      </c>
      <c r="E8" s="3" t="s">
        <v>461</v>
      </c>
    </row>
    <row r="9" spans="1:5">
      <c r="A9" s="4">
        <v>4</v>
      </c>
      <c r="B9" s="3" t="s">
        <v>38</v>
      </c>
      <c r="C9" s="5">
        <v>2</v>
      </c>
      <c r="D9" s="5" t="s">
        <v>27</v>
      </c>
      <c r="E9" s="3"/>
    </row>
    <row r="10" spans="1:5">
      <c r="A10" s="4">
        <v>5</v>
      </c>
      <c r="B10" s="3" t="s">
        <v>40</v>
      </c>
      <c r="C10" s="5">
        <v>5</v>
      </c>
      <c r="D10" s="5" t="s">
        <v>18</v>
      </c>
      <c r="E10" s="3"/>
    </row>
    <row r="11" spans="1:5">
      <c r="A11" s="4">
        <v>6</v>
      </c>
      <c r="B11" s="3" t="s">
        <v>42</v>
      </c>
      <c r="C11" s="5">
        <v>4</v>
      </c>
      <c r="D11" s="5" t="s">
        <v>43</v>
      </c>
      <c r="E11" s="3"/>
    </row>
    <row r="12" spans="1:5">
      <c r="A12" s="4">
        <v>7</v>
      </c>
      <c r="B12" s="3" t="s">
        <v>45</v>
      </c>
      <c r="C12" s="4">
        <v>4</v>
      </c>
      <c r="D12" s="4" t="s">
        <v>43</v>
      </c>
      <c r="E12" s="3" t="s">
        <v>462</v>
      </c>
    </row>
    <row r="13" spans="1:5">
      <c r="A13" s="4">
        <v>8</v>
      </c>
      <c r="B13" s="3" t="s">
        <v>47</v>
      </c>
      <c r="C13" s="5">
        <v>11</v>
      </c>
      <c r="D13" s="5" t="s">
        <v>48</v>
      </c>
      <c r="E13" s="3" t="s">
        <v>463</v>
      </c>
    </row>
    <row r="14" spans="1:5">
      <c r="A14" s="4">
        <v>9</v>
      </c>
      <c r="B14" s="3" t="s">
        <v>50</v>
      </c>
      <c r="C14" s="4">
        <v>13</v>
      </c>
      <c r="D14" s="4" t="s">
        <v>51</v>
      </c>
      <c r="E14" s="3"/>
    </row>
    <row r="15" spans="1:5">
      <c r="A15" s="4">
        <v>10</v>
      </c>
      <c r="B15" s="3" t="s">
        <v>53</v>
      </c>
      <c r="C15" s="4">
        <v>2</v>
      </c>
      <c r="D15" s="4" t="s">
        <v>27</v>
      </c>
      <c r="E15" s="3"/>
    </row>
    <row r="16" spans="1:5">
      <c r="A16" s="4">
        <v>11</v>
      </c>
      <c r="B16" s="3" t="s">
        <v>55</v>
      </c>
      <c r="C16" s="4">
        <v>40</v>
      </c>
      <c r="D16" s="4" t="s">
        <v>56</v>
      </c>
      <c r="E16" s="3"/>
    </row>
    <row r="17" spans="1:5">
      <c r="A17" s="4">
        <v>12</v>
      </c>
      <c r="B17" s="3" t="s">
        <v>57</v>
      </c>
      <c r="C17" s="4">
        <v>4</v>
      </c>
      <c r="D17" s="4" t="s">
        <v>43</v>
      </c>
      <c r="E17" s="3" t="s">
        <v>462</v>
      </c>
    </row>
    <row r="18" spans="1:5">
      <c r="A18" s="4">
        <v>13</v>
      </c>
      <c r="B18" s="3" t="s">
        <v>59</v>
      </c>
      <c r="C18" s="4">
        <v>2</v>
      </c>
      <c r="D18" s="4" t="s">
        <v>27</v>
      </c>
      <c r="E18" s="3"/>
    </row>
    <row r="19" spans="1:5">
      <c r="A19" s="4">
        <v>14</v>
      </c>
      <c r="B19" s="3" t="s">
        <v>61</v>
      </c>
      <c r="C19" s="4">
        <v>4</v>
      </c>
      <c r="D19" s="4" t="s">
        <v>43</v>
      </c>
      <c r="E19" s="3" t="s">
        <v>62</v>
      </c>
    </row>
    <row r="20" spans="1:5">
      <c r="A20" s="4">
        <f>A19+1</f>
        <v>15</v>
      </c>
      <c r="B20" s="3" t="s">
        <v>63</v>
      </c>
      <c r="C20" s="4">
        <v>10</v>
      </c>
      <c r="D20" s="4" t="s">
        <v>64</v>
      </c>
      <c r="E20" s="3" t="s">
        <v>65</v>
      </c>
    </row>
    <row r="21" spans="1:5">
      <c r="A21" s="4">
        <f t="shared" ref="A21:A84" si="0">A20+1</f>
        <v>16</v>
      </c>
      <c r="B21" s="3" t="s">
        <v>66</v>
      </c>
      <c r="C21" s="4">
        <v>11</v>
      </c>
      <c r="D21" s="4" t="s">
        <v>64</v>
      </c>
      <c r="E21" s="3" t="s">
        <v>67</v>
      </c>
    </row>
    <row r="22" spans="1:5">
      <c r="A22" s="4">
        <f t="shared" si="0"/>
        <v>17</v>
      </c>
      <c r="B22" s="3" t="s">
        <v>464</v>
      </c>
      <c r="C22" s="5">
        <v>8</v>
      </c>
      <c r="D22" s="5" t="s">
        <v>121</v>
      </c>
      <c r="E22" s="3" t="s">
        <v>465</v>
      </c>
    </row>
    <row r="23" spans="1:5" ht="24">
      <c r="A23" s="4">
        <f t="shared" si="0"/>
        <v>18</v>
      </c>
      <c r="B23" s="3" t="s">
        <v>466</v>
      </c>
      <c r="C23" s="5">
        <v>10</v>
      </c>
      <c r="D23" s="5" t="s">
        <v>116</v>
      </c>
      <c r="E23" s="3" t="s">
        <v>467</v>
      </c>
    </row>
    <row r="24" spans="1:5">
      <c r="A24" s="4">
        <f t="shared" si="0"/>
        <v>19</v>
      </c>
      <c r="B24" s="3" t="s">
        <v>468</v>
      </c>
      <c r="C24" s="5">
        <v>10</v>
      </c>
      <c r="D24" s="5" t="s">
        <v>116</v>
      </c>
      <c r="E24" s="3" t="s">
        <v>469</v>
      </c>
    </row>
    <row r="25" spans="1:5" ht="24">
      <c r="A25" s="4">
        <f t="shared" si="0"/>
        <v>20</v>
      </c>
      <c r="B25" s="3" t="s">
        <v>470</v>
      </c>
      <c r="C25" s="5">
        <v>20</v>
      </c>
      <c r="D25" s="5" t="s">
        <v>113</v>
      </c>
      <c r="E25" s="3" t="s">
        <v>471</v>
      </c>
    </row>
    <row r="26" spans="1:5">
      <c r="A26" s="4">
        <f t="shared" si="0"/>
        <v>21</v>
      </c>
      <c r="B26" s="3" t="s">
        <v>472</v>
      </c>
      <c r="C26" s="5">
        <v>2</v>
      </c>
      <c r="D26" s="5" t="s">
        <v>27</v>
      </c>
      <c r="E26" s="3" t="s">
        <v>473</v>
      </c>
    </row>
    <row r="27" spans="1:5" ht="24">
      <c r="A27" s="4">
        <f t="shared" si="0"/>
        <v>22</v>
      </c>
      <c r="B27" s="3" t="s">
        <v>23</v>
      </c>
      <c r="C27" s="5">
        <v>45</v>
      </c>
      <c r="D27" s="5" t="s">
        <v>24</v>
      </c>
      <c r="E27" s="3" t="s">
        <v>474</v>
      </c>
    </row>
    <row r="28" spans="1:5" ht="24">
      <c r="A28" s="4">
        <f t="shared" si="0"/>
        <v>23</v>
      </c>
      <c r="B28" s="3" t="s">
        <v>475</v>
      </c>
      <c r="C28" s="5">
        <v>1</v>
      </c>
      <c r="D28" s="5" t="s">
        <v>30</v>
      </c>
      <c r="E28" s="3" t="s">
        <v>476</v>
      </c>
    </row>
    <row r="29" spans="1:5" ht="132">
      <c r="A29" s="4">
        <f t="shared" si="0"/>
        <v>24</v>
      </c>
      <c r="B29" s="6" t="s">
        <v>477</v>
      </c>
      <c r="C29" s="7">
        <v>2</v>
      </c>
      <c r="D29" s="7" t="s">
        <v>27</v>
      </c>
      <c r="E29" s="6" t="s">
        <v>478</v>
      </c>
    </row>
    <row r="30" spans="1:5" ht="24">
      <c r="A30" s="4">
        <f t="shared" si="0"/>
        <v>25</v>
      </c>
      <c r="B30" s="6" t="s">
        <v>479</v>
      </c>
      <c r="C30" s="7">
        <v>40</v>
      </c>
      <c r="D30" s="7" t="s">
        <v>56</v>
      </c>
      <c r="E30" s="6" t="s">
        <v>480</v>
      </c>
    </row>
    <row r="31" spans="1:5" ht="132">
      <c r="A31" s="4">
        <f t="shared" si="0"/>
        <v>26</v>
      </c>
      <c r="B31" s="6" t="s">
        <v>481</v>
      </c>
      <c r="C31" s="7">
        <v>40</v>
      </c>
      <c r="D31" s="7" t="s">
        <v>56</v>
      </c>
      <c r="E31" s="3" t="s">
        <v>482</v>
      </c>
    </row>
    <row r="32" spans="1:5" ht="24">
      <c r="A32" s="4">
        <f t="shared" si="0"/>
        <v>27</v>
      </c>
      <c r="B32" s="6" t="s">
        <v>483</v>
      </c>
      <c r="C32" s="7">
        <v>2</v>
      </c>
      <c r="D32" s="7" t="s">
        <v>27</v>
      </c>
      <c r="E32" s="3" t="s">
        <v>484</v>
      </c>
    </row>
    <row r="33" spans="1:5">
      <c r="A33" s="4">
        <f t="shared" si="0"/>
        <v>28</v>
      </c>
      <c r="B33" s="6" t="s">
        <v>485</v>
      </c>
      <c r="C33" s="7">
        <v>40</v>
      </c>
      <c r="D33" s="7" t="s">
        <v>56</v>
      </c>
      <c r="E33" s="3" t="s">
        <v>486</v>
      </c>
    </row>
    <row r="34" spans="1:5">
      <c r="A34" s="4">
        <f t="shared" si="0"/>
        <v>29</v>
      </c>
      <c r="B34" s="6" t="s">
        <v>487</v>
      </c>
      <c r="C34" s="7">
        <v>40</v>
      </c>
      <c r="D34" s="7" t="s">
        <v>56</v>
      </c>
      <c r="E34" s="3" t="s">
        <v>488</v>
      </c>
    </row>
    <row r="35" spans="1:5" ht="24">
      <c r="A35" s="4">
        <f t="shared" si="0"/>
        <v>30</v>
      </c>
      <c r="B35" s="32" t="s">
        <v>489</v>
      </c>
      <c r="C35" s="16">
        <v>2</v>
      </c>
      <c r="D35" s="7" t="s">
        <v>27</v>
      </c>
      <c r="E35" s="3" t="s">
        <v>484</v>
      </c>
    </row>
    <row r="36" spans="1:5" ht="24">
      <c r="A36" s="4">
        <f t="shared" si="0"/>
        <v>31</v>
      </c>
      <c r="B36" s="6" t="s">
        <v>490</v>
      </c>
      <c r="C36" s="7">
        <v>40</v>
      </c>
      <c r="D36" s="7" t="s">
        <v>56</v>
      </c>
      <c r="E36" s="3" t="s">
        <v>491</v>
      </c>
    </row>
    <row r="37" spans="1:5" ht="132">
      <c r="A37" s="4">
        <f t="shared" si="0"/>
        <v>32</v>
      </c>
      <c r="B37" s="6" t="s">
        <v>492</v>
      </c>
      <c r="C37" s="7">
        <v>40</v>
      </c>
      <c r="D37" s="7" t="s">
        <v>56</v>
      </c>
      <c r="E37" s="3" t="s">
        <v>493</v>
      </c>
    </row>
    <row r="38" spans="1:5" ht="24">
      <c r="A38" s="4">
        <f t="shared" si="0"/>
        <v>33</v>
      </c>
      <c r="B38" s="6" t="s">
        <v>494</v>
      </c>
      <c r="C38" s="7">
        <v>2</v>
      </c>
      <c r="D38" s="7" t="s">
        <v>27</v>
      </c>
      <c r="E38" s="3" t="s">
        <v>495</v>
      </c>
    </row>
    <row r="39" spans="1:5">
      <c r="A39" s="4">
        <f t="shared" si="0"/>
        <v>34</v>
      </c>
      <c r="B39" s="6" t="s">
        <v>496</v>
      </c>
      <c r="C39" s="7">
        <v>40</v>
      </c>
      <c r="D39" s="7" t="s">
        <v>56</v>
      </c>
      <c r="E39" s="3" t="s">
        <v>497</v>
      </c>
    </row>
    <row r="40" spans="1:5">
      <c r="A40" s="4">
        <f t="shared" si="0"/>
        <v>35</v>
      </c>
      <c r="B40" s="6" t="s">
        <v>498</v>
      </c>
      <c r="C40" s="7">
        <v>40</v>
      </c>
      <c r="D40" s="7" t="s">
        <v>56</v>
      </c>
      <c r="E40" s="3" t="s">
        <v>499</v>
      </c>
    </row>
    <row r="41" spans="1:5" ht="24">
      <c r="A41" s="4">
        <f t="shared" si="0"/>
        <v>36</v>
      </c>
      <c r="B41" s="6" t="s">
        <v>500</v>
      </c>
      <c r="C41" s="7">
        <v>2</v>
      </c>
      <c r="D41" s="7" t="s">
        <v>27</v>
      </c>
      <c r="E41" s="3" t="s">
        <v>495</v>
      </c>
    </row>
    <row r="42" spans="1:5" ht="72">
      <c r="A42" s="4">
        <f t="shared" si="0"/>
        <v>37</v>
      </c>
      <c r="B42" s="6" t="s">
        <v>501</v>
      </c>
      <c r="C42" s="7">
        <v>2</v>
      </c>
      <c r="D42" s="7" t="s">
        <v>27</v>
      </c>
      <c r="E42" s="6" t="s">
        <v>502</v>
      </c>
    </row>
    <row r="43" spans="1:5" ht="84">
      <c r="A43" s="4">
        <f t="shared" si="0"/>
        <v>38</v>
      </c>
      <c r="B43" s="6" t="s">
        <v>503</v>
      </c>
      <c r="C43" s="7">
        <v>19</v>
      </c>
      <c r="D43" s="7" t="s">
        <v>504</v>
      </c>
      <c r="E43" s="6" t="s">
        <v>505</v>
      </c>
    </row>
    <row r="44" spans="1:5" s="10" customFormat="1">
      <c r="A44" s="4">
        <f t="shared" si="0"/>
        <v>39</v>
      </c>
      <c r="B44" s="3" t="s">
        <v>506</v>
      </c>
      <c r="C44" s="5">
        <v>30</v>
      </c>
      <c r="D44" s="5" t="s">
        <v>36</v>
      </c>
      <c r="E44" s="3" t="s">
        <v>507</v>
      </c>
    </row>
    <row r="45" spans="1:5" s="10" customFormat="1" ht="24">
      <c r="A45" s="4">
        <f t="shared" si="0"/>
        <v>40</v>
      </c>
      <c r="B45" s="3" t="s">
        <v>508</v>
      </c>
      <c r="C45" s="5">
        <v>2</v>
      </c>
      <c r="D45" s="5" t="s">
        <v>27</v>
      </c>
      <c r="E45" s="3" t="s">
        <v>87</v>
      </c>
    </row>
    <row r="46" spans="1:5" s="10" customFormat="1">
      <c r="A46" s="4">
        <f t="shared" si="0"/>
        <v>41</v>
      </c>
      <c r="B46" s="3" t="s">
        <v>509</v>
      </c>
      <c r="C46" s="5">
        <v>5</v>
      </c>
      <c r="D46" s="5" t="s">
        <v>18</v>
      </c>
      <c r="E46" s="3"/>
    </row>
    <row r="47" spans="1:5" s="10" customFormat="1" ht="24">
      <c r="A47" s="4">
        <f t="shared" si="0"/>
        <v>42</v>
      </c>
      <c r="B47" s="3" t="s">
        <v>510</v>
      </c>
      <c r="C47" s="5">
        <v>4</v>
      </c>
      <c r="D47" s="5" t="s">
        <v>43</v>
      </c>
      <c r="E47" s="3" t="s">
        <v>90</v>
      </c>
    </row>
    <row r="48" spans="1:5" ht="24">
      <c r="A48" s="4">
        <f t="shared" si="0"/>
        <v>43</v>
      </c>
      <c r="B48" s="6" t="s">
        <v>149</v>
      </c>
      <c r="C48" s="7">
        <v>2</v>
      </c>
      <c r="D48" s="7" t="s">
        <v>27</v>
      </c>
      <c r="E48" s="3" t="s">
        <v>511</v>
      </c>
    </row>
    <row r="49" spans="1:5" ht="48">
      <c r="A49" s="4">
        <f t="shared" si="0"/>
        <v>44</v>
      </c>
      <c r="B49" s="6" t="s">
        <v>512</v>
      </c>
      <c r="C49" s="7">
        <v>10</v>
      </c>
      <c r="D49" s="7" t="s">
        <v>116</v>
      </c>
      <c r="E49" s="3" t="s">
        <v>513</v>
      </c>
    </row>
    <row r="50" spans="1:5">
      <c r="A50" s="4">
        <f t="shared" si="0"/>
        <v>45</v>
      </c>
      <c r="B50" s="6" t="s">
        <v>514</v>
      </c>
      <c r="C50" s="7">
        <v>7</v>
      </c>
      <c r="D50" s="7" t="s">
        <v>152</v>
      </c>
      <c r="E50" s="3" t="s">
        <v>515</v>
      </c>
    </row>
    <row r="51" spans="1:5" ht="24">
      <c r="A51" s="4">
        <f t="shared" si="0"/>
        <v>46</v>
      </c>
      <c r="B51" s="6" t="s">
        <v>516</v>
      </c>
      <c r="C51" s="7">
        <v>7</v>
      </c>
      <c r="D51" s="7" t="s">
        <v>152</v>
      </c>
      <c r="E51" s="3" t="s">
        <v>517</v>
      </c>
    </row>
    <row r="52" spans="1:5" ht="36">
      <c r="A52" s="4">
        <f t="shared" si="0"/>
        <v>47</v>
      </c>
      <c r="B52" s="6" t="s">
        <v>518</v>
      </c>
      <c r="C52" s="7">
        <v>7</v>
      </c>
      <c r="D52" s="7" t="s">
        <v>152</v>
      </c>
      <c r="E52" s="3" t="s">
        <v>519</v>
      </c>
    </row>
    <row r="53" spans="1:5" ht="24">
      <c r="A53" s="4">
        <f t="shared" si="0"/>
        <v>48</v>
      </c>
      <c r="B53" s="6" t="s">
        <v>520</v>
      </c>
      <c r="C53" s="7">
        <v>7</v>
      </c>
      <c r="D53" s="7" t="s">
        <v>152</v>
      </c>
      <c r="E53" s="3" t="s">
        <v>521</v>
      </c>
    </row>
    <row r="54" spans="1:5" ht="24">
      <c r="A54" s="4">
        <f t="shared" si="0"/>
        <v>49</v>
      </c>
      <c r="B54" s="6" t="s">
        <v>522</v>
      </c>
      <c r="C54" s="7">
        <v>6</v>
      </c>
      <c r="D54" s="7" t="s">
        <v>164</v>
      </c>
      <c r="E54" s="3" t="s">
        <v>523</v>
      </c>
    </row>
    <row r="55" spans="1:5" ht="36">
      <c r="A55" s="4">
        <f t="shared" si="0"/>
        <v>50</v>
      </c>
      <c r="B55" s="3" t="s">
        <v>524</v>
      </c>
      <c r="C55" s="5">
        <v>30</v>
      </c>
      <c r="D55" s="5" t="s">
        <v>36</v>
      </c>
      <c r="E55" s="3" t="s">
        <v>525</v>
      </c>
    </row>
    <row r="56" spans="1:5">
      <c r="A56" s="4">
        <f t="shared" si="0"/>
        <v>51</v>
      </c>
      <c r="B56" s="3" t="s">
        <v>168</v>
      </c>
      <c r="C56" s="5">
        <v>50</v>
      </c>
      <c r="D56" s="5" t="s">
        <v>526</v>
      </c>
      <c r="E56" s="3" t="s">
        <v>527</v>
      </c>
    </row>
    <row r="57" spans="1:5">
      <c r="A57" s="4">
        <f t="shared" si="0"/>
        <v>52</v>
      </c>
      <c r="B57" s="6" t="s">
        <v>528</v>
      </c>
      <c r="C57" s="7">
        <v>7</v>
      </c>
      <c r="D57" s="7" t="s">
        <v>152</v>
      </c>
      <c r="E57" s="3" t="s">
        <v>529</v>
      </c>
    </row>
    <row r="58" spans="1:5" ht="24">
      <c r="A58" s="4">
        <f t="shared" si="0"/>
        <v>53</v>
      </c>
      <c r="B58" s="6" t="s">
        <v>172</v>
      </c>
      <c r="C58" s="7">
        <v>10</v>
      </c>
      <c r="D58" s="7" t="s">
        <v>116</v>
      </c>
      <c r="E58" s="3" t="s">
        <v>530</v>
      </c>
    </row>
    <row r="59" spans="1:5" ht="36">
      <c r="A59" s="4">
        <f t="shared" si="0"/>
        <v>54</v>
      </c>
      <c r="B59" s="6" t="s">
        <v>143</v>
      </c>
      <c r="C59" s="7">
        <v>200</v>
      </c>
      <c r="D59" s="7" t="s">
        <v>531</v>
      </c>
      <c r="E59" s="3" t="s">
        <v>532</v>
      </c>
    </row>
    <row r="60" spans="1:5" ht="24">
      <c r="A60" s="4">
        <f t="shared" si="0"/>
        <v>55</v>
      </c>
      <c r="B60" s="6" t="s">
        <v>174</v>
      </c>
      <c r="C60" s="7">
        <v>30</v>
      </c>
      <c r="D60" s="7" t="s">
        <v>36</v>
      </c>
      <c r="E60" s="6" t="s">
        <v>175</v>
      </c>
    </row>
    <row r="61" spans="1:5" ht="36">
      <c r="A61" s="4">
        <f t="shared" si="0"/>
        <v>56</v>
      </c>
      <c r="B61" s="6" t="s">
        <v>533</v>
      </c>
      <c r="C61" s="7">
        <v>20</v>
      </c>
      <c r="D61" s="7" t="s">
        <v>113</v>
      </c>
      <c r="E61" s="3" t="s">
        <v>534</v>
      </c>
    </row>
    <row r="62" spans="1:5">
      <c r="A62" s="4">
        <f t="shared" si="0"/>
        <v>57</v>
      </c>
      <c r="B62" s="6" t="s">
        <v>535</v>
      </c>
      <c r="C62" s="7">
        <v>1</v>
      </c>
      <c r="D62" s="7" t="s">
        <v>30</v>
      </c>
      <c r="E62" s="3" t="s">
        <v>473</v>
      </c>
    </row>
    <row r="63" spans="1:5" ht="24">
      <c r="A63" s="4">
        <f t="shared" si="0"/>
        <v>58</v>
      </c>
      <c r="B63" s="6" t="s">
        <v>536</v>
      </c>
      <c r="C63" s="7">
        <v>3</v>
      </c>
      <c r="D63" s="7" t="s">
        <v>315</v>
      </c>
      <c r="E63" s="3" t="s">
        <v>537</v>
      </c>
    </row>
    <row r="64" spans="1:5" ht="24">
      <c r="A64" s="4">
        <f t="shared" si="0"/>
        <v>59</v>
      </c>
      <c r="B64" s="6" t="s">
        <v>538</v>
      </c>
      <c r="C64" s="5">
        <v>8</v>
      </c>
      <c r="D64" s="5" t="s">
        <v>121</v>
      </c>
      <c r="E64" s="3" t="s">
        <v>539</v>
      </c>
    </row>
    <row r="65" spans="1:5" ht="60">
      <c r="A65" s="4">
        <f t="shared" si="0"/>
        <v>60</v>
      </c>
      <c r="B65" s="3" t="s">
        <v>540</v>
      </c>
      <c r="C65" s="5">
        <v>10</v>
      </c>
      <c r="D65" s="17" t="s">
        <v>21</v>
      </c>
      <c r="E65" s="3" t="s">
        <v>541</v>
      </c>
    </row>
    <row r="66" spans="1:5">
      <c r="A66" s="4">
        <f t="shared" si="0"/>
        <v>61</v>
      </c>
      <c r="B66" s="3" t="s">
        <v>542</v>
      </c>
      <c r="C66" s="5">
        <v>1</v>
      </c>
      <c r="D66" s="17" t="s">
        <v>30</v>
      </c>
      <c r="E66" s="3" t="s">
        <v>462</v>
      </c>
    </row>
    <row r="67" spans="1:5" ht="36">
      <c r="A67" s="4">
        <f t="shared" si="0"/>
        <v>62</v>
      </c>
      <c r="B67" s="6" t="s">
        <v>543</v>
      </c>
      <c r="C67" s="17">
        <v>8</v>
      </c>
      <c r="D67" s="17" t="s">
        <v>188</v>
      </c>
      <c r="E67" s="3" t="s">
        <v>544</v>
      </c>
    </row>
    <row r="68" spans="1:5" ht="72">
      <c r="A68" s="4">
        <f t="shared" si="0"/>
        <v>63</v>
      </c>
      <c r="B68" s="6" t="s">
        <v>545</v>
      </c>
      <c r="C68" s="17">
        <v>8</v>
      </c>
      <c r="D68" s="17" t="s">
        <v>64</v>
      </c>
      <c r="E68" s="3" t="s">
        <v>546</v>
      </c>
    </row>
    <row r="69" spans="1:5" ht="36">
      <c r="A69" s="4">
        <f t="shared" si="0"/>
        <v>64</v>
      </c>
      <c r="B69" s="6" t="s">
        <v>547</v>
      </c>
      <c r="C69" s="17">
        <v>8</v>
      </c>
      <c r="D69" s="17" t="s">
        <v>64</v>
      </c>
      <c r="E69" s="3" t="s">
        <v>548</v>
      </c>
    </row>
    <row r="70" spans="1:5" ht="96">
      <c r="A70" s="4">
        <f t="shared" si="0"/>
        <v>65</v>
      </c>
      <c r="B70" s="6" t="s">
        <v>549</v>
      </c>
      <c r="C70" s="7">
        <v>40</v>
      </c>
      <c r="D70" s="16" t="s">
        <v>56</v>
      </c>
      <c r="E70" s="6" t="s">
        <v>550</v>
      </c>
    </row>
    <row r="71" spans="1:5">
      <c r="A71" s="4">
        <f t="shared" si="0"/>
        <v>66</v>
      </c>
      <c r="B71" s="6" t="s">
        <v>551</v>
      </c>
      <c r="C71" s="7">
        <v>1</v>
      </c>
      <c r="D71" s="16" t="s">
        <v>30</v>
      </c>
      <c r="E71" s="3" t="s">
        <v>462</v>
      </c>
    </row>
    <row r="72" spans="1:5" ht="60">
      <c r="A72" s="4">
        <f t="shared" si="0"/>
        <v>67</v>
      </c>
      <c r="B72" s="6" t="s">
        <v>552</v>
      </c>
      <c r="C72" s="5">
        <v>10</v>
      </c>
      <c r="D72" s="17" t="s">
        <v>21</v>
      </c>
      <c r="E72" s="6" t="s">
        <v>553</v>
      </c>
    </row>
    <row r="73" spans="1:5" s="10" customFormat="1" ht="24">
      <c r="A73" s="4">
        <f t="shared" si="0"/>
        <v>68</v>
      </c>
      <c r="B73" s="6" t="s">
        <v>554</v>
      </c>
      <c r="C73" s="7">
        <v>1</v>
      </c>
      <c r="D73" s="16" t="s">
        <v>30</v>
      </c>
      <c r="E73" s="3" t="s">
        <v>555</v>
      </c>
    </row>
    <row r="74" spans="1:5" ht="96">
      <c r="A74" s="4">
        <f t="shared" si="0"/>
        <v>69</v>
      </c>
      <c r="B74" s="6" t="s">
        <v>556</v>
      </c>
      <c r="C74" s="7">
        <v>4</v>
      </c>
      <c r="D74" s="16" t="s">
        <v>43</v>
      </c>
      <c r="E74" s="6" t="s">
        <v>557</v>
      </c>
    </row>
    <row r="75" spans="1:5" ht="24">
      <c r="A75" s="4">
        <f t="shared" si="0"/>
        <v>70</v>
      </c>
      <c r="B75" s="6" t="s">
        <v>558</v>
      </c>
      <c r="C75" s="17">
        <v>4</v>
      </c>
      <c r="D75" s="17" t="s">
        <v>188</v>
      </c>
      <c r="E75" s="15" t="s">
        <v>559</v>
      </c>
    </row>
    <row r="76" spans="1:5" ht="24">
      <c r="A76" s="4">
        <f t="shared" si="0"/>
        <v>71</v>
      </c>
      <c r="B76" s="6" t="s">
        <v>560</v>
      </c>
      <c r="C76" s="7">
        <v>8</v>
      </c>
      <c r="D76" s="16" t="s">
        <v>121</v>
      </c>
      <c r="E76" s="3" t="s">
        <v>561</v>
      </c>
    </row>
    <row r="77" spans="1:5" ht="24">
      <c r="A77" s="4">
        <f t="shared" si="0"/>
        <v>72</v>
      </c>
      <c r="B77" s="6" t="s">
        <v>562</v>
      </c>
      <c r="C77" s="5">
        <v>10</v>
      </c>
      <c r="D77" s="17" t="s">
        <v>21</v>
      </c>
      <c r="E77" s="3" t="s">
        <v>563</v>
      </c>
    </row>
    <row r="78" spans="1:5" ht="24">
      <c r="A78" s="4">
        <f t="shared" si="0"/>
        <v>73</v>
      </c>
      <c r="B78" s="6" t="s">
        <v>564</v>
      </c>
      <c r="C78" s="7">
        <v>60</v>
      </c>
      <c r="D78" s="16" t="s">
        <v>33</v>
      </c>
      <c r="E78" s="6" t="s">
        <v>565</v>
      </c>
    </row>
    <row r="79" spans="1:5">
      <c r="A79" s="4">
        <f t="shared" si="0"/>
        <v>74</v>
      </c>
      <c r="B79" s="3" t="s">
        <v>566</v>
      </c>
      <c r="C79" s="8">
        <v>4</v>
      </c>
      <c r="D79" s="22" t="s">
        <v>43</v>
      </c>
      <c r="E79" s="3" t="s">
        <v>473</v>
      </c>
    </row>
    <row r="80" spans="1:5">
      <c r="A80" s="4">
        <f t="shared" si="0"/>
        <v>75</v>
      </c>
      <c r="B80" s="6" t="s">
        <v>567</v>
      </c>
      <c r="C80" s="8">
        <v>11</v>
      </c>
      <c r="D80" s="22" t="s">
        <v>48</v>
      </c>
      <c r="E80" s="3"/>
    </row>
    <row r="81" spans="1:5">
      <c r="A81" s="4">
        <f t="shared" si="0"/>
        <v>76</v>
      </c>
      <c r="B81" s="3" t="s">
        <v>20</v>
      </c>
      <c r="C81" s="5">
        <v>10</v>
      </c>
      <c r="D81" s="17" t="s">
        <v>21</v>
      </c>
      <c r="E81" s="3" t="s">
        <v>568</v>
      </c>
    </row>
    <row r="82" spans="1:5" ht="24">
      <c r="A82" s="4">
        <f t="shared" si="0"/>
        <v>77</v>
      </c>
      <c r="B82" s="6" t="s">
        <v>569</v>
      </c>
      <c r="C82" s="7">
        <v>40</v>
      </c>
      <c r="D82" s="16" t="s">
        <v>56</v>
      </c>
      <c r="E82" s="3" t="s">
        <v>570</v>
      </c>
    </row>
    <row r="83" spans="1:5" ht="48">
      <c r="A83" s="4">
        <f t="shared" si="0"/>
        <v>78</v>
      </c>
      <c r="B83" s="6" t="s">
        <v>571</v>
      </c>
      <c r="C83" s="7">
        <v>28</v>
      </c>
      <c r="D83" s="7" t="s">
        <v>572</v>
      </c>
      <c r="E83" s="3" t="s">
        <v>573</v>
      </c>
    </row>
    <row r="84" spans="1:5">
      <c r="A84" s="4">
        <f t="shared" si="0"/>
        <v>79</v>
      </c>
      <c r="B84" s="6" t="s">
        <v>574</v>
      </c>
      <c r="C84" s="7">
        <v>1</v>
      </c>
      <c r="D84" s="7" t="s">
        <v>30</v>
      </c>
      <c r="E84" s="3" t="s">
        <v>473</v>
      </c>
    </row>
    <row r="85" spans="1:5">
      <c r="A85" s="4">
        <f t="shared" ref="A85:A115" si="1">A84+1</f>
        <v>80</v>
      </c>
      <c r="B85" s="9" t="s">
        <v>575</v>
      </c>
      <c r="C85" s="8">
        <v>1</v>
      </c>
      <c r="D85" s="8" t="s">
        <v>30</v>
      </c>
      <c r="E85" s="6" t="s">
        <v>576</v>
      </c>
    </row>
    <row r="86" spans="1:5" ht="24">
      <c r="A86" s="4">
        <f t="shared" si="1"/>
        <v>81</v>
      </c>
      <c r="B86" s="9" t="s">
        <v>577</v>
      </c>
      <c r="C86" s="8">
        <v>15</v>
      </c>
      <c r="D86" s="8" t="s">
        <v>177</v>
      </c>
      <c r="E86" s="13" t="s">
        <v>578</v>
      </c>
    </row>
    <row r="87" spans="1:5" ht="48">
      <c r="A87" s="4">
        <f t="shared" si="1"/>
        <v>82</v>
      </c>
      <c r="B87" s="9" t="s">
        <v>579</v>
      </c>
      <c r="C87" s="8">
        <v>4</v>
      </c>
      <c r="D87" s="8" t="s">
        <v>43</v>
      </c>
      <c r="E87" s="3" t="s">
        <v>580</v>
      </c>
    </row>
    <row r="88" spans="1:5" ht="24">
      <c r="A88" s="4">
        <f t="shared" si="1"/>
        <v>83</v>
      </c>
      <c r="B88" s="9" t="s">
        <v>581</v>
      </c>
      <c r="C88" s="8">
        <v>1</v>
      </c>
      <c r="D88" s="8" t="s">
        <v>30</v>
      </c>
      <c r="E88" s="13" t="s">
        <v>582</v>
      </c>
    </row>
    <row r="89" spans="1:5" ht="36">
      <c r="A89" s="4">
        <f t="shared" si="1"/>
        <v>84</v>
      </c>
      <c r="B89" s="9" t="s">
        <v>583</v>
      </c>
      <c r="C89" s="8">
        <v>4</v>
      </c>
      <c r="D89" s="8" t="s">
        <v>43</v>
      </c>
      <c r="E89" s="3" t="s">
        <v>584</v>
      </c>
    </row>
    <row r="90" spans="1:5" ht="36">
      <c r="A90" s="4">
        <f t="shared" si="1"/>
        <v>85</v>
      </c>
      <c r="B90" s="9" t="s">
        <v>585</v>
      </c>
      <c r="C90" s="8">
        <v>4</v>
      </c>
      <c r="D90" s="8" t="s">
        <v>43</v>
      </c>
      <c r="E90" s="3" t="s">
        <v>586</v>
      </c>
    </row>
    <row r="91" spans="1:5" ht="24">
      <c r="A91" s="4">
        <f t="shared" si="1"/>
        <v>86</v>
      </c>
      <c r="B91" s="9" t="s">
        <v>587</v>
      </c>
      <c r="C91" s="8">
        <v>4</v>
      </c>
      <c r="D91" s="8" t="s">
        <v>43</v>
      </c>
      <c r="E91" s="3" t="s">
        <v>588</v>
      </c>
    </row>
    <row r="92" spans="1:5" ht="24">
      <c r="A92" s="4">
        <f t="shared" si="1"/>
        <v>87</v>
      </c>
      <c r="B92" s="6" t="s">
        <v>589</v>
      </c>
      <c r="C92" s="7">
        <v>2</v>
      </c>
      <c r="D92" s="7" t="s">
        <v>27</v>
      </c>
      <c r="E92" s="6" t="s">
        <v>590</v>
      </c>
    </row>
    <row r="93" spans="1:5" ht="24">
      <c r="A93" s="4">
        <f t="shared" si="1"/>
        <v>88</v>
      </c>
      <c r="B93" s="3" t="s">
        <v>591</v>
      </c>
      <c r="C93" s="5">
        <v>1</v>
      </c>
      <c r="D93" s="5" t="s">
        <v>30</v>
      </c>
      <c r="E93" s="3" t="s">
        <v>592</v>
      </c>
    </row>
    <row r="94" spans="1:5" ht="24">
      <c r="A94" s="4">
        <f t="shared" si="1"/>
        <v>89</v>
      </c>
      <c r="B94" s="3" t="s">
        <v>593</v>
      </c>
      <c r="C94" s="5">
        <v>2</v>
      </c>
      <c r="D94" s="5" t="s">
        <v>27</v>
      </c>
      <c r="E94" s="3" t="s">
        <v>594</v>
      </c>
    </row>
    <row r="95" spans="1:5" ht="36">
      <c r="A95" s="4">
        <f t="shared" si="1"/>
        <v>90</v>
      </c>
      <c r="B95" s="3" t="s">
        <v>595</v>
      </c>
      <c r="C95" s="5">
        <v>4</v>
      </c>
      <c r="D95" s="5" t="s">
        <v>43</v>
      </c>
      <c r="E95" s="3" t="s">
        <v>596</v>
      </c>
    </row>
    <row r="96" spans="1:5" ht="24">
      <c r="A96" s="4">
        <f t="shared" si="1"/>
        <v>91</v>
      </c>
      <c r="B96" s="6" t="s">
        <v>597</v>
      </c>
      <c r="C96" s="7">
        <v>1</v>
      </c>
      <c r="D96" s="7" t="s">
        <v>30</v>
      </c>
      <c r="E96" s="6" t="s">
        <v>598</v>
      </c>
    </row>
    <row r="97" spans="1:5" ht="36">
      <c r="A97" s="4">
        <f t="shared" si="1"/>
        <v>92</v>
      </c>
      <c r="B97" s="3" t="s">
        <v>599</v>
      </c>
      <c r="C97" s="5">
        <v>2</v>
      </c>
      <c r="D97" s="5" t="s">
        <v>27</v>
      </c>
      <c r="E97" s="3" t="s">
        <v>600</v>
      </c>
    </row>
    <row r="98" spans="1:5" ht="24">
      <c r="A98" s="4">
        <f t="shared" si="1"/>
        <v>93</v>
      </c>
      <c r="B98" s="3" t="s">
        <v>601</v>
      </c>
      <c r="C98" s="5">
        <v>4</v>
      </c>
      <c r="D98" s="5" t="s">
        <v>43</v>
      </c>
      <c r="E98" s="3" t="s">
        <v>602</v>
      </c>
    </row>
    <row r="99" spans="1:5">
      <c r="A99" s="4">
        <f t="shared" si="1"/>
        <v>94</v>
      </c>
      <c r="B99" s="3" t="s">
        <v>603</v>
      </c>
      <c r="C99" s="5">
        <v>1</v>
      </c>
      <c r="D99" s="5" t="s">
        <v>30</v>
      </c>
      <c r="E99" s="3" t="s">
        <v>604</v>
      </c>
    </row>
    <row r="100" spans="1:5" ht="24">
      <c r="A100" s="4">
        <f t="shared" si="1"/>
        <v>95</v>
      </c>
      <c r="B100" s="3" t="s">
        <v>605</v>
      </c>
      <c r="C100" s="5">
        <v>1</v>
      </c>
      <c r="D100" s="5" t="s">
        <v>30</v>
      </c>
      <c r="E100" s="3" t="s">
        <v>606</v>
      </c>
    </row>
    <row r="101" spans="1:5" ht="24">
      <c r="A101" s="4">
        <f t="shared" si="1"/>
        <v>96</v>
      </c>
      <c r="B101" s="3" t="s">
        <v>607</v>
      </c>
      <c r="C101" s="5">
        <v>1</v>
      </c>
      <c r="D101" s="5" t="s">
        <v>30</v>
      </c>
      <c r="E101" s="3" t="s">
        <v>608</v>
      </c>
    </row>
    <row r="102" spans="1:5">
      <c r="A102" s="4">
        <f t="shared" si="1"/>
        <v>97</v>
      </c>
      <c r="B102" s="3" t="s">
        <v>609</v>
      </c>
      <c r="C102" s="5">
        <v>1</v>
      </c>
      <c r="D102" s="5" t="s">
        <v>30</v>
      </c>
      <c r="E102" s="3" t="s">
        <v>610</v>
      </c>
    </row>
    <row r="103" spans="1:5" ht="24">
      <c r="A103" s="4">
        <f t="shared" si="1"/>
        <v>98</v>
      </c>
      <c r="B103" s="3" t="s">
        <v>611</v>
      </c>
      <c r="C103" s="5">
        <v>1</v>
      </c>
      <c r="D103" s="5" t="s">
        <v>30</v>
      </c>
      <c r="E103" s="3" t="s">
        <v>612</v>
      </c>
    </row>
    <row r="104" spans="1:5" ht="24">
      <c r="A104" s="4">
        <f t="shared" si="1"/>
        <v>99</v>
      </c>
      <c r="B104" s="3" t="s">
        <v>613</v>
      </c>
      <c r="C104" s="5">
        <v>1</v>
      </c>
      <c r="D104" s="5" t="s">
        <v>30</v>
      </c>
      <c r="E104" s="3" t="s">
        <v>614</v>
      </c>
    </row>
    <row r="105" spans="1:5">
      <c r="A105" s="4">
        <f t="shared" si="1"/>
        <v>100</v>
      </c>
      <c r="B105" s="3" t="s">
        <v>615</v>
      </c>
      <c r="C105" s="5">
        <v>1</v>
      </c>
      <c r="D105" s="5" t="s">
        <v>30</v>
      </c>
      <c r="E105" s="3" t="s">
        <v>616</v>
      </c>
    </row>
    <row r="106" spans="1:5">
      <c r="A106" s="4">
        <f t="shared" si="1"/>
        <v>101</v>
      </c>
      <c r="B106" s="3" t="s">
        <v>617</v>
      </c>
      <c r="C106" s="5">
        <v>1</v>
      </c>
      <c r="D106" s="5" t="s">
        <v>30</v>
      </c>
      <c r="E106" s="3" t="s">
        <v>618</v>
      </c>
    </row>
    <row r="107" spans="1:5">
      <c r="A107" s="4">
        <f t="shared" si="1"/>
        <v>102</v>
      </c>
      <c r="B107" s="3" t="s">
        <v>619</v>
      </c>
      <c r="C107" s="5">
        <v>60</v>
      </c>
      <c r="D107" s="5" t="s">
        <v>33</v>
      </c>
      <c r="E107" s="3"/>
    </row>
    <row r="108" spans="1:5">
      <c r="A108" s="4">
        <f t="shared" si="1"/>
        <v>103</v>
      </c>
      <c r="B108" s="3" t="s">
        <v>620</v>
      </c>
      <c r="C108" s="5">
        <v>15</v>
      </c>
      <c r="D108" s="5" t="s">
        <v>177</v>
      </c>
      <c r="E108" s="3"/>
    </row>
    <row r="109" spans="1:5">
      <c r="A109" s="4">
        <f t="shared" si="1"/>
        <v>104</v>
      </c>
      <c r="B109" s="3" t="s">
        <v>621</v>
      </c>
      <c r="C109" s="5">
        <v>30</v>
      </c>
      <c r="D109" s="5" t="s">
        <v>36</v>
      </c>
      <c r="E109" s="3"/>
    </row>
    <row r="110" spans="1:5">
      <c r="A110" s="4">
        <f t="shared" si="1"/>
        <v>105</v>
      </c>
      <c r="B110" s="3" t="s">
        <v>622</v>
      </c>
      <c r="C110" s="5">
        <v>2</v>
      </c>
      <c r="D110" s="5" t="s">
        <v>27</v>
      </c>
      <c r="E110" s="3"/>
    </row>
    <row r="111" spans="1:5">
      <c r="A111" s="4">
        <f t="shared" si="1"/>
        <v>106</v>
      </c>
      <c r="B111" s="3" t="s">
        <v>623</v>
      </c>
      <c r="C111" s="5">
        <v>5</v>
      </c>
      <c r="D111" s="5" t="s">
        <v>18</v>
      </c>
      <c r="E111" s="3"/>
    </row>
    <row r="112" spans="1:5">
      <c r="A112" s="4">
        <f t="shared" si="1"/>
        <v>107</v>
      </c>
      <c r="B112" s="3" t="s">
        <v>624</v>
      </c>
      <c r="C112" s="5">
        <v>4</v>
      </c>
      <c r="D112" s="5" t="s">
        <v>43</v>
      </c>
      <c r="E112" s="3"/>
    </row>
    <row r="113" spans="1:5" ht="72">
      <c r="A113" s="4">
        <f t="shared" si="1"/>
        <v>108</v>
      </c>
      <c r="B113" s="77" t="s">
        <v>625</v>
      </c>
      <c r="C113" s="76">
        <v>2</v>
      </c>
      <c r="D113" s="76" t="s">
        <v>27</v>
      </c>
      <c r="E113" s="77" t="s">
        <v>626</v>
      </c>
    </row>
    <row r="114" spans="1:5" ht="84">
      <c r="A114" s="4">
        <f t="shared" si="1"/>
        <v>109</v>
      </c>
      <c r="B114" s="77" t="s">
        <v>627</v>
      </c>
      <c r="C114" s="76">
        <v>2</v>
      </c>
      <c r="D114" s="76" t="s">
        <v>27</v>
      </c>
      <c r="E114" s="77" t="s">
        <v>628</v>
      </c>
    </row>
    <row r="115" spans="1:5" ht="24">
      <c r="A115" s="4">
        <f t="shared" si="1"/>
        <v>110</v>
      </c>
      <c r="B115" s="3" t="s">
        <v>455</v>
      </c>
      <c r="C115" s="5">
        <v>40</v>
      </c>
      <c r="D115" s="5" t="s">
        <v>56</v>
      </c>
      <c r="E115" s="3" t="s">
        <v>629</v>
      </c>
    </row>
  </sheetData>
  <mergeCells count="3">
    <mergeCell ref="C1:E1"/>
    <mergeCell ref="A3:E3"/>
    <mergeCell ref="A4:E4"/>
  </mergeCells>
  <printOptions horizontalCentered="1"/>
  <pageMargins left="0.45" right="0.45" top="0.75" bottom="0.75" header="0.3" footer="0.3"/>
  <pageSetup scale="80" orientation="portrait" r:id="rId1"/>
  <headerFooter>
    <firstFooter>&amp;L&amp;"Book Antiqua,Regular"&amp;10LPS Applied Analytics&amp;"-,Regular"&amp;11 &amp;C&amp;"Book Antiqua,Regular"&amp;10CONFIDENTIAL / PROPRIETARY&amp;R&amp;"Book Antiqua,Regular"&amp;10Page &amp;P of &amp;N</first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5"/>
  <sheetViews>
    <sheetView zoomScaleNormal="100" workbookViewId="0">
      <pane ySplit="5" topLeftCell="A59" activePane="bottomLeft" state="frozenSplit"/>
      <selection pane="bottomLeft" activeCell="A5" sqref="A5"/>
      <selection sqref="A1:IV1"/>
    </sheetView>
  </sheetViews>
  <sheetFormatPr defaultColWidth="9.140625" defaultRowHeight="12"/>
  <cols>
    <col min="1" max="1" width="5.28515625" style="1" customWidth="1"/>
    <col min="2" max="2" width="35.7109375" style="11" customWidth="1"/>
    <col min="3" max="3" width="7" style="1" customWidth="1"/>
    <col min="4" max="4" width="10.85546875" style="1" customWidth="1"/>
    <col min="5" max="5" width="55.7109375" style="12" customWidth="1"/>
    <col min="6" max="16384" width="9.140625" style="1"/>
  </cols>
  <sheetData>
    <row r="1" spans="1:5" ht="60" customHeight="1">
      <c r="A1" s="26"/>
      <c r="B1" s="29"/>
      <c r="C1" s="85" t="s">
        <v>0</v>
      </c>
      <c r="D1" s="86"/>
      <c r="E1" s="86"/>
    </row>
    <row r="2" spans="1:5" ht="12.6" thickBot="1">
      <c r="A2" s="26"/>
      <c r="B2" s="29"/>
      <c r="C2" s="30"/>
      <c r="D2" s="28"/>
      <c r="E2" s="26"/>
    </row>
    <row r="3" spans="1:5" ht="18.600000000000001">
      <c r="A3" s="78" t="s">
        <v>630</v>
      </c>
      <c r="B3" s="79"/>
      <c r="C3" s="79"/>
      <c r="D3" s="79"/>
      <c r="E3" s="87"/>
    </row>
    <row r="4" spans="1:5" ht="12.6" thickBot="1">
      <c r="A4" s="80" t="s">
        <v>459</v>
      </c>
      <c r="B4" s="81"/>
      <c r="C4" s="81"/>
      <c r="D4" s="81"/>
      <c r="E4" s="88"/>
    </row>
    <row r="5" spans="1:5" s="18" customFormat="1" ht="21">
      <c r="A5" s="31" t="s">
        <v>12</v>
      </c>
      <c r="B5" s="31" t="s">
        <v>13</v>
      </c>
      <c r="C5" s="31" t="s">
        <v>14</v>
      </c>
      <c r="D5" s="31" t="s">
        <v>15</v>
      </c>
      <c r="E5" s="27" t="s">
        <v>16</v>
      </c>
    </row>
    <row r="6" spans="1:5" ht="24">
      <c r="A6" s="4">
        <v>1</v>
      </c>
      <c r="B6" s="3" t="s">
        <v>17</v>
      </c>
      <c r="C6" s="5">
        <v>5</v>
      </c>
      <c r="D6" s="4" t="s">
        <v>18</v>
      </c>
      <c r="E6" s="3" t="s">
        <v>19</v>
      </c>
    </row>
    <row r="7" spans="1:5" ht="24">
      <c r="A7" s="4">
        <v>2</v>
      </c>
      <c r="B7" s="6" t="s">
        <v>32</v>
      </c>
      <c r="C7" s="7">
        <v>60</v>
      </c>
      <c r="D7" s="7" t="s">
        <v>33</v>
      </c>
      <c r="E7" s="6" t="s">
        <v>460</v>
      </c>
    </row>
    <row r="8" spans="1:5">
      <c r="A8" s="4">
        <v>3</v>
      </c>
      <c r="B8" s="3" t="s">
        <v>35</v>
      </c>
      <c r="C8" s="5">
        <v>30</v>
      </c>
      <c r="D8" s="5" t="s">
        <v>36</v>
      </c>
      <c r="E8" s="3" t="s">
        <v>631</v>
      </c>
    </row>
    <row r="9" spans="1:5">
      <c r="A9" s="2">
        <v>4</v>
      </c>
      <c r="B9" s="3" t="s">
        <v>38</v>
      </c>
      <c r="C9" s="5">
        <v>2</v>
      </c>
      <c r="D9" s="5" t="s">
        <v>27</v>
      </c>
      <c r="E9" s="3"/>
    </row>
    <row r="10" spans="1:5">
      <c r="A10" s="4">
        <v>5</v>
      </c>
      <c r="B10" s="3" t="s">
        <v>40</v>
      </c>
      <c r="C10" s="5">
        <v>5</v>
      </c>
      <c r="D10" s="5" t="s">
        <v>18</v>
      </c>
      <c r="E10" s="3"/>
    </row>
    <row r="11" spans="1:5">
      <c r="A11" s="2">
        <v>6</v>
      </c>
      <c r="B11" s="3" t="s">
        <v>42</v>
      </c>
      <c r="C11" s="5">
        <v>4</v>
      </c>
      <c r="D11" s="5" t="s">
        <v>43</v>
      </c>
      <c r="E11" s="3"/>
    </row>
    <row r="12" spans="1:5">
      <c r="A12" s="4">
        <v>7</v>
      </c>
      <c r="B12" s="3" t="s">
        <v>45</v>
      </c>
      <c r="C12" s="4">
        <v>4</v>
      </c>
      <c r="D12" s="4" t="s">
        <v>43</v>
      </c>
      <c r="E12" s="3" t="s">
        <v>462</v>
      </c>
    </row>
    <row r="13" spans="1:5">
      <c r="A13" s="2">
        <v>8</v>
      </c>
      <c r="B13" s="3" t="s">
        <v>47</v>
      </c>
      <c r="C13" s="5">
        <v>11</v>
      </c>
      <c r="D13" s="5" t="s">
        <v>48</v>
      </c>
      <c r="E13" s="3" t="s">
        <v>632</v>
      </c>
    </row>
    <row r="14" spans="1:5">
      <c r="A14" s="4">
        <v>9</v>
      </c>
      <c r="B14" s="3" t="s">
        <v>50</v>
      </c>
      <c r="C14" s="4">
        <v>13</v>
      </c>
      <c r="D14" s="4" t="s">
        <v>51</v>
      </c>
      <c r="E14" s="3"/>
    </row>
    <row r="15" spans="1:5">
      <c r="A15" s="2">
        <v>10</v>
      </c>
      <c r="B15" s="3" t="s">
        <v>53</v>
      </c>
      <c r="C15" s="4">
        <v>2</v>
      </c>
      <c r="D15" s="4" t="s">
        <v>27</v>
      </c>
      <c r="E15" s="3"/>
    </row>
    <row r="16" spans="1:5">
      <c r="A16" s="4">
        <v>11</v>
      </c>
      <c r="B16" s="3" t="s">
        <v>55</v>
      </c>
      <c r="C16" s="4">
        <v>40</v>
      </c>
      <c r="D16" s="4" t="s">
        <v>56</v>
      </c>
      <c r="E16" s="3"/>
    </row>
    <row r="17" spans="1:5">
      <c r="A17" s="2">
        <v>12</v>
      </c>
      <c r="B17" s="3" t="s">
        <v>57</v>
      </c>
      <c r="C17" s="4">
        <v>4</v>
      </c>
      <c r="D17" s="4" t="s">
        <v>43</v>
      </c>
      <c r="E17" s="3" t="s">
        <v>462</v>
      </c>
    </row>
    <row r="18" spans="1:5">
      <c r="A18" s="4">
        <v>13</v>
      </c>
      <c r="B18" s="3" t="s">
        <v>59</v>
      </c>
      <c r="C18" s="4">
        <v>2</v>
      </c>
      <c r="D18" s="4" t="s">
        <v>27</v>
      </c>
      <c r="E18" s="3"/>
    </row>
    <row r="19" spans="1:5">
      <c r="A19" s="2">
        <v>14</v>
      </c>
      <c r="B19" s="3" t="s">
        <v>61</v>
      </c>
      <c r="C19" s="4">
        <v>4</v>
      </c>
      <c r="D19" s="4" t="s">
        <v>43</v>
      </c>
      <c r="E19" s="3" t="s">
        <v>62</v>
      </c>
    </row>
    <row r="20" spans="1:5">
      <c r="A20" s="4">
        <f>A19+1</f>
        <v>15</v>
      </c>
      <c r="B20" s="3" t="s">
        <v>63</v>
      </c>
      <c r="C20" s="4">
        <v>10</v>
      </c>
      <c r="D20" s="4" t="s">
        <v>64</v>
      </c>
      <c r="E20" s="3" t="s">
        <v>65</v>
      </c>
    </row>
    <row r="21" spans="1:5">
      <c r="A21" s="4">
        <f t="shared" ref="A21:A84" si="0">A20+1</f>
        <v>16</v>
      </c>
      <c r="B21" s="3" t="s">
        <v>66</v>
      </c>
      <c r="C21" s="4">
        <v>11</v>
      </c>
      <c r="D21" s="4" t="s">
        <v>64</v>
      </c>
      <c r="E21" s="3" t="s">
        <v>67</v>
      </c>
    </row>
    <row r="22" spans="1:5">
      <c r="A22" s="4">
        <f t="shared" si="0"/>
        <v>17</v>
      </c>
      <c r="B22" s="13" t="s">
        <v>633</v>
      </c>
      <c r="C22" s="14">
        <v>1</v>
      </c>
      <c r="D22" s="14" t="s">
        <v>30</v>
      </c>
      <c r="E22" s="13" t="s">
        <v>462</v>
      </c>
    </row>
    <row r="23" spans="1:5">
      <c r="A23" s="4">
        <f t="shared" si="0"/>
        <v>18</v>
      </c>
      <c r="B23" s="3" t="s">
        <v>464</v>
      </c>
      <c r="C23" s="5">
        <v>8</v>
      </c>
      <c r="D23" s="5" t="s">
        <v>121</v>
      </c>
      <c r="E23" s="3" t="s">
        <v>465</v>
      </c>
    </row>
    <row r="24" spans="1:5" ht="24">
      <c r="A24" s="4">
        <f t="shared" si="0"/>
        <v>19</v>
      </c>
      <c r="B24" s="3" t="s">
        <v>466</v>
      </c>
      <c r="C24" s="5">
        <v>10</v>
      </c>
      <c r="D24" s="5" t="s">
        <v>116</v>
      </c>
      <c r="E24" s="3" t="s">
        <v>467</v>
      </c>
    </row>
    <row r="25" spans="1:5">
      <c r="A25" s="4">
        <f t="shared" si="0"/>
        <v>20</v>
      </c>
      <c r="B25" s="3" t="s">
        <v>468</v>
      </c>
      <c r="C25" s="5">
        <v>10</v>
      </c>
      <c r="D25" s="5" t="s">
        <v>116</v>
      </c>
      <c r="E25" s="3" t="s">
        <v>634</v>
      </c>
    </row>
    <row r="26" spans="1:5" ht="24">
      <c r="A26" s="4">
        <f t="shared" si="0"/>
        <v>21</v>
      </c>
      <c r="B26" s="3" t="s">
        <v>470</v>
      </c>
      <c r="C26" s="5">
        <v>20</v>
      </c>
      <c r="D26" s="5" t="s">
        <v>113</v>
      </c>
      <c r="E26" s="3" t="s">
        <v>471</v>
      </c>
    </row>
    <row r="27" spans="1:5" ht="24">
      <c r="A27" s="4">
        <f t="shared" si="0"/>
        <v>22</v>
      </c>
      <c r="B27" s="3" t="s">
        <v>23</v>
      </c>
      <c r="C27" s="5">
        <v>45</v>
      </c>
      <c r="D27" s="5" t="s">
        <v>24</v>
      </c>
      <c r="E27" s="3" t="s">
        <v>474</v>
      </c>
    </row>
    <row r="28" spans="1:5" ht="24">
      <c r="A28" s="4">
        <f t="shared" si="0"/>
        <v>23</v>
      </c>
      <c r="B28" s="6" t="s">
        <v>635</v>
      </c>
      <c r="C28" s="7">
        <v>40</v>
      </c>
      <c r="D28" s="7" t="s">
        <v>56</v>
      </c>
      <c r="E28" s="3" t="s">
        <v>491</v>
      </c>
    </row>
    <row r="29" spans="1:5" ht="132">
      <c r="A29" s="4">
        <f t="shared" si="0"/>
        <v>24</v>
      </c>
      <c r="B29" s="6" t="s">
        <v>636</v>
      </c>
      <c r="C29" s="7">
        <v>40</v>
      </c>
      <c r="D29" s="7" t="s">
        <v>56</v>
      </c>
      <c r="E29" s="3" t="s">
        <v>637</v>
      </c>
    </row>
    <row r="30" spans="1:5" ht="24">
      <c r="A30" s="4">
        <f t="shared" si="0"/>
        <v>25</v>
      </c>
      <c r="B30" s="6" t="s">
        <v>638</v>
      </c>
      <c r="C30" s="7">
        <v>2</v>
      </c>
      <c r="D30" s="7" t="s">
        <v>27</v>
      </c>
      <c r="E30" s="3" t="s">
        <v>495</v>
      </c>
    </row>
    <row r="31" spans="1:5">
      <c r="A31" s="4">
        <f t="shared" si="0"/>
        <v>26</v>
      </c>
      <c r="B31" s="6" t="s">
        <v>639</v>
      </c>
      <c r="C31" s="7">
        <v>40</v>
      </c>
      <c r="D31" s="7" t="s">
        <v>56</v>
      </c>
      <c r="E31" s="3" t="s">
        <v>640</v>
      </c>
    </row>
    <row r="32" spans="1:5">
      <c r="A32" s="4">
        <f t="shared" si="0"/>
        <v>27</v>
      </c>
      <c r="B32" s="6" t="s">
        <v>641</v>
      </c>
      <c r="C32" s="7">
        <v>40</v>
      </c>
      <c r="D32" s="7" t="s">
        <v>56</v>
      </c>
      <c r="E32" s="3" t="s">
        <v>642</v>
      </c>
    </row>
    <row r="33" spans="1:5">
      <c r="A33" s="4">
        <f t="shared" si="0"/>
        <v>28</v>
      </c>
      <c r="B33" s="6" t="s">
        <v>643</v>
      </c>
      <c r="C33" s="7">
        <v>2</v>
      </c>
      <c r="D33" s="7" t="s">
        <v>27</v>
      </c>
      <c r="E33" s="13" t="s">
        <v>462</v>
      </c>
    </row>
    <row r="34" spans="1:5" ht="72">
      <c r="A34" s="4">
        <f t="shared" si="0"/>
        <v>29</v>
      </c>
      <c r="B34" s="6" t="s">
        <v>644</v>
      </c>
      <c r="C34" s="7">
        <v>2</v>
      </c>
      <c r="D34" s="7" t="s">
        <v>27</v>
      </c>
      <c r="E34" s="6" t="s">
        <v>645</v>
      </c>
    </row>
    <row r="35" spans="1:5" ht="48">
      <c r="A35" s="4">
        <f t="shared" si="0"/>
        <v>30</v>
      </c>
      <c r="B35" s="6" t="s">
        <v>512</v>
      </c>
      <c r="C35" s="7">
        <v>10</v>
      </c>
      <c r="D35" s="7" t="s">
        <v>116</v>
      </c>
      <c r="E35" s="3" t="s">
        <v>646</v>
      </c>
    </row>
    <row r="36" spans="1:5">
      <c r="A36" s="4">
        <f t="shared" si="0"/>
        <v>31</v>
      </c>
      <c r="B36" s="6" t="s">
        <v>514</v>
      </c>
      <c r="C36" s="7">
        <v>7</v>
      </c>
      <c r="D36" s="7" t="s">
        <v>152</v>
      </c>
      <c r="E36" s="3" t="s">
        <v>515</v>
      </c>
    </row>
    <row r="37" spans="1:5" ht="24">
      <c r="A37" s="4">
        <f t="shared" si="0"/>
        <v>32</v>
      </c>
      <c r="B37" s="6" t="s">
        <v>516</v>
      </c>
      <c r="C37" s="7">
        <v>7</v>
      </c>
      <c r="D37" s="7" t="s">
        <v>152</v>
      </c>
      <c r="E37" s="3" t="s">
        <v>647</v>
      </c>
    </row>
    <row r="38" spans="1:5" ht="36">
      <c r="A38" s="4">
        <f t="shared" si="0"/>
        <v>33</v>
      </c>
      <c r="B38" s="6" t="s">
        <v>518</v>
      </c>
      <c r="C38" s="7">
        <v>7</v>
      </c>
      <c r="D38" s="7" t="s">
        <v>152</v>
      </c>
      <c r="E38" s="3" t="s">
        <v>648</v>
      </c>
    </row>
    <row r="39" spans="1:5" ht="24">
      <c r="A39" s="4">
        <f t="shared" si="0"/>
        <v>34</v>
      </c>
      <c r="B39" s="6" t="s">
        <v>520</v>
      </c>
      <c r="C39" s="7">
        <v>7</v>
      </c>
      <c r="D39" s="7" t="s">
        <v>152</v>
      </c>
      <c r="E39" s="3" t="s">
        <v>521</v>
      </c>
    </row>
    <row r="40" spans="1:5" ht="24">
      <c r="A40" s="4">
        <f t="shared" si="0"/>
        <v>35</v>
      </c>
      <c r="B40" s="6" t="s">
        <v>522</v>
      </c>
      <c r="C40" s="7">
        <v>6</v>
      </c>
      <c r="D40" s="7" t="s">
        <v>164</v>
      </c>
      <c r="E40" s="3" t="s">
        <v>523</v>
      </c>
    </row>
    <row r="41" spans="1:5" ht="36">
      <c r="A41" s="4">
        <f t="shared" si="0"/>
        <v>36</v>
      </c>
      <c r="B41" s="3" t="s">
        <v>524</v>
      </c>
      <c r="C41" s="5">
        <v>30</v>
      </c>
      <c r="D41" s="5" t="s">
        <v>36</v>
      </c>
      <c r="E41" s="3" t="s">
        <v>649</v>
      </c>
    </row>
    <row r="42" spans="1:5">
      <c r="A42" s="4">
        <f t="shared" si="0"/>
        <v>37</v>
      </c>
      <c r="B42" s="3" t="s">
        <v>168</v>
      </c>
      <c r="C42" s="5">
        <v>50</v>
      </c>
      <c r="D42" s="5" t="s">
        <v>526</v>
      </c>
      <c r="E42" s="3" t="s">
        <v>527</v>
      </c>
    </row>
    <row r="43" spans="1:5">
      <c r="A43" s="4">
        <f t="shared" si="0"/>
        <v>38</v>
      </c>
      <c r="B43" s="6" t="s">
        <v>528</v>
      </c>
      <c r="C43" s="7">
        <v>7</v>
      </c>
      <c r="D43" s="7" t="s">
        <v>152</v>
      </c>
      <c r="E43" s="3" t="s">
        <v>529</v>
      </c>
    </row>
    <row r="44" spans="1:5" ht="24">
      <c r="A44" s="4">
        <f t="shared" si="0"/>
        <v>39</v>
      </c>
      <c r="B44" s="6" t="s">
        <v>172</v>
      </c>
      <c r="C44" s="7">
        <v>10</v>
      </c>
      <c r="D44" s="7" t="s">
        <v>116</v>
      </c>
      <c r="E44" s="3" t="s">
        <v>530</v>
      </c>
    </row>
    <row r="45" spans="1:5" ht="36">
      <c r="A45" s="4">
        <f t="shared" si="0"/>
        <v>40</v>
      </c>
      <c r="B45" s="20" t="s">
        <v>143</v>
      </c>
      <c r="C45" s="16">
        <v>100</v>
      </c>
      <c r="D45" s="16" t="s">
        <v>650</v>
      </c>
      <c r="E45" s="19" t="s">
        <v>651</v>
      </c>
    </row>
    <row r="46" spans="1:5" ht="24">
      <c r="A46" s="4">
        <f t="shared" si="0"/>
        <v>41</v>
      </c>
      <c r="B46" s="20" t="s">
        <v>174</v>
      </c>
      <c r="C46" s="16">
        <v>30</v>
      </c>
      <c r="D46" s="16" t="s">
        <v>36</v>
      </c>
      <c r="E46" s="20" t="s">
        <v>175</v>
      </c>
    </row>
    <row r="47" spans="1:5" ht="84">
      <c r="A47" s="4">
        <f t="shared" si="0"/>
        <v>42</v>
      </c>
      <c r="B47" s="20" t="s">
        <v>652</v>
      </c>
      <c r="C47" s="16">
        <v>40</v>
      </c>
      <c r="D47" s="16" t="s">
        <v>56</v>
      </c>
      <c r="E47" s="20" t="s">
        <v>653</v>
      </c>
    </row>
    <row r="48" spans="1:5">
      <c r="A48" s="4">
        <f t="shared" si="0"/>
        <v>43</v>
      </c>
      <c r="B48" s="20" t="s">
        <v>654</v>
      </c>
      <c r="C48" s="16">
        <v>6</v>
      </c>
      <c r="D48" s="16" t="s">
        <v>164</v>
      </c>
      <c r="E48" s="20" t="s">
        <v>655</v>
      </c>
    </row>
    <row r="49" spans="1:5">
      <c r="A49" s="4">
        <f t="shared" si="0"/>
        <v>44</v>
      </c>
      <c r="B49" s="20" t="s">
        <v>656</v>
      </c>
      <c r="C49" s="16">
        <v>1</v>
      </c>
      <c r="D49" s="16" t="s">
        <v>30</v>
      </c>
      <c r="E49" s="19" t="s">
        <v>462</v>
      </c>
    </row>
    <row r="50" spans="1:5" ht="48">
      <c r="A50" s="4">
        <f t="shared" si="0"/>
        <v>45</v>
      </c>
      <c r="B50" s="20" t="s">
        <v>657</v>
      </c>
      <c r="C50" s="17">
        <v>10</v>
      </c>
      <c r="D50" s="17" t="s">
        <v>21</v>
      </c>
      <c r="E50" s="20" t="s">
        <v>658</v>
      </c>
    </row>
    <row r="51" spans="1:5" s="10" customFormat="1" ht="24">
      <c r="A51" s="4">
        <f t="shared" si="0"/>
        <v>46</v>
      </c>
      <c r="B51" s="20" t="s">
        <v>659</v>
      </c>
      <c r="C51" s="16">
        <v>1</v>
      </c>
      <c r="D51" s="16" t="s">
        <v>30</v>
      </c>
      <c r="E51" s="19" t="s">
        <v>555</v>
      </c>
    </row>
    <row r="52" spans="1:5" s="10" customFormat="1" ht="84">
      <c r="A52" s="4">
        <f t="shared" si="0"/>
        <v>47</v>
      </c>
      <c r="B52" s="20" t="s">
        <v>660</v>
      </c>
      <c r="C52" s="16">
        <v>4</v>
      </c>
      <c r="D52" s="16" t="s">
        <v>43</v>
      </c>
      <c r="E52" s="20" t="s">
        <v>661</v>
      </c>
    </row>
    <row r="53" spans="1:5" s="10" customFormat="1" ht="24">
      <c r="A53" s="4">
        <f t="shared" si="0"/>
        <v>48</v>
      </c>
      <c r="B53" s="20" t="s">
        <v>662</v>
      </c>
      <c r="C53" s="17">
        <v>4</v>
      </c>
      <c r="D53" s="17" t="s">
        <v>64</v>
      </c>
      <c r="E53" s="23" t="s">
        <v>663</v>
      </c>
    </row>
    <row r="54" spans="1:5" s="10" customFormat="1">
      <c r="A54" s="4">
        <f t="shared" si="0"/>
        <v>49</v>
      </c>
      <c r="B54" s="20" t="s">
        <v>664</v>
      </c>
      <c r="C54" s="17">
        <v>8</v>
      </c>
      <c r="D54" s="17" t="s">
        <v>121</v>
      </c>
      <c r="E54" s="19" t="s">
        <v>665</v>
      </c>
    </row>
    <row r="55" spans="1:5" s="10" customFormat="1">
      <c r="A55" s="4">
        <f t="shared" si="0"/>
        <v>50</v>
      </c>
      <c r="B55" s="24" t="s">
        <v>575</v>
      </c>
      <c r="C55" s="22">
        <v>1</v>
      </c>
      <c r="D55" s="22" t="s">
        <v>30</v>
      </c>
      <c r="E55" s="20" t="s">
        <v>576</v>
      </c>
    </row>
    <row r="56" spans="1:5" ht="24">
      <c r="A56" s="4">
        <f t="shared" si="0"/>
        <v>51</v>
      </c>
      <c r="B56" s="24" t="s">
        <v>577</v>
      </c>
      <c r="C56" s="22">
        <v>15</v>
      </c>
      <c r="D56" s="22" t="s">
        <v>177</v>
      </c>
      <c r="E56" s="25" t="s">
        <v>578</v>
      </c>
    </row>
    <row r="57" spans="1:5" ht="48">
      <c r="A57" s="4">
        <f t="shared" si="0"/>
        <v>52</v>
      </c>
      <c r="B57" s="24" t="s">
        <v>579</v>
      </c>
      <c r="C57" s="22">
        <v>9</v>
      </c>
      <c r="D57" s="22" t="s">
        <v>362</v>
      </c>
      <c r="E57" s="19" t="s">
        <v>580</v>
      </c>
    </row>
    <row r="58" spans="1:5" ht="24">
      <c r="A58" s="4">
        <f t="shared" si="0"/>
        <v>53</v>
      </c>
      <c r="B58" s="24" t="s">
        <v>581</v>
      </c>
      <c r="C58" s="22">
        <v>1</v>
      </c>
      <c r="D58" s="22" t="s">
        <v>30</v>
      </c>
      <c r="E58" s="25" t="s">
        <v>582</v>
      </c>
    </row>
    <row r="59" spans="1:5" s="10" customFormat="1" ht="36">
      <c r="A59" s="4">
        <f t="shared" si="0"/>
        <v>54</v>
      </c>
      <c r="B59" s="24" t="s">
        <v>583</v>
      </c>
      <c r="C59" s="22">
        <v>4</v>
      </c>
      <c r="D59" s="22" t="s">
        <v>43</v>
      </c>
      <c r="E59" s="19" t="s">
        <v>584</v>
      </c>
    </row>
    <row r="60" spans="1:5" ht="36">
      <c r="A60" s="4">
        <f t="shared" si="0"/>
        <v>55</v>
      </c>
      <c r="B60" s="24" t="s">
        <v>585</v>
      </c>
      <c r="C60" s="22">
        <v>4</v>
      </c>
      <c r="D60" s="22" t="s">
        <v>43</v>
      </c>
      <c r="E60" s="19" t="s">
        <v>586</v>
      </c>
    </row>
    <row r="61" spans="1:5" s="10" customFormat="1" ht="24">
      <c r="A61" s="4">
        <f t="shared" si="0"/>
        <v>56</v>
      </c>
      <c r="B61" s="24" t="s">
        <v>587</v>
      </c>
      <c r="C61" s="22">
        <v>4</v>
      </c>
      <c r="D61" s="22" t="s">
        <v>43</v>
      </c>
      <c r="E61" s="19" t="s">
        <v>588</v>
      </c>
    </row>
    <row r="62" spans="1:5" ht="24">
      <c r="A62" s="4">
        <f t="shared" si="0"/>
        <v>57</v>
      </c>
      <c r="B62" s="20" t="s">
        <v>589</v>
      </c>
      <c r="C62" s="16">
        <v>2</v>
      </c>
      <c r="D62" s="16" t="s">
        <v>27</v>
      </c>
      <c r="E62" s="20" t="s">
        <v>590</v>
      </c>
    </row>
    <row r="63" spans="1:5" ht="24">
      <c r="A63" s="4">
        <f t="shared" si="0"/>
        <v>58</v>
      </c>
      <c r="B63" s="19" t="s">
        <v>591</v>
      </c>
      <c r="C63" s="17">
        <v>1</v>
      </c>
      <c r="D63" s="17" t="s">
        <v>30</v>
      </c>
      <c r="E63" s="19" t="s">
        <v>592</v>
      </c>
    </row>
    <row r="64" spans="1:5" ht="24">
      <c r="A64" s="4">
        <f t="shared" si="0"/>
        <v>59</v>
      </c>
      <c r="B64" s="19" t="s">
        <v>593</v>
      </c>
      <c r="C64" s="17">
        <v>2</v>
      </c>
      <c r="D64" s="17" t="s">
        <v>27</v>
      </c>
      <c r="E64" s="19" t="s">
        <v>594</v>
      </c>
    </row>
    <row r="65" spans="1:5" ht="36">
      <c r="A65" s="4">
        <f t="shared" si="0"/>
        <v>60</v>
      </c>
      <c r="B65" s="19" t="s">
        <v>595</v>
      </c>
      <c r="C65" s="17">
        <v>4</v>
      </c>
      <c r="D65" s="17" t="s">
        <v>43</v>
      </c>
      <c r="E65" s="19" t="s">
        <v>596</v>
      </c>
    </row>
    <row r="66" spans="1:5" ht="24">
      <c r="A66" s="4">
        <f t="shared" si="0"/>
        <v>61</v>
      </c>
      <c r="B66" s="20" t="s">
        <v>597</v>
      </c>
      <c r="C66" s="16">
        <v>1</v>
      </c>
      <c r="D66" s="16" t="s">
        <v>30</v>
      </c>
      <c r="E66" s="20" t="s">
        <v>666</v>
      </c>
    </row>
    <row r="67" spans="1:5" ht="36">
      <c r="A67" s="4">
        <f t="shared" si="0"/>
        <v>62</v>
      </c>
      <c r="B67" s="19" t="s">
        <v>599</v>
      </c>
      <c r="C67" s="17">
        <v>2</v>
      </c>
      <c r="D67" s="17" t="s">
        <v>27</v>
      </c>
      <c r="E67" s="19" t="s">
        <v>600</v>
      </c>
    </row>
    <row r="68" spans="1:5" ht="24">
      <c r="A68" s="4">
        <f t="shared" si="0"/>
        <v>63</v>
      </c>
      <c r="B68" s="20" t="s">
        <v>564</v>
      </c>
      <c r="C68" s="16">
        <v>60</v>
      </c>
      <c r="D68" s="16" t="s">
        <v>33</v>
      </c>
      <c r="E68" s="20" t="s">
        <v>565</v>
      </c>
    </row>
    <row r="69" spans="1:5">
      <c r="A69" s="4">
        <f t="shared" si="0"/>
        <v>64</v>
      </c>
      <c r="B69" s="20" t="s">
        <v>667</v>
      </c>
      <c r="C69" s="22">
        <v>11</v>
      </c>
      <c r="D69" s="22" t="s">
        <v>48</v>
      </c>
      <c r="E69" s="19"/>
    </row>
    <row r="70" spans="1:5">
      <c r="A70" s="4">
        <f t="shared" si="0"/>
        <v>65</v>
      </c>
      <c r="B70" s="19" t="s">
        <v>668</v>
      </c>
      <c r="C70" s="17">
        <v>30</v>
      </c>
      <c r="D70" s="17" t="s">
        <v>36</v>
      </c>
      <c r="E70" s="19" t="s">
        <v>507</v>
      </c>
    </row>
    <row r="71" spans="1:5" ht="24">
      <c r="A71" s="4">
        <f t="shared" si="0"/>
        <v>66</v>
      </c>
      <c r="B71" s="19" t="s">
        <v>669</v>
      </c>
      <c r="C71" s="17">
        <v>2</v>
      </c>
      <c r="D71" s="17" t="s">
        <v>27</v>
      </c>
      <c r="E71" s="19" t="s">
        <v>87</v>
      </c>
    </row>
    <row r="72" spans="1:5">
      <c r="A72" s="4">
        <f t="shared" si="0"/>
        <v>67</v>
      </c>
      <c r="B72" s="19" t="s">
        <v>670</v>
      </c>
      <c r="C72" s="17">
        <v>5</v>
      </c>
      <c r="D72" s="17" t="s">
        <v>18</v>
      </c>
      <c r="E72" s="19"/>
    </row>
    <row r="73" spans="1:5" ht="24">
      <c r="A73" s="4">
        <f t="shared" si="0"/>
        <v>68</v>
      </c>
      <c r="B73" s="19" t="s">
        <v>671</v>
      </c>
      <c r="C73" s="17">
        <v>4</v>
      </c>
      <c r="D73" s="17" t="s">
        <v>43</v>
      </c>
      <c r="E73" s="19" t="s">
        <v>90</v>
      </c>
    </row>
    <row r="74" spans="1:5" ht="24">
      <c r="A74" s="4">
        <f t="shared" si="0"/>
        <v>69</v>
      </c>
      <c r="B74" s="20" t="s">
        <v>538</v>
      </c>
      <c r="C74" s="17">
        <v>8</v>
      </c>
      <c r="D74" s="17" t="s">
        <v>121</v>
      </c>
      <c r="E74" s="19" t="s">
        <v>672</v>
      </c>
    </row>
    <row r="75" spans="1:5" ht="48">
      <c r="A75" s="4">
        <f t="shared" si="0"/>
        <v>70</v>
      </c>
      <c r="B75" s="20" t="s">
        <v>571</v>
      </c>
      <c r="C75" s="16">
        <v>28</v>
      </c>
      <c r="D75" s="16" t="s">
        <v>572</v>
      </c>
      <c r="E75" s="19" t="s">
        <v>673</v>
      </c>
    </row>
    <row r="76" spans="1:5" ht="36">
      <c r="A76" s="4">
        <f t="shared" si="0"/>
        <v>71</v>
      </c>
      <c r="B76" s="24" t="s">
        <v>674</v>
      </c>
      <c r="C76" s="22">
        <v>40</v>
      </c>
      <c r="D76" s="22" t="s">
        <v>56</v>
      </c>
      <c r="E76" s="19" t="s">
        <v>675</v>
      </c>
    </row>
    <row r="77" spans="1:5" ht="48">
      <c r="A77" s="4">
        <f t="shared" si="0"/>
        <v>72</v>
      </c>
      <c r="B77" s="24" t="s">
        <v>676</v>
      </c>
      <c r="C77" s="22">
        <v>60</v>
      </c>
      <c r="D77" s="22" t="s">
        <v>33</v>
      </c>
      <c r="E77" s="19" t="s">
        <v>677</v>
      </c>
    </row>
    <row r="78" spans="1:5">
      <c r="A78" s="4">
        <f t="shared" si="0"/>
        <v>73</v>
      </c>
      <c r="B78" s="24" t="s">
        <v>678</v>
      </c>
      <c r="C78" s="22">
        <v>11</v>
      </c>
      <c r="D78" s="22" t="s">
        <v>48</v>
      </c>
      <c r="E78" s="19"/>
    </row>
    <row r="79" spans="1:5">
      <c r="A79" s="4">
        <f t="shared" si="0"/>
        <v>74</v>
      </c>
      <c r="B79" s="24" t="s">
        <v>679</v>
      </c>
      <c r="C79" s="22">
        <v>30</v>
      </c>
      <c r="D79" s="22" t="s">
        <v>36</v>
      </c>
      <c r="E79" s="19"/>
    </row>
    <row r="80" spans="1:5">
      <c r="A80" s="4">
        <f t="shared" si="0"/>
        <v>75</v>
      </c>
      <c r="B80" s="24" t="s">
        <v>680</v>
      </c>
      <c r="C80" s="22">
        <v>2</v>
      </c>
      <c r="D80" s="22" t="s">
        <v>27</v>
      </c>
      <c r="E80" s="19"/>
    </row>
    <row r="81" spans="1:5">
      <c r="A81" s="4">
        <f t="shared" si="0"/>
        <v>76</v>
      </c>
      <c r="B81" s="24" t="s">
        <v>681</v>
      </c>
      <c r="C81" s="22">
        <v>5</v>
      </c>
      <c r="D81" s="22" t="s">
        <v>18</v>
      </c>
      <c r="E81" s="19"/>
    </row>
    <row r="82" spans="1:5">
      <c r="A82" s="4">
        <f t="shared" si="0"/>
        <v>77</v>
      </c>
      <c r="B82" s="24" t="s">
        <v>682</v>
      </c>
      <c r="C82" s="22">
        <v>4</v>
      </c>
      <c r="D82" s="22" t="s">
        <v>43</v>
      </c>
      <c r="E82" s="19"/>
    </row>
    <row r="83" spans="1:5" ht="36">
      <c r="A83" s="4">
        <f t="shared" si="0"/>
        <v>78</v>
      </c>
      <c r="B83" s="24" t="s">
        <v>683</v>
      </c>
      <c r="C83" s="22">
        <v>3</v>
      </c>
      <c r="D83" s="22" t="s">
        <v>315</v>
      </c>
      <c r="E83" s="19" t="s">
        <v>684</v>
      </c>
    </row>
    <row r="84" spans="1:5" ht="36">
      <c r="A84" s="4">
        <f t="shared" si="0"/>
        <v>79</v>
      </c>
      <c r="B84" s="24" t="s">
        <v>685</v>
      </c>
      <c r="C84" s="22">
        <v>2</v>
      </c>
      <c r="D84" s="22" t="s">
        <v>27</v>
      </c>
      <c r="E84" s="19" t="s">
        <v>686</v>
      </c>
    </row>
    <row r="85" spans="1:5" ht="24">
      <c r="A85" s="4">
        <f t="shared" ref="A85:A95" si="1">A84+1</f>
        <v>80</v>
      </c>
      <c r="B85" s="20" t="s">
        <v>687</v>
      </c>
      <c r="C85" s="16">
        <v>20</v>
      </c>
      <c r="D85" s="16" t="s">
        <v>113</v>
      </c>
      <c r="E85" s="20" t="s">
        <v>688</v>
      </c>
    </row>
    <row r="86" spans="1:5">
      <c r="A86" s="4">
        <f t="shared" si="1"/>
        <v>81</v>
      </c>
      <c r="B86" s="19" t="s">
        <v>20</v>
      </c>
      <c r="C86" s="17">
        <v>10</v>
      </c>
      <c r="D86" s="17" t="s">
        <v>21</v>
      </c>
      <c r="E86" s="3" t="s">
        <v>568</v>
      </c>
    </row>
    <row r="87" spans="1:5" ht="24">
      <c r="A87" s="4">
        <f t="shared" si="1"/>
        <v>82</v>
      </c>
      <c r="B87" s="19" t="s">
        <v>601</v>
      </c>
      <c r="C87" s="17">
        <v>4</v>
      </c>
      <c r="D87" s="17" t="s">
        <v>43</v>
      </c>
      <c r="E87" s="19" t="s">
        <v>602</v>
      </c>
    </row>
    <row r="88" spans="1:5">
      <c r="A88" s="4">
        <f t="shared" si="1"/>
        <v>83</v>
      </c>
      <c r="B88" s="19" t="s">
        <v>603</v>
      </c>
      <c r="C88" s="17">
        <v>1</v>
      </c>
      <c r="D88" s="17" t="s">
        <v>30</v>
      </c>
      <c r="E88" s="19" t="s">
        <v>689</v>
      </c>
    </row>
    <row r="89" spans="1:5" ht="24">
      <c r="A89" s="4">
        <f t="shared" si="1"/>
        <v>84</v>
      </c>
      <c r="B89" s="19" t="s">
        <v>605</v>
      </c>
      <c r="C89" s="17">
        <v>1</v>
      </c>
      <c r="D89" s="17" t="s">
        <v>30</v>
      </c>
      <c r="E89" s="19" t="s">
        <v>690</v>
      </c>
    </row>
    <row r="90" spans="1:5">
      <c r="A90" s="4">
        <f t="shared" si="1"/>
        <v>85</v>
      </c>
      <c r="B90" s="19" t="s">
        <v>609</v>
      </c>
      <c r="C90" s="17">
        <v>1</v>
      </c>
      <c r="D90" s="17" t="s">
        <v>30</v>
      </c>
      <c r="E90" s="19" t="s">
        <v>691</v>
      </c>
    </row>
    <row r="91" spans="1:5" ht="24">
      <c r="A91" s="4">
        <f t="shared" si="1"/>
        <v>86</v>
      </c>
      <c r="B91" s="19" t="s">
        <v>611</v>
      </c>
      <c r="C91" s="17">
        <v>1</v>
      </c>
      <c r="D91" s="17" t="s">
        <v>30</v>
      </c>
      <c r="E91" s="19" t="s">
        <v>692</v>
      </c>
    </row>
    <row r="92" spans="1:5" ht="24">
      <c r="A92" s="4">
        <f t="shared" si="1"/>
        <v>87</v>
      </c>
      <c r="B92" s="19" t="s">
        <v>613</v>
      </c>
      <c r="C92" s="17">
        <v>1</v>
      </c>
      <c r="D92" s="17" t="s">
        <v>30</v>
      </c>
      <c r="E92" s="19" t="s">
        <v>693</v>
      </c>
    </row>
    <row r="93" spans="1:5" ht="24">
      <c r="A93" s="4">
        <f t="shared" si="1"/>
        <v>88</v>
      </c>
      <c r="B93" s="19" t="s">
        <v>536</v>
      </c>
      <c r="C93" s="17">
        <v>3</v>
      </c>
      <c r="D93" s="17" t="s">
        <v>315</v>
      </c>
      <c r="E93" s="19" t="s">
        <v>537</v>
      </c>
    </row>
    <row r="94" spans="1:5" ht="84">
      <c r="A94" s="4">
        <f t="shared" si="1"/>
        <v>89</v>
      </c>
      <c r="B94" s="3" t="s">
        <v>627</v>
      </c>
      <c r="C94" s="5">
        <v>2</v>
      </c>
      <c r="D94" s="5" t="s">
        <v>27</v>
      </c>
      <c r="E94" s="3" t="s">
        <v>628</v>
      </c>
    </row>
    <row r="95" spans="1:5" ht="24">
      <c r="A95" s="4">
        <f t="shared" si="1"/>
        <v>90</v>
      </c>
      <c r="B95" s="3" t="s">
        <v>455</v>
      </c>
      <c r="C95" s="5">
        <v>40</v>
      </c>
      <c r="D95" s="5" t="s">
        <v>56</v>
      </c>
      <c r="E95" s="3" t="s">
        <v>629</v>
      </c>
    </row>
  </sheetData>
  <mergeCells count="3">
    <mergeCell ref="C1:E1"/>
    <mergeCell ref="A3:E3"/>
    <mergeCell ref="A4:E4"/>
  </mergeCells>
  <printOptions horizontalCentered="1"/>
  <pageMargins left="0.45" right="0.45" top="0.75" bottom="0.75" header="0.3" footer="0.3"/>
  <pageSetup scale="80" orientation="portrait" r:id="rId1"/>
  <headerFooter>
    <firstFooter>&amp;L&amp;"Book Antiqua,Regular"&amp;10LPS Applied Analytics&amp;"-,Regular"&amp;11 &amp;C&amp;"Book Antiqua,Regular"&amp;10CONFIDENTIAL / PROPRIETARY&amp;R&amp;"Book Antiqua,Regular"&amp;10Page &amp;P of &amp;N</firstFoot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6"/>
  <sheetViews>
    <sheetView workbookViewId="0">
      <pane ySplit="3" topLeftCell="A4" activePane="bottomLeft" state="frozen"/>
      <selection pane="bottomLeft" activeCell="A32" sqref="A32"/>
    </sheetView>
  </sheetViews>
  <sheetFormatPr defaultColWidth="9.140625" defaultRowHeight="12.6"/>
  <cols>
    <col min="1" max="1" width="24.5703125" style="66" bestFit="1" customWidth="1"/>
    <col min="2" max="2" width="44.42578125" style="66" bestFit="1" customWidth="1"/>
    <col min="3" max="3" width="31.7109375" style="66" bestFit="1" customWidth="1"/>
    <col min="4" max="4" width="77.85546875" style="66" bestFit="1" customWidth="1"/>
    <col min="5" max="16384" width="9.140625" style="66"/>
  </cols>
  <sheetData>
    <row r="1" spans="1:4" s="57" customFormat="1" ht="63.75" customHeight="1">
      <c r="B1" s="58"/>
      <c r="C1" s="89" t="s">
        <v>694</v>
      </c>
      <c r="D1" s="89"/>
    </row>
    <row r="2" spans="1:4" s="59" customFormat="1" ht="15" customHeight="1">
      <c r="A2" s="90" t="s">
        <v>695</v>
      </c>
      <c r="B2" s="90"/>
      <c r="C2" s="90"/>
      <c r="D2" s="90"/>
    </row>
    <row r="3" spans="1:4" s="62" customFormat="1" ht="14.45">
      <c r="A3" s="60" t="s">
        <v>696</v>
      </c>
      <c r="B3" s="61" t="s">
        <v>697</v>
      </c>
      <c r="C3" s="61" t="s">
        <v>698</v>
      </c>
      <c r="D3" s="61" t="s">
        <v>699</v>
      </c>
    </row>
    <row r="4" spans="1:4" ht="60">
      <c r="A4" s="63" t="s">
        <v>4</v>
      </c>
      <c r="B4" s="64" t="s">
        <v>700</v>
      </c>
      <c r="C4" s="64" t="s">
        <v>701</v>
      </c>
      <c r="D4" s="65" t="s">
        <v>702</v>
      </c>
    </row>
    <row r="5" spans="1:4" ht="15.6">
      <c r="A5" s="63" t="s">
        <v>6</v>
      </c>
      <c r="B5" s="64" t="s">
        <v>703</v>
      </c>
      <c r="C5" s="64"/>
      <c r="D5" s="64"/>
    </row>
    <row r="6" spans="1:4" ht="15.6">
      <c r="A6" s="63" t="s">
        <v>704</v>
      </c>
      <c r="B6" s="64" t="s">
        <v>705</v>
      </c>
      <c r="C6" s="64"/>
      <c r="D6" s="64"/>
    </row>
  </sheetData>
  <mergeCells count="2">
    <mergeCell ref="C1:D1"/>
    <mergeCell ref="A2:D2"/>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8" ma:contentTypeDescription="Create a new document." ma:contentTypeScope="" ma:versionID="15adbd330118f8d06bc6615d15ac85a9">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6a41e235a72bf34fead84cba91ed4b2"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3.xml><?xml version="1.0" encoding="utf-8"?>
<LongProperties xmlns="http://schemas.microsoft.com/office/2006/metadata/long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E2276B-3D01-4092-B7DD-1518676B05CA}"/>
</file>

<file path=customXml/itemProps2.xml><?xml version="1.0" encoding="utf-8"?>
<ds:datastoreItem xmlns:ds="http://schemas.openxmlformats.org/officeDocument/2006/customXml" ds:itemID="{F4E796ED-A858-4751-AE2B-871BA154DCC7}"/>
</file>

<file path=customXml/itemProps3.xml><?xml version="1.0" encoding="utf-8"?>
<ds:datastoreItem xmlns:ds="http://schemas.openxmlformats.org/officeDocument/2006/customXml" ds:itemID="{DAA8F64F-1569-445D-89B6-7B3C43AE394A}"/>
</file>

<file path=customXml/itemProps4.xml><?xml version="1.0" encoding="utf-8"?>
<ds:datastoreItem xmlns:ds="http://schemas.openxmlformats.org/officeDocument/2006/customXml" ds:itemID="{730D579E-A64D-4247-8F40-8C7D62C48F3B}"/>
</file>

<file path=docProps/app.xml><?xml version="1.0" encoding="utf-8"?>
<Properties xmlns="http://schemas.openxmlformats.org/officeDocument/2006/extended-properties" xmlns:vt="http://schemas.openxmlformats.org/officeDocument/2006/docPropsVTypes">
  <Application>Microsoft Excel Online</Application>
  <Manager/>
  <Company>Hewlett-Packard Company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Managed Data Dictionaries v 2.0</dc:title>
  <dc:subject/>
  <dc:creator>Flor Castro</dc:creator>
  <cp:keywords/>
  <dc:description/>
  <cp:lastModifiedBy>Govindasamy Shanmuga Sundaram, Kishorekarthick (wuc9jr)</cp:lastModifiedBy>
  <cp:revision/>
  <dcterms:created xsi:type="dcterms:W3CDTF">2009-10-15T23:44:53Z</dcterms:created>
  <dcterms:modified xsi:type="dcterms:W3CDTF">2022-07-12T12:49:10Z</dcterms:modified>
  <cp:category>BulkFulfillment</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VS Team System Data DO NOT EDIT_GUID">
    <vt:lpwstr>d20eaf61-8c64-492b-a2e3-01c6f771fb9c</vt:lpwstr>
  </property>
  <property fmtid="{D5CDD505-2E9C-101B-9397-08002B2CF9AE}" pid="4" name="ContentTypeId">
    <vt:lpwstr>0x010100D45AE3D1135F4E41AB498540A40487BD</vt:lpwstr>
  </property>
  <property fmtid="{D5CDD505-2E9C-101B-9397-08002B2CF9AE}" pid="5" name="MediaServiceImageTags">
    <vt:lpwstr/>
  </property>
</Properties>
</file>