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9005"/>
  <workbookPr/>
  <mc:AlternateContent xmlns:mc="http://schemas.openxmlformats.org/markup-compatibility/2006">
    <mc:Choice Requires="x15">
      <x15ac:absPath xmlns:x15ac="http://schemas.microsoft.com/office/spreadsheetml/2010/11/ac" url="/Users/sallie41/Google Drive/2017 DSPG Program - shared folder/"/>
    </mc:Choice>
  </mc:AlternateContent>
  <bookViews>
    <workbookView xWindow="3840" yWindow="1420" windowWidth="22280" windowHeight="1310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0" i="1" l="1"/>
  <c r="C5" i="1"/>
  <c r="C9" i="1"/>
  <c r="C7" i="1"/>
  <c r="C4" i="1"/>
  <c r="C6" i="1"/>
  <c r="C8" i="1"/>
  <c r="E14" i="1"/>
  <c r="E15" i="1"/>
  <c r="B34" i="1"/>
  <c r="B33" i="1"/>
</calcChain>
</file>

<file path=xl/sharedStrings.xml><?xml version="1.0" encoding="utf-8"?>
<sst xmlns="http://schemas.openxmlformats.org/spreadsheetml/2006/main" count="35" uniqueCount="35">
  <si>
    <t>Mentoring students ( 1 hour per week)</t>
  </si>
  <si>
    <t>Administrative time</t>
  </si>
  <si>
    <t>FACULTY costs (assume $150,000)</t>
  </si>
  <si>
    <t>Training</t>
  </si>
  <si>
    <t>Unix Tools</t>
  </si>
  <si>
    <t>GIT</t>
  </si>
  <si>
    <t>More Git</t>
  </si>
  <si>
    <t>Data Ingestion</t>
  </si>
  <si>
    <t>R</t>
  </si>
  <si>
    <t>R modeling</t>
  </si>
  <si>
    <t>ACS</t>
  </si>
  <si>
    <t>Data Sci Framework</t>
  </si>
  <si>
    <t>Web Scraping</t>
  </si>
  <si>
    <t>More R</t>
  </si>
  <si>
    <t>GIS</t>
  </si>
  <si>
    <t>ABM</t>
  </si>
  <si>
    <t>Baysian</t>
  </si>
  <si>
    <t>Policy</t>
  </si>
  <si>
    <t>Ethics</t>
  </si>
  <si>
    <t>Record Linkage</t>
  </si>
  <si>
    <t>Media Relations</t>
  </si>
  <si>
    <t>Intro</t>
  </si>
  <si>
    <t>SQL</t>
  </si>
  <si>
    <t xml:space="preserve">Final Course Presenations </t>
  </si>
  <si>
    <t>12.5 students</t>
  </si>
  <si>
    <t>Per student over 10 weeks (hours)</t>
  </si>
  <si>
    <t>Prepare  and deliver educational materials - 44.5 hours of training</t>
  </si>
  <si>
    <t>Total Hours</t>
  </si>
  <si>
    <t>Fixed Cost</t>
  </si>
  <si>
    <t>hours in yr</t>
  </si>
  <si>
    <t>Cost</t>
  </si>
  <si>
    <t>Symposuim Preparation</t>
  </si>
  <si>
    <t>Direct Course Delivery Costs</t>
  </si>
  <si>
    <t>Weekly Team Project Updates</t>
  </si>
  <si>
    <t>Team Project Specific  Time (absorbed by SDAL)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</si>
</sst>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20302"/>
      <name val="Garamond"/>
      <family val="1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020302"/>
      <name val="Garamond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/>
    <xf numFmtId="0" fontId="0" fillId="0" borderId="0" xfId="0" applyAlignment="1">
      <alignment horizontal="right" wrapText="1"/>
    </xf>
    <xf numFmtId="0" fontId="2" fillId="0" borderId="2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7" xfId="0" applyFont="1" applyBorder="1"/>
    <xf numFmtId="0" fontId="0" fillId="0" borderId="8" xfId="0" applyBorder="1" applyAlignment="1">
      <alignment horizontal="right" wrapText="1"/>
    </xf>
    <xf numFmtId="0" fontId="2" fillId="0" borderId="9" xfId="0" applyFont="1" applyBorder="1"/>
    <xf numFmtId="0" fontId="2" fillId="0" borderId="10" xfId="0" applyFont="1" applyBorder="1"/>
    <xf numFmtId="0" fontId="1" fillId="0" borderId="11" xfId="0" applyFont="1" applyBorder="1" applyAlignment="1">
      <alignment horizontal="right" wrapText="1"/>
    </xf>
    <xf numFmtId="0" fontId="2" fillId="0" borderId="12" xfId="0" applyFont="1" applyFill="1" applyBorder="1"/>
    <xf numFmtId="0" fontId="2" fillId="0" borderId="13" xfId="0" applyFont="1" applyFill="1" applyBorder="1"/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tabSelected="1" workbookViewId="0">
      <selection sqref="A1:C10"/>
    </sheetView>
  </sheetViews>
  <sheetFormatPr baseColWidth="10" defaultRowHeight="16" x14ac:dyDescent="0.2"/>
  <cols>
    <col min="1" max="1" width="40.83203125" style="1" customWidth="1"/>
    <col min="2" max="2" width="15.1640625" customWidth="1"/>
    <col min="3" max="3" width="17.1640625" customWidth="1"/>
  </cols>
  <sheetData>
    <row r="1" spans="1:5" ht="33" thickBot="1" x14ac:dyDescent="0.25">
      <c r="A1" s="4" t="s">
        <v>2</v>
      </c>
      <c r="B1" s="4" t="s">
        <v>25</v>
      </c>
      <c r="C1" s="4" t="s">
        <v>24</v>
      </c>
    </row>
    <row r="2" spans="1:5" x14ac:dyDescent="0.2">
      <c r="A2" s="5" t="s">
        <v>32</v>
      </c>
      <c r="B2" s="6"/>
      <c r="C2" s="7"/>
    </row>
    <row r="3" spans="1:5" ht="32" x14ac:dyDescent="0.2">
      <c r="A3" s="8" t="s">
        <v>26</v>
      </c>
      <c r="B3" s="2" t="s">
        <v>28</v>
      </c>
      <c r="C3" s="9">
        <v>200</v>
      </c>
    </row>
    <row r="4" spans="1:5" x14ac:dyDescent="0.2">
      <c r="A4" s="8" t="s">
        <v>0</v>
      </c>
      <c r="B4" s="2">
        <v>10</v>
      </c>
      <c r="C4" s="9">
        <f>B4*12.5</f>
        <v>125</v>
      </c>
    </row>
    <row r="5" spans="1:5" x14ac:dyDescent="0.2">
      <c r="A5" s="8" t="s">
        <v>33</v>
      </c>
      <c r="B5" s="2">
        <v>2</v>
      </c>
      <c r="C5" s="9">
        <f>B5*12.5</f>
        <v>25</v>
      </c>
    </row>
    <row r="6" spans="1:5" x14ac:dyDescent="0.2">
      <c r="A6" s="8" t="s">
        <v>23</v>
      </c>
      <c r="B6" s="2">
        <v>2</v>
      </c>
      <c r="C6" s="9">
        <f>B6*12.5</f>
        <v>25</v>
      </c>
    </row>
    <row r="7" spans="1:5" x14ac:dyDescent="0.2">
      <c r="A7" s="8" t="s">
        <v>31</v>
      </c>
      <c r="B7" s="2">
        <v>2</v>
      </c>
      <c r="C7" s="9">
        <f>B7*12.5</f>
        <v>25</v>
      </c>
    </row>
    <row r="8" spans="1:5" x14ac:dyDescent="0.2">
      <c r="A8" s="8" t="s">
        <v>1</v>
      </c>
      <c r="B8" s="2">
        <v>5</v>
      </c>
      <c r="C8" s="9">
        <f>B8*12.5</f>
        <v>62.5</v>
      </c>
    </row>
    <row r="9" spans="1:5" ht="17" thickBot="1" x14ac:dyDescent="0.25">
      <c r="A9" s="10" t="s">
        <v>27</v>
      </c>
      <c r="B9" s="11"/>
      <c r="C9" s="12">
        <f>SUM(C3:C8)</f>
        <v>462.5</v>
      </c>
    </row>
    <row r="10" spans="1:5" ht="17" thickBot="1" x14ac:dyDescent="0.25">
      <c r="A10" s="13" t="s">
        <v>34</v>
      </c>
      <c r="B10" s="14">
        <v>20</v>
      </c>
      <c r="C10" s="15">
        <f>B10*12.5</f>
        <v>250</v>
      </c>
    </row>
    <row r="11" spans="1:5" x14ac:dyDescent="0.2">
      <c r="A11" s="3"/>
    </row>
    <row r="12" spans="1:5" x14ac:dyDescent="0.2">
      <c r="A12" s="3"/>
    </row>
    <row r="13" spans="1:5" x14ac:dyDescent="0.2">
      <c r="D13" t="s">
        <v>29</v>
      </c>
      <c r="E13">
        <v>2087</v>
      </c>
    </row>
    <row r="14" spans="1:5" x14ac:dyDescent="0.2">
      <c r="A14" s="1" t="s">
        <v>3</v>
      </c>
      <c r="E14">
        <f>150/2087</f>
        <v>7.1873502635361769E-2</v>
      </c>
    </row>
    <row r="15" spans="1:5" x14ac:dyDescent="0.2">
      <c r="A15" s="1" t="s">
        <v>21</v>
      </c>
      <c r="B15">
        <v>2.5</v>
      </c>
      <c r="D15" t="s">
        <v>30</v>
      </c>
      <c r="E15">
        <f>E14*C9</f>
        <v>33.241494968854816</v>
      </c>
    </row>
    <row r="16" spans="1:5" x14ac:dyDescent="0.2">
      <c r="A16" s="1" t="s">
        <v>18</v>
      </c>
      <c r="B16">
        <v>1.5</v>
      </c>
    </row>
    <row r="17" spans="1:2" x14ac:dyDescent="0.2">
      <c r="A17" s="1" t="s">
        <v>4</v>
      </c>
      <c r="B17">
        <v>3</v>
      </c>
    </row>
    <row r="18" spans="1:2" x14ac:dyDescent="0.2">
      <c r="A18" s="1" t="s">
        <v>5</v>
      </c>
      <c r="B18">
        <v>3</v>
      </c>
    </row>
    <row r="19" spans="1:2" x14ac:dyDescent="0.2">
      <c r="A19" s="1" t="s">
        <v>6</v>
      </c>
      <c r="B19">
        <v>1.5</v>
      </c>
    </row>
    <row r="20" spans="1:2" x14ac:dyDescent="0.2">
      <c r="A20" s="1" t="s">
        <v>7</v>
      </c>
      <c r="B20">
        <v>3</v>
      </c>
    </row>
    <row r="21" spans="1:2" x14ac:dyDescent="0.2">
      <c r="A21" s="1" t="s">
        <v>8</v>
      </c>
      <c r="B21">
        <v>2</v>
      </c>
    </row>
    <row r="22" spans="1:2" x14ac:dyDescent="0.2">
      <c r="A22" s="1" t="s">
        <v>22</v>
      </c>
      <c r="B22">
        <v>3</v>
      </c>
    </row>
    <row r="23" spans="1:2" x14ac:dyDescent="0.2">
      <c r="A23" s="1" t="s">
        <v>9</v>
      </c>
      <c r="B23">
        <v>2</v>
      </c>
    </row>
    <row r="24" spans="1:2" x14ac:dyDescent="0.2">
      <c r="A24" s="1" t="s">
        <v>10</v>
      </c>
      <c r="B24">
        <v>2.5</v>
      </c>
    </row>
    <row r="25" spans="1:2" x14ac:dyDescent="0.2">
      <c r="A25" s="1" t="s">
        <v>11</v>
      </c>
      <c r="B25">
        <v>3</v>
      </c>
    </row>
    <row r="26" spans="1:2" x14ac:dyDescent="0.2">
      <c r="A26" s="1" t="s">
        <v>17</v>
      </c>
      <c r="B26">
        <v>1.5</v>
      </c>
    </row>
    <row r="27" spans="1:2" x14ac:dyDescent="0.2">
      <c r="A27" s="1" t="s">
        <v>12</v>
      </c>
      <c r="B27">
        <v>1.5</v>
      </c>
    </row>
    <row r="28" spans="1:2" x14ac:dyDescent="0.2">
      <c r="A28" s="1" t="s">
        <v>13</v>
      </c>
      <c r="B28">
        <v>3</v>
      </c>
    </row>
    <row r="29" spans="1:2" x14ac:dyDescent="0.2">
      <c r="A29" s="1" t="s">
        <v>14</v>
      </c>
      <c r="B29">
        <v>3</v>
      </c>
    </row>
    <row r="30" spans="1:2" x14ac:dyDescent="0.2">
      <c r="A30" s="1" t="s">
        <v>19</v>
      </c>
      <c r="B30">
        <v>1.5</v>
      </c>
    </row>
    <row r="31" spans="1:2" x14ac:dyDescent="0.2">
      <c r="A31" s="1" t="s">
        <v>15</v>
      </c>
      <c r="B31">
        <v>3</v>
      </c>
    </row>
    <row r="32" spans="1:2" x14ac:dyDescent="0.2">
      <c r="A32" s="1" t="s">
        <v>16</v>
      </c>
      <c r="B32">
        <v>3</v>
      </c>
    </row>
    <row r="33" spans="1:2" x14ac:dyDescent="0.2">
      <c r="A33" s="1" t="s">
        <v>20</v>
      </c>
      <c r="B33">
        <v>1</v>
      </c>
    </row>
    <row r="34" spans="1:2" x14ac:dyDescent="0.2">
      <c r="B34">
        <f>SUM(B15:B33)</f>
        <v>44.5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Sallie Keller</dc:creator>
  <cp:lastModifiedBy>Sallie Keller</cp:lastModifiedBy>
  <dcterms:created xsi:type="dcterms:W3CDTF">2018-01-14T14:21:29Z</dcterms:created>
  <dcterms:modified xsi:type="dcterms:W3CDTF">2018-01-14T14:59:06Z</dcterms:modified>
</cp:coreProperties>
</file>