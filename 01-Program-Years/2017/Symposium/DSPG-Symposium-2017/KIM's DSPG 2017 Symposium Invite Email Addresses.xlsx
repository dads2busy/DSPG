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kimlyman/Google Drive/2017 DSPG Program /DSPG Symposium /"/>
    </mc:Choice>
  </mc:AlternateContent>
  <bookViews>
    <workbookView xWindow="14360" yWindow="6760" windowWidth="26040" windowHeight="17600" tabRatio="500"/>
  </bookViews>
  <sheets>
    <sheet name="All" sheetId="1" r:id="rId1"/>
    <sheet name="Friends of SDAL" sheetId="4" r:id="rId2"/>
    <sheet name="Emails from SDAL Staff" sheetId="2" r:id="rId3"/>
    <sheet name="From Students" sheetId="3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6" i="4" l="1"/>
  <c r="C29" i="4"/>
  <c r="C24" i="4"/>
  <c r="C23" i="4"/>
  <c r="C5" i="4"/>
  <c r="C3" i="4"/>
</calcChain>
</file>

<file path=xl/sharedStrings.xml><?xml version="1.0" encoding="utf-8"?>
<sst xmlns="http://schemas.openxmlformats.org/spreadsheetml/2006/main" count="464" uniqueCount="273">
  <si>
    <t>john.maron.abowd@census.gov</t>
  </si>
  <si>
    <t>Afzal, Kamran</t>
  </si>
  <si>
    <t>kafzal@arlingtonva.us</t>
  </si>
  <si>
    <t xml:space="preserve">Bauchspies, Wenda </t>
  </si>
  <si>
    <t>wbauchsp@nsf.gov</t>
  </si>
  <si>
    <t>Benson, Bruce</t>
  </si>
  <si>
    <t>Bbenso@arlingtonva.us</t>
  </si>
  <si>
    <t>Bradburn, Norman</t>
  </si>
  <si>
    <t>Bradburn-Norman@norc.org</t>
  </si>
  <si>
    <t>Brown, Jack</t>
  </si>
  <si>
    <t>JJbrown@arlingtonva.us</t>
  </si>
  <si>
    <t>Bucholtz, Shawn J</t>
  </si>
  <si>
    <t>shawn.j.bucholtz@hud.gov</t>
  </si>
  <si>
    <t>Capra, Monica</t>
  </si>
  <si>
    <t>cmcapra@me.com</t>
  </si>
  <si>
    <t>D'Huyvetter, Andrew</t>
  </si>
  <si>
    <t>andrew.dhuyvetter@gmail.com</t>
  </si>
  <si>
    <t>Dentzer, Susan</t>
  </si>
  <si>
    <t>sdentzer@rwjf.org</t>
  </si>
  <si>
    <t>DeSalvo, Karen</t>
  </si>
  <si>
    <t>Karen.DeSalvo@hhs.gov</t>
  </si>
  <si>
    <t>Eavey, Cheryl</t>
  </si>
  <si>
    <t>ceavey@nsf.gov</t>
  </si>
  <si>
    <t>Engler, Alex</t>
  </si>
  <si>
    <t>AEngler@urban.org</t>
  </si>
  <si>
    <t>Flagler, Will</t>
  </si>
  <si>
    <t>wflagler@arlingtonva.us</t>
  </si>
  <si>
    <t>Gawalt, John</t>
  </si>
  <si>
    <t>jgawalt@nsf.gov</t>
  </si>
  <si>
    <t>Goodwin, Jay</t>
  </si>
  <si>
    <t>gerald.f.goodwin.civ@mail.mil</t>
  </si>
  <si>
    <t>Gowen, Mike</t>
  </si>
  <si>
    <t>Mgowen@arlingtonva.us</t>
  </si>
  <si>
    <t>Grant, Millicent</t>
  </si>
  <si>
    <t>milli_2nd@hotmail.com</t>
  </si>
  <si>
    <t>Hardy, Elizabeth</t>
  </si>
  <si>
    <t>Ehardy@arlingtonva.us</t>
  </si>
  <si>
    <t>Jarmin, Ron</t>
  </si>
  <si>
    <t>ron.s.jarmin@census.gov</t>
  </si>
  <si>
    <t xml:space="preserve">Knowles, Rick </t>
  </si>
  <si>
    <t>rknowles@mitre.org</t>
  </si>
  <si>
    <t>Lakkaraju, Kiran</t>
  </si>
  <si>
    <t>klakkara@gmail.com </t>
  </si>
  <si>
    <t>Levy, Niki</t>
  </si>
  <si>
    <t>NSlevy@arlingtonva.us</t>
  </si>
  <si>
    <t xml:space="preserve">Lipp, Robin </t>
  </si>
  <si>
    <t>RLipp@arnoldfoundation.org</t>
  </si>
  <si>
    <t>Lohrenz, Terry</t>
  </si>
  <si>
    <t>tlohrenz@vt.edu</t>
  </si>
  <si>
    <t>Louis, Tom</t>
  </si>
  <si>
    <t>tlouis1@jhu.edu</t>
  </si>
  <si>
    <t xml:space="preserve">Meyer, Katherine  </t>
  </si>
  <si>
    <t>kmeyer@nsf.gov</t>
  </si>
  <si>
    <t>Morris, Andrea</t>
  </si>
  <si>
    <t>andrea.morris@vt.edu</t>
  </si>
  <si>
    <t>Muhlberger, Peter</t>
  </si>
  <si>
    <t>pmuhlber@nsf.gov</t>
  </si>
  <si>
    <t>Mulrow, Jeri</t>
  </si>
  <si>
    <t>Jeri.Mulrow@usdoj.gov</t>
  </si>
  <si>
    <t>O'Hara, Amy</t>
  </si>
  <si>
    <t>Amy.B.Ohara@census.gov</t>
  </si>
  <si>
    <t>Olster, Deborah</t>
  </si>
  <si>
    <t>dholster@nsf.gov</t>
  </si>
  <si>
    <t>Potok, Nancy</t>
  </si>
  <si>
    <t>nancy.a.potok@census.gov</t>
  </si>
  <si>
    <t>Prevost, Ron</t>
  </si>
  <si>
    <t>ronald.c.prevost@census.gov</t>
  </si>
  <si>
    <t>Reyes, Grace</t>
  </si>
  <si>
    <t>greyes@arlingtonva.us</t>
  </si>
  <si>
    <t xml:space="preserve">Robbins, Carol A. </t>
  </si>
  <si>
    <t>CROBBINS@nsf.gov</t>
  </si>
  <si>
    <t>Ruark, Greg</t>
  </si>
  <si>
    <t>gregory.a.ruark.civ@mail.mil</t>
  </si>
  <si>
    <t>Santos, Rob</t>
  </si>
  <si>
    <t>RSantos@urban.org</t>
  </si>
  <si>
    <t xml:space="preserve">Schneider, Tamera </t>
  </si>
  <si>
    <t>tschneid@nsf.gov</t>
  </si>
  <si>
    <t>Schwartz, Jim</t>
  </si>
  <si>
    <t>Jschwa@arlingtonva.us</t>
  </si>
  <si>
    <t>Slaughter, Andy</t>
  </si>
  <si>
    <t>andrew.j.slaughter.civ@mail.mil</t>
  </si>
  <si>
    <t xml:space="preserve">Stack, Kathy </t>
  </si>
  <si>
    <t>KStack@arnoldfoundation.org</t>
  </si>
  <si>
    <t>Stern, Jeff</t>
  </si>
  <si>
    <t>Jeff.Stern@vdem.virginia.gov</t>
  </si>
  <si>
    <t xml:space="preserve">Stienstra, Lauren     </t>
  </si>
  <si>
    <t>Lstienstra@arlingtonva.us</t>
  </si>
  <si>
    <t>Thompson, John</t>
  </si>
  <si>
    <t>john.h.thompson@census.gov</t>
  </si>
  <si>
    <t xml:space="preserve">Tobin, Joy </t>
  </si>
  <si>
    <t>joytobin11@gmail.com</t>
  </si>
  <si>
    <t>Van Mellekom, Jennifer</t>
  </si>
  <si>
    <t>jennifer.vanmullekom@yahoo.com</t>
  </si>
  <si>
    <t>Weaver, Jim</t>
  </si>
  <si>
    <t>jweaver@intuitivecontrols.com</t>
  </si>
  <si>
    <t>Weinberg, Dan</t>
  </si>
  <si>
    <t>dhweinberg@gmail.com</t>
  </si>
  <si>
    <t>White, Jonathan</t>
  </si>
  <si>
    <t>Jon.White@hhs.gov</t>
  </si>
  <si>
    <t>Williams, Julie</t>
  </si>
  <si>
    <t>JWilliams@arnoldfoundation.org</t>
  </si>
  <si>
    <t xml:space="preserve">Woolf, Steven </t>
  </si>
  <si>
    <t>swoolf@vcu.edu</t>
  </si>
  <si>
    <t>Woteki, Thomas</t>
  </si>
  <si>
    <t>thomaswoteki@maximus.com</t>
  </si>
  <si>
    <t xml:space="preserve">Yokum, David </t>
  </si>
  <si>
    <t>david.yokum@dc.gov</t>
  </si>
  <si>
    <t>AskBJS@usdoj.gov</t>
  </si>
  <si>
    <t>Bureau of Justice Statistics</t>
  </si>
  <si>
    <t>fricker@vt.edu</t>
  </si>
  <si>
    <t>Dr. Ron Fricker (VT stats department head)</t>
  </si>
  <si>
    <t>Dr. Dave Hunter (PSU stats department head)</t>
  </si>
  <si>
    <t>dhunter@stat.psu.edu</t>
  </si>
  <si>
    <t>Dr. Aleksandra Slavkovic (PSU stats grad chair)</t>
  </si>
  <si>
    <t>sesa@psu.edu</t>
  </si>
  <si>
    <t>Dr. Burt Monroe (PSU Big Data Social Science director)</t>
  </si>
  <si>
    <t>burtmonroe@psu.edu</t>
  </si>
  <si>
    <t>countyboard@arlingonva.us,</t>
  </si>
  <si>
    <t>district30@senate.virginia.gov.</t>
  </si>
  <si>
    <t>DelMLevine@house.virginia.gov</t>
  </si>
  <si>
    <t>district31@senate.virginia.gov,</t>
  </si>
  <si>
    <t>delPHope@house.virginia.gov,</t>
  </si>
  <si>
    <t>DelRSullivan@house.virginia.gov,</t>
  </si>
  <si>
    <t>delALopex@house.virginia.gov,</t>
  </si>
  <si>
    <t>school.board@apsva.us,</t>
  </si>
  <si>
    <t>amarshall@nkeps.k12.va.us,</t>
  </si>
  <si>
    <t>kswynford@nkeps.k12.va.us,</t>
  </si>
  <si>
    <t>astaskiel@nkeps.k12.va.us,</t>
  </si>
  <si>
    <t>sbarber@nkeps.k12.va.us,</t>
  </si>
  <si>
    <t>ghardinge@nkeps.k12.va.us,</t>
  </si>
  <si>
    <t>sheriff@arlingtonva.us,</t>
  </si>
  <si>
    <t>AskBJS@usdoj.gov,</t>
  </si>
  <si>
    <t>fricker@vt.edu,</t>
  </si>
  <si>
    <t>dhunter@stat.psu.edu,</t>
  </si>
  <si>
    <t>sesa@psu.edu,</t>
  </si>
  <si>
    <t>burtmonroe@psu.edu,</t>
  </si>
  <si>
    <t>mahaggray@nvcc.edu,</t>
  </si>
  <si>
    <t>iberinger@nvcc.edu,</t>
  </si>
  <si>
    <t>mhenderson@nvcc.edu,</t>
  </si>
  <si>
    <t>abilson@nvcc.edu,</t>
  </si>
  <si>
    <t>NVCC</t>
  </si>
  <si>
    <t>National Academy</t>
  </si>
  <si>
    <t>MSchwalbe@nas.edu</t>
  </si>
  <si>
    <t>DOD OPA</t>
  </si>
  <si>
    <t>DOD OPA          Find:   Kristen Williams</t>
  </si>
  <si>
    <t>DOD OPA          Find:   Dave McGrath</t>
  </si>
  <si>
    <t>Anita Friedman Director, Department of Human Services</t>
  </si>
  <si>
    <t>Michael-dharma Irwin Quality Assurance Manager, DHS</t>
  </si>
  <si>
    <t>Martha Coello IT Program Manager, DHS</t>
  </si>
  <si>
    <t>afriedman@arlingtonva.us</t>
  </si>
  <si>
    <t>Mcoell@arlingtonva.us</t>
  </si>
  <si>
    <t>mirwin@arlingtonva.us</t>
  </si>
  <si>
    <t>Bculibrk@arlingtonva.us</t>
  </si>
  <si>
    <t>Biljana Culibrk Database Analyst, DHS</t>
  </si>
  <si>
    <t>Meheret Asfaw Business Analyst, DHS</t>
  </si>
  <si>
    <t>Masfaw@arlingtonva.us</t>
  </si>
  <si>
    <t>Tod Massa, Policy Analytics Director, SCHEV</t>
  </si>
  <si>
    <t>TodMassa@schev.edu</t>
  </si>
  <si>
    <t>JMJohnson@wmata.com</t>
  </si>
  <si>
    <t>WMATA: Jayme Johnson</t>
  </si>
  <si>
    <t>CEVanderwaart@wmata.com</t>
  </si>
  <si>
    <t>nroot@apah.org</t>
  </si>
  <si>
    <t xml:space="preserve">APAH:  Nathanial Root </t>
  </si>
  <si>
    <t xml:space="preserve">APAH:  Jose Quinonez </t>
  </si>
  <si>
    <t>jquinonez@apah.org</t>
  </si>
  <si>
    <t xml:space="preserve">VATech VCE:  Michael Lambur </t>
  </si>
  <si>
    <t>lamburmt@vt.edu</t>
  </si>
  <si>
    <t>WMATA:  Catherine E. Vanderwaart,</t>
  </si>
  <si>
    <t>Pat Ruggles</t>
  </si>
  <si>
    <t>aruggles@nsf.gov</t>
  </si>
  <si>
    <t>jfinamor@nsf.gov</t>
  </si>
  <si>
    <t>khamrick@nsf.gov</t>
  </si>
  <si>
    <t>John M. Finamore (NSF)</t>
  </si>
  <si>
    <t>VA Gov</t>
  </si>
  <si>
    <t>Arlington County</t>
  </si>
  <si>
    <t>APSVA.us</t>
  </si>
  <si>
    <t>NKEPS k12 VA</t>
  </si>
  <si>
    <t>US DOJ</t>
  </si>
  <si>
    <t>VT</t>
  </si>
  <si>
    <t>PSU</t>
  </si>
  <si>
    <t xml:space="preserve">kristen kristin.h.williams2.civ@mail.mil </t>
  </si>
  <si>
    <t xml:space="preserve">david.e.mcgrath.civ@mail.mil </t>
  </si>
  <si>
    <t>BWender@nas.edu,</t>
  </si>
  <si>
    <t>heidi.c.boyd.civ@mail.mil, </t>
  </si>
  <si>
    <t>matthew.d.boehmer.civ@mail.mil, </t>
  </si>
  <si>
    <t>Name</t>
  </si>
  <si>
    <t>Email address</t>
  </si>
  <si>
    <t>Maron, John</t>
  </si>
  <si>
    <t>mary.arnsbarger@comcast.net</t>
  </si>
  <si>
    <t>bruce.arnsbarger@gmail.com</t>
  </si>
  <si>
    <t>Arnsbarger@mofo.com</t>
  </si>
  <si>
    <t>ssarangi@vt.edu</t>
  </si>
  <si>
    <t>ntideman@vt.edu</t>
  </si>
  <si>
    <t>salehi@vt.edu</t>
  </si>
  <si>
    <t>laurie.lambert@hughes.net</t>
  </si>
  <si>
    <t>ckelling@hughes.net</t>
  </si>
  <si>
    <t>olkellin@owu.edu</t>
  </si>
  <si>
    <t>hkelling@kent.edu</t>
  </si>
  <si>
    <t>bfk394@gmail.com</t>
  </si>
  <si>
    <t>emilymhinkle@gmail.com</t>
  </si>
  <si>
    <t>Phanitta.l@hotmail.com</t>
  </si>
  <si>
    <t>allisjp3@vt.edu</t>
  </si>
  <si>
    <t>stacyoh1@vt.edu</t>
  </si>
  <si>
    <t>nnguyen9@vt.edu</t>
  </si>
  <si>
    <t>cpili@comcast.net</t>
  </si>
  <si>
    <t>johnpili@comcast.net</t>
  </si>
  <si>
    <t>rrtec@aol.com</t>
  </si>
  <si>
    <t>tpili6@comcast.net</t>
  </si>
  <si>
    <t>zrl7yb@virginia.edu</t>
  </si>
  <si>
    <t>lhouse@vt.edu</t>
  </si>
  <si>
    <t xml:space="preserve">Email: </t>
  </si>
  <si>
    <r>
      <rPr>
        <sz val="13"/>
        <color rgb="FF000000"/>
        <rFont val="Arial"/>
      </rPr>
      <t> </t>
    </r>
    <r>
      <rPr>
        <sz val="13"/>
        <color rgb="FF555555"/>
        <rFont val="Arial"/>
      </rPr>
      <t>vcs@stodden.net</t>
    </r>
  </si>
  <si>
    <t>Victoria Stodden</t>
  </si>
  <si>
    <t>vcs@stodden.net</t>
  </si>
  <si>
    <t>Census</t>
  </si>
  <si>
    <t>NORC</t>
  </si>
  <si>
    <t>ACOEM</t>
  </si>
  <si>
    <t>Claremont Graduate Univ</t>
  </si>
  <si>
    <t>AC</t>
  </si>
  <si>
    <t>RWJF</t>
  </si>
  <si>
    <t>HHS</t>
  </si>
  <si>
    <t>Urban Institute</t>
  </si>
  <si>
    <t>NSF NCSES</t>
  </si>
  <si>
    <t xml:space="preserve">Army Research Institute </t>
  </si>
  <si>
    <t>ACFD</t>
  </si>
  <si>
    <t>MITRE</t>
  </si>
  <si>
    <t>Arnold</t>
  </si>
  <si>
    <t>JHU</t>
  </si>
  <si>
    <t>VT NCR</t>
  </si>
  <si>
    <t>DOJBJS</t>
  </si>
  <si>
    <t>NSF</t>
  </si>
  <si>
    <t>VDEM</t>
  </si>
  <si>
    <t>Retired SDAL</t>
  </si>
  <si>
    <t>HHS AHRQ</t>
  </si>
  <si>
    <t>VCU</t>
  </si>
  <si>
    <t>NVCC - M. Annette Haggray</t>
  </si>
  <si>
    <t>Karen Hamrick (NSF)</t>
  </si>
  <si>
    <t>John Maron Abowd</t>
  </si>
  <si>
    <t>Michael DePalma</t>
  </si>
  <si>
    <t>michael.depalma@apsva.us</t>
  </si>
  <si>
    <t>Arlington Public Schools</t>
  </si>
  <si>
    <t>lionel.white@apsva.us</t>
  </si>
  <si>
    <t>Lionel White</t>
  </si>
  <si>
    <t>abilson@nvcc.edu</t>
  </si>
  <si>
    <t>BWender@nas.edu</t>
  </si>
  <si>
    <t>countyboard@arlingonva.us</t>
  </si>
  <si>
    <t>delALopex@house.virginia.gov</t>
  </si>
  <si>
    <t>delPHope@house.virginia.gov</t>
  </si>
  <si>
    <t>DelRSullivan@house.virginia.gov</t>
  </si>
  <si>
    <t>district31@senate.virginia.gov</t>
  </si>
  <si>
    <t>district30@senate.virginia.gov</t>
  </si>
  <si>
    <t>heidi.c.boyd.civ@mail.mil</t>
  </si>
  <si>
    <t>iberinger@nvcc.edu</t>
  </si>
  <si>
    <t>mahaggray@nvcc.edu</t>
  </si>
  <si>
    <t>mhenderson@nvcc.edu</t>
  </si>
  <si>
    <t>school.board@apsva.us</t>
  </si>
  <si>
    <t>sheriff@arlingtonva.us</t>
  </si>
  <si>
    <t>Rejected, access denied</t>
  </si>
  <si>
    <t>amarshall@nkcps.k12.va.us</t>
  </si>
  <si>
    <t>astaskiel@nkcps.k12.va.us</t>
  </si>
  <si>
    <t>ghardinge@nkcps.k12.va.us</t>
  </si>
  <si>
    <t>kswynford@nkcps.k12.va.us</t>
  </si>
  <si>
    <t>sbarber@nkcps.k12.va.us</t>
  </si>
  <si>
    <t>Andrew Feldman</t>
  </si>
  <si>
    <t>AFeldman@brookings.edu</t>
  </si>
  <si>
    <t>Grace Reyes</t>
  </si>
  <si>
    <t>Greyes@arlingtonva.us</t>
  </si>
  <si>
    <t>Mary Cowhig</t>
  </si>
  <si>
    <t>mary.cowhig@usdoj.gov</t>
  </si>
  <si>
    <t>Randy Murch</t>
  </si>
  <si>
    <t>rmurch@vt.edu</t>
  </si>
  <si>
    <t>Jamie Lee</t>
  </si>
  <si>
    <t>Jlees@arlingtonva.us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</si>
</sst>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rgb="FF000000"/>
      <name val="Calibri"/>
      <family val="2"/>
      <scheme val="minor"/>
    </font>
    <font>
      <sz val="14"/>
      <color rgb="FF000000"/>
      <name val="Arial"/>
    </font>
    <font>
      <u/>
      <sz val="14"/>
      <color rgb="FF000000"/>
      <name val="Arial"/>
    </font>
    <font>
      <sz val="12"/>
      <color rgb="FF454545"/>
      <name val="Helvetica Neue"/>
    </font>
    <font>
      <sz val="14"/>
      <color rgb="FF000000"/>
      <name val="Calibri"/>
      <scheme val="minor"/>
    </font>
    <font>
      <sz val="14"/>
      <color rgb="FF454545"/>
      <name val="Calibri"/>
      <scheme val="minor"/>
    </font>
    <font>
      <sz val="14"/>
      <color rgb="FF000000"/>
      <name val="Calibri"/>
      <scheme val="minor"/>
    </font>
    <font>
      <sz val="13"/>
      <color rgb="FF000000"/>
      <name val="Arial"/>
    </font>
    <font>
      <sz val="13"/>
      <color rgb="FF555555"/>
      <name val="Arial"/>
    </font>
    <font>
      <sz val="13"/>
      <color rgb="FF222222"/>
      <name val="Arial"/>
    </font>
    <font>
      <u/>
      <sz val="12"/>
      <color rgb="FF954F72"/>
      <name val="Calibri"/>
      <family val="2"/>
      <scheme val="minor"/>
    </font>
    <font>
      <sz val="12"/>
      <color rgb="FF555555"/>
      <name val="Arial"/>
    </font>
    <font>
      <sz val="13"/>
      <color rgb="FF222222"/>
      <name val="Helvetica Neue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/>
    <xf numFmtId="0" fontId="3" fillId="0" borderId="0" xfId="0" applyFont="1"/>
    <xf numFmtId="0" fontId="3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/>
    <xf numFmtId="0" fontId="11" fillId="0" borderId="0" xfId="0" applyFont="1"/>
    <xf numFmtId="0" fontId="3" fillId="0" borderId="0" xfId="0" applyFont="1" applyAlignment="1">
      <alignment wrapText="1"/>
    </xf>
    <xf numFmtId="0" fontId="0" fillId="0" borderId="0" xfId="0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2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13" fillId="0" borderId="2" xfId="0" applyFont="1" applyBorder="1"/>
    <xf numFmtId="0" fontId="12" fillId="0" borderId="0" xfId="0" applyFont="1"/>
    <xf numFmtId="0" fontId="1" fillId="0" borderId="0" xfId="0" applyFont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vertical="center"/>
    </xf>
    <xf numFmtId="0" fontId="9" fillId="0" borderId="0" xfId="0" applyFont="1" applyFill="1"/>
    <xf numFmtId="0" fontId="1" fillId="0" borderId="0" xfId="0" applyFont="1" applyFill="1" applyAlignment="1">
      <alignment horizontal="left"/>
    </xf>
    <xf numFmtId="0" fontId="7" fillId="0" borderId="0" xfId="0" applyFont="1" applyFill="1"/>
  </cellXfs>
  <cellStyles count="2">
    <cellStyle name="Followed Hyperlink" xfId="1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lakkara@gmail.com" TargetMode="External"/><Relationship Id="rId4" Type="http://schemas.openxmlformats.org/officeDocument/2006/relationships/hyperlink" Target="mailto:NSlevy@arlingtonva.us" TargetMode="External"/><Relationship Id="rId5" Type="http://schemas.openxmlformats.org/officeDocument/2006/relationships/hyperlink" Target="mailto:andrea.morris@vt.edu" TargetMode="External"/><Relationship Id="rId6" Type="http://schemas.openxmlformats.org/officeDocument/2006/relationships/hyperlink" Target="mailto:greyes@arlingtonva.us" TargetMode="External"/><Relationship Id="rId1" Type="http://schemas.openxmlformats.org/officeDocument/2006/relationships/hyperlink" Target="mailto:kafzal@arlingtonva.us" TargetMode="External"/><Relationship Id="rId2" Type="http://schemas.openxmlformats.org/officeDocument/2006/relationships/hyperlink" Target="mailto:Bbenso@arlingtonva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abSelected="1" topLeftCell="A118" workbookViewId="0">
      <selection activeCell="B129" sqref="B129"/>
    </sheetView>
  </sheetViews>
  <sheetFormatPr baseColWidth="10" defaultColWidth="24.33203125" defaultRowHeight="19" x14ac:dyDescent="0.25"/>
  <cols>
    <col min="1" max="1" width="24.33203125" style="7" customWidth="1"/>
    <col min="2" max="2" width="49.1640625" style="34" customWidth="1"/>
    <col min="3" max="3" width="24.33203125" style="8" customWidth="1"/>
    <col min="4" max="16384" width="24.33203125" style="8"/>
  </cols>
  <sheetData>
    <row r="1" spans="1:2" x14ac:dyDescent="0.25">
      <c r="A1" s="7" t="s">
        <v>185</v>
      </c>
      <c r="B1" s="34" t="s">
        <v>186</v>
      </c>
    </row>
    <row r="2" spans="1:2" x14ac:dyDescent="0.25">
      <c r="B2" s="35" t="s">
        <v>243</v>
      </c>
    </row>
    <row r="3" spans="1:2" x14ac:dyDescent="0.2">
      <c r="A3" s="9" t="s">
        <v>23</v>
      </c>
      <c r="B3" s="36" t="s">
        <v>24</v>
      </c>
    </row>
    <row r="4" spans="1:2" x14ac:dyDescent="0.25">
      <c r="B4" s="35" t="s">
        <v>149</v>
      </c>
    </row>
    <row r="5" spans="1:2" x14ac:dyDescent="0.25">
      <c r="B5" s="35" t="s">
        <v>258</v>
      </c>
    </row>
    <row r="6" spans="1:2" x14ac:dyDescent="0.2">
      <c r="A6" s="9" t="s">
        <v>59</v>
      </c>
      <c r="B6" s="36" t="s">
        <v>60</v>
      </c>
    </row>
    <row r="7" spans="1:2" x14ac:dyDescent="0.25">
      <c r="A7" s="9" t="s">
        <v>53</v>
      </c>
      <c r="B7" s="34" t="s">
        <v>54</v>
      </c>
    </row>
    <row r="8" spans="1:2" x14ac:dyDescent="0.2">
      <c r="A8" s="9" t="s">
        <v>15</v>
      </c>
      <c r="B8" s="36" t="s">
        <v>16</v>
      </c>
    </row>
    <row r="9" spans="1:2" x14ac:dyDescent="0.2">
      <c r="A9" s="9" t="s">
        <v>79</v>
      </c>
      <c r="B9" s="36" t="s">
        <v>80</v>
      </c>
    </row>
    <row r="10" spans="1:2" x14ac:dyDescent="0.25">
      <c r="B10" s="34" t="s">
        <v>169</v>
      </c>
    </row>
    <row r="11" spans="1:2" x14ac:dyDescent="0.25">
      <c r="B11" s="35" t="s">
        <v>107</v>
      </c>
    </row>
    <row r="12" spans="1:2" x14ac:dyDescent="0.25">
      <c r="B12" s="35" t="s">
        <v>259</v>
      </c>
    </row>
    <row r="13" spans="1:2" x14ac:dyDescent="0.25">
      <c r="A13" s="10" t="s">
        <v>5</v>
      </c>
      <c r="B13" s="34" t="s">
        <v>6</v>
      </c>
    </row>
    <row r="14" spans="1:2" x14ac:dyDescent="0.25">
      <c r="B14" s="35" t="s">
        <v>152</v>
      </c>
    </row>
    <row r="15" spans="1:2" x14ac:dyDescent="0.2">
      <c r="A15" s="9" t="s">
        <v>7</v>
      </c>
      <c r="B15" s="36" t="s">
        <v>8</v>
      </c>
    </row>
    <row r="16" spans="1:2" x14ac:dyDescent="0.25">
      <c r="B16" s="35" t="s">
        <v>116</v>
      </c>
    </row>
    <row r="17" spans="1:3" x14ac:dyDescent="0.25">
      <c r="B17" s="35" t="s">
        <v>244</v>
      </c>
    </row>
    <row r="18" spans="1:3" x14ac:dyDescent="0.25">
      <c r="A18" s="11" t="s">
        <v>21</v>
      </c>
      <c r="B18" s="37" t="s">
        <v>22</v>
      </c>
    </row>
    <row r="19" spans="1:3" x14ac:dyDescent="0.25">
      <c r="B19" s="35" t="s">
        <v>160</v>
      </c>
    </row>
    <row r="20" spans="1:3" x14ac:dyDescent="0.25">
      <c r="A20" s="11" t="s">
        <v>13</v>
      </c>
      <c r="B20" s="37" t="s">
        <v>14</v>
      </c>
    </row>
    <row r="21" spans="1:3" x14ac:dyDescent="0.25">
      <c r="B21" s="35" t="s">
        <v>245</v>
      </c>
    </row>
    <row r="22" spans="1:3" x14ac:dyDescent="0.25">
      <c r="A22" s="11" t="s">
        <v>69</v>
      </c>
      <c r="B22" s="37" t="s">
        <v>70</v>
      </c>
    </row>
    <row r="23" spans="1:3" x14ac:dyDescent="0.25">
      <c r="B23" s="34" t="s">
        <v>181</v>
      </c>
    </row>
    <row r="24" spans="1:3" x14ac:dyDescent="0.25">
      <c r="A24" s="10" t="s">
        <v>105</v>
      </c>
      <c r="B24" s="37" t="s">
        <v>106</v>
      </c>
    </row>
    <row r="25" spans="1:3" x14ac:dyDescent="0.25">
      <c r="B25" s="35" t="s">
        <v>246</v>
      </c>
      <c r="C25" t="s">
        <v>257</v>
      </c>
    </row>
    <row r="26" spans="1:3" x14ac:dyDescent="0.25">
      <c r="B26" s="35" t="s">
        <v>119</v>
      </c>
    </row>
    <row r="27" spans="1:3" x14ac:dyDescent="0.25">
      <c r="B27" s="35" t="s">
        <v>247</v>
      </c>
    </row>
    <row r="28" spans="1:3" x14ac:dyDescent="0.25">
      <c r="B28" s="35" t="s">
        <v>248</v>
      </c>
    </row>
    <row r="29" spans="1:3" x14ac:dyDescent="0.25">
      <c r="A29" s="11" t="s">
        <v>61</v>
      </c>
      <c r="B29" s="37" t="s">
        <v>62</v>
      </c>
    </row>
    <row r="30" spans="1:3" x14ac:dyDescent="0.25">
      <c r="B30" s="35" t="s">
        <v>112</v>
      </c>
    </row>
    <row r="31" spans="1:3" x14ac:dyDescent="0.25">
      <c r="A31" s="11" t="s">
        <v>95</v>
      </c>
      <c r="B31" s="37" t="s">
        <v>96</v>
      </c>
    </row>
    <row r="32" spans="1:3" x14ac:dyDescent="0.25">
      <c r="B32" s="35" t="s">
        <v>250</v>
      </c>
    </row>
    <row r="33" spans="1:2" x14ac:dyDescent="0.25">
      <c r="B33" s="35" t="s">
        <v>249</v>
      </c>
    </row>
    <row r="34" spans="1:2" x14ac:dyDescent="0.2">
      <c r="A34" s="9" t="s">
        <v>35</v>
      </c>
      <c r="B34" s="36" t="s">
        <v>36</v>
      </c>
    </row>
    <row r="35" spans="1:2" x14ac:dyDescent="0.25">
      <c r="B35" s="35" t="s">
        <v>109</v>
      </c>
    </row>
    <row r="36" spans="1:2" x14ac:dyDescent="0.2">
      <c r="A36" s="9" t="s">
        <v>29</v>
      </c>
      <c r="B36" s="36" t="s">
        <v>30</v>
      </c>
    </row>
    <row r="37" spans="1:2" x14ac:dyDescent="0.25">
      <c r="B37" s="35" t="s">
        <v>260</v>
      </c>
    </row>
    <row r="38" spans="1:2" x14ac:dyDescent="0.2">
      <c r="A38" s="9" t="s">
        <v>71</v>
      </c>
      <c r="B38" s="36" t="s">
        <v>72</v>
      </c>
    </row>
    <row r="39" spans="1:2" x14ac:dyDescent="0.25">
      <c r="A39" s="10" t="s">
        <v>67</v>
      </c>
      <c r="B39" s="34" t="s">
        <v>68</v>
      </c>
    </row>
    <row r="40" spans="1:2" x14ac:dyDescent="0.25">
      <c r="B40" s="35" t="s">
        <v>251</v>
      </c>
    </row>
    <row r="41" spans="1:2" x14ac:dyDescent="0.25">
      <c r="B41" s="35" t="s">
        <v>252</v>
      </c>
    </row>
    <row r="42" spans="1:2" x14ac:dyDescent="0.2">
      <c r="A42" s="9" t="s">
        <v>83</v>
      </c>
      <c r="B42" s="36" t="s">
        <v>84</v>
      </c>
    </row>
    <row r="43" spans="1:2" x14ac:dyDescent="0.25">
      <c r="A43" s="11" t="s">
        <v>91</v>
      </c>
      <c r="B43" s="37" t="s">
        <v>92</v>
      </c>
    </row>
    <row r="44" spans="1:2" x14ac:dyDescent="0.2">
      <c r="A44" s="9" t="s">
        <v>57</v>
      </c>
      <c r="B44" s="36" t="s">
        <v>58</v>
      </c>
    </row>
    <row r="45" spans="1:2" x14ac:dyDescent="0.25">
      <c r="B45" s="34" t="s">
        <v>170</v>
      </c>
    </row>
    <row r="46" spans="1:2" x14ac:dyDescent="0.2">
      <c r="A46" s="9" t="s">
        <v>27</v>
      </c>
      <c r="B46" s="36" t="s">
        <v>28</v>
      </c>
    </row>
    <row r="47" spans="1:2" x14ac:dyDescent="0.2">
      <c r="A47" s="9" t="s">
        <v>9</v>
      </c>
      <c r="B47" s="36" t="s">
        <v>10</v>
      </c>
    </row>
    <row r="48" spans="1:2" x14ac:dyDescent="0.25">
      <c r="B48" s="34" t="s">
        <v>158</v>
      </c>
    </row>
    <row r="49" spans="1:2" x14ac:dyDescent="0.25">
      <c r="A49" s="11" t="s">
        <v>187</v>
      </c>
      <c r="B49" s="37" t="s">
        <v>0</v>
      </c>
    </row>
    <row r="50" spans="1:2" x14ac:dyDescent="0.2">
      <c r="A50" s="9" t="s">
        <v>97</v>
      </c>
      <c r="B50" s="36" t="s">
        <v>98</v>
      </c>
    </row>
    <row r="51" spans="1:2" x14ac:dyDescent="0.2">
      <c r="A51" s="9" t="s">
        <v>89</v>
      </c>
      <c r="B51" s="36" t="s">
        <v>90</v>
      </c>
    </row>
    <row r="52" spans="1:2" x14ac:dyDescent="0.25">
      <c r="B52" s="34" t="s">
        <v>164</v>
      </c>
    </row>
    <row r="53" spans="1:2" x14ac:dyDescent="0.2">
      <c r="A53" s="9" t="s">
        <v>77</v>
      </c>
      <c r="B53" s="36" t="s">
        <v>78</v>
      </c>
    </row>
    <row r="54" spans="1:2" x14ac:dyDescent="0.25">
      <c r="A54" s="11" t="s">
        <v>93</v>
      </c>
      <c r="B54" s="37" t="s">
        <v>94</v>
      </c>
    </row>
    <row r="55" spans="1:2" x14ac:dyDescent="0.25">
      <c r="A55" s="11" t="s">
        <v>99</v>
      </c>
      <c r="B55" s="37" t="s">
        <v>100</v>
      </c>
    </row>
    <row r="56" spans="1:2" x14ac:dyDescent="0.25">
      <c r="A56" s="10" t="s">
        <v>1</v>
      </c>
      <c r="B56" s="34" t="s">
        <v>2</v>
      </c>
    </row>
    <row r="57" spans="1:2" x14ac:dyDescent="0.25">
      <c r="B57" s="34" t="s">
        <v>171</v>
      </c>
    </row>
    <row r="58" spans="1:2" x14ac:dyDescent="0.25">
      <c r="A58" s="11" t="s">
        <v>41</v>
      </c>
      <c r="B58" s="34" t="s">
        <v>42</v>
      </c>
    </row>
    <row r="59" spans="1:2" x14ac:dyDescent="0.25">
      <c r="A59" s="11" t="s">
        <v>51</v>
      </c>
      <c r="B59" s="37" t="s">
        <v>52</v>
      </c>
    </row>
    <row r="60" spans="1:2" x14ac:dyDescent="0.25">
      <c r="B60" s="34" t="s">
        <v>180</v>
      </c>
    </row>
    <row r="61" spans="1:2" x14ac:dyDescent="0.25">
      <c r="A61" s="11" t="s">
        <v>81</v>
      </c>
      <c r="B61" s="37" t="s">
        <v>82</v>
      </c>
    </row>
    <row r="62" spans="1:2" x14ac:dyDescent="0.25">
      <c r="B62" s="35" t="s">
        <v>261</v>
      </c>
    </row>
    <row r="63" spans="1:2" x14ac:dyDescent="0.25">
      <c r="B63" s="34" t="s">
        <v>166</v>
      </c>
    </row>
    <row r="64" spans="1:2" x14ac:dyDescent="0.25">
      <c r="A64" s="11" t="s">
        <v>85</v>
      </c>
      <c r="B64" s="37" t="s">
        <v>86</v>
      </c>
    </row>
    <row r="65" spans="1:2" x14ac:dyDescent="0.25">
      <c r="B65" s="35" t="s">
        <v>253</v>
      </c>
    </row>
    <row r="66" spans="1:2" x14ac:dyDescent="0.25">
      <c r="B66" s="35" t="s">
        <v>155</v>
      </c>
    </row>
    <row r="67" spans="1:2" x14ac:dyDescent="0.25">
      <c r="B67" s="35" t="s">
        <v>184</v>
      </c>
    </row>
    <row r="68" spans="1:2" x14ac:dyDescent="0.25">
      <c r="B68" s="35" t="s">
        <v>150</v>
      </c>
    </row>
    <row r="69" spans="1:2" x14ac:dyDescent="0.2">
      <c r="A69" s="9" t="s">
        <v>31</v>
      </c>
      <c r="B69" s="36" t="s">
        <v>32</v>
      </c>
    </row>
    <row r="70" spans="1:2" x14ac:dyDescent="0.25">
      <c r="B70" s="35" t="s">
        <v>254</v>
      </c>
    </row>
    <row r="71" spans="1:2" x14ac:dyDescent="0.2">
      <c r="A71" s="9" t="s">
        <v>33</v>
      </c>
      <c r="B71" s="36" t="s">
        <v>34</v>
      </c>
    </row>
    <row r="72" spans="1:2" x14ac:dyDescent="0.25">
      <c r="B72" s="35" t="s">
        <v>151</v>
      </c>
    </row>
    <row r="73" spans="1:2" x14ac:dyDescent="0.25">
      <c r="B73" s="35" t="s">
        <v>142</v>
      </c>
    </row>
    <row r="74" spans="1:2" x14ac:dyDescent="0.2">
      <c r="A74" s="9" t="s">
        <v>63</v>
      </c>
      <c r="B74" s="36"/>
    </row>
    <row r="75" spans="1:2" x14ac:dyDescent="0.25">
      <c r="B75" s="35" t="s">
        <v>161</v>
      </c>
    </row>
    <row r="76" spans="1:2" x14ac:dyDescent="0.25">
      <c r="A76" s="10" t="s">
        <v>43</v>
      </c>
      <c r="B76" s="34" t="s">
        <v>44</v>
      </c>
    </row>
    <row r="77" spans="1:2" x14ac:dyDescent="0.25">
      <c r="A77" s="11" t="s">
        <v>55</v>
      </c>
      <c r="B77" s="37" t="s">
        <v>56</v>
      </c>
    </row>
    <row r="78" spans="1:2" x14ac:dyDescent="0.2">
      <c r="A78" s="9" t="s">
        <v>39</v>
      </c>
      <c r="B78" s="36" t="s">
        <v>40</v>
      </c>
    </row>
    <row r="79" spans="1:2" x14ac:dyDescent="0.25">
      <c r="A79" s="11" t="s">
        <v>45</v>
      </c>
      <c r="B79" s="37" t="s">
        <v>46</v>
      </c>
    </row>
    <row r="80" spans="1:2" x14ac:dyDescent="0.25">
      <c r="A80" s="11" t="s">
        <v>37</v>
      </c>
      <c r="B80" s="37" t="s">
        <v>38</v>
      </c>
    </row>
    <row r="81" spans="1:2" x14ac:dyDescent="0.2">
      <c r="A81" s="9" t="s">
        <v>65</v>
      </c>
      <c r="B81" s="36" t="s">
        <v>66</v>
      </c>
    </row>
    <row r="82" spans="1:2" x14ac:dyDescent="0.2">
      <c r="A82" s="9" t="s">
        <v>73</v>
      </c>
      <c r="B82" s="36" t="s">
        <v>74</v>
      </c>
    </row>
    <row r="83" spans="1:2" x14ac:dyDescent="0.25">
      <c r="B83" s="35" t="s">
        <v>262</v>
      </c>
    </row>
    <row r="84" spans="1:2" x14ac:dyDescent="0.25">
      <c r="B84" s="35" t="s">
        <v>255</v>
      </c>
    </row>
    <row r="85" spans="1:2" x14ac:dyDescent="0.25">
      <c r="B85" s="35" t="s">
        <v>114</v>
      </c>
    </row>
    <row r="86" spans="1:2" x14ac:dyDescent="0.2">
      <c r="A86" s="9" t="s">
        <v>11</v>
      </c>
      <c r="B86" s="36" t="s">
        <v>12</v>
      </c>
    </row>
    <row r="87" spans="1:2" x14ac:dyDescent="0.25">
      <c r="B87" s="35" t="s">
        <v>256</v>
      </c>
    </row>
    <row r="88" spans="1:2" x14ac:dyDescent="0.2">
      <c r="A88" s="12" t="s">
        <v>101</v>
      </c>
      <c r="B88" s="38" t="s">
        <v>102</v>
      </c>
    </row>
    <row r="89" spans="1:2" x14ac:dyDescent="0.25">
      <c r="A89" s="11" t="s">
        <v>103</v>
      </c>
      <c r="B89" s="37" t="s">
        <v>104</v>
      </c>
    </row>
    <row r="90" spans="1:2" x14ac:dyDescent="0.25">
      <c r="A90" s="11" t="s">
        <v>47</v>
      </c>
      <c r="B90" s="37" t="s">
        <v>48</v>
      </c>
    </row>
    <row r="91" spans="1:2" x14ac:dyDescent="0.2">
      <c r="A91" s="9" t="s">
        <v>49</v>
      </c>
      <c r="B91" s="36" t="s">
        <v>50</v>
      </c>
    </row>
    <row r="92" spans="1:2" x14ac:dyDescent="0.25">
      <c r="B92" s="35" t="s">
        <v>157</v>
      </c>
    </row>
    <row r="93" spans="1:2" x14ac:dyDescent="0.25">
      <c r="A93" s="11" t="s">
        <v>75</v>
      </c>
      <c r="B93" s="37" t="s">
        <v>76</v>
      </c>
    </row>
    <row r="94" spans="1:2" x14ac:dyDescent="0.25">
      <c r="A94" s="11" t="s">
        <v>3</v>
      </c>
      <c r="B94" s="37" t="s">
        <v>4</v>
      </c>
    </row>
    <row r="95" spans="1:2" x14ac:dyDescent="0.2">
      <c r="A95" s="9" t="s">
        <v>25</v>
      </c>
      <c r="B95" s="36" t="s">
        <v>26</v>
      </c>
    </row>
    <row r="96" spans="1:2" x14ac:dyDescent="0.25">
      <c r="A96" s="7" t="s">
        <v>212</v>
      </c>
      <c r="B96" s="39" t="s">
        <v>211</v>
      </c>
    </row>
    <row r="97" spans="1:2" ht="18" x14ac:dyDescent="0.2">
      <c r="A97" s="32" t="s">
        <v>238</v>
      </c>
      <c r="B97" s="40" t="s">
        <v>239</v>
      </c>
    </row>
    <row r="98" spans="1:2" ht="18" x14ac:dyDescent="0.2">
      <c r="A98" s="33" t="s">
        <v>242</v>
      </c>
      <c r="B98" s="40" t="s">
        <v>241</v>
      </c>
    </row>
    <row r="99" spans="1:2" x14ac:dyDescent="0.25">
      <c r="B99" s="41" t="s">
        <v>188</v>
      </c>
    </row>
    <row r="100" spans="1:2" x14ac:dyDescent="0.25">
      <c r="B100" s="41" t="s">
        <v>191</v>
      </c>
    </row>
    <row r="101" spans="1:2" x14ac:dyDescent="0.25">
      <c r="B101" s="41" t="s">
        <v>194</v>
      </c>
    </row>
    <row r="102" spans="1:2" x14ac:dyDescent="0.25">
      <c r="B102" s="41" t="s">
        <v>199</v>
      </c>
    </row>
    <row r="103" spans="1:2" x14ac:dyDescent="0.25">
      <c r="B103" s="41" t="s">
        <v>200</v>
      </c>
    </row>
    <row r="104" spans="1:2" x14ac:dyDescent="0.25">
      <c r="B104" s="41" t="s">
        <v>204</v>
      </c>
    </row>
    <row r="105" spans="1:2" x14ac:dyDescent="0.25">
      <c r="B105" s="41" t="s">
        <v>208</v>
      </c>
    </row>
    <row r="106" spans="1:2" x14ac:dyDescent="0.25">
      <c r="B106" s="41" t="s">
        <v>209</v>
      </c>
    </row>
    <row r="107" spans="1:2" x14ac:dyDescent="0.25">
      <c r="B107" s="41" t="s">
        <v>189</v>
      </c>
    </row>
    <row r="108" spans="1:2" x14ac:dyDescent="0.25">
      <c r="B108" s="41" t="s">
        <v>192</v>
      </c>
    </row>
    <row r="109" spans="1:2" x14ac:dyDescent="0.25">
      <c r="B109" s="41" t="s">
        <v>195</v>
      </c>
    </row>
    <row r="110" spans="1:2" x14ac:dyDescent="0.25">
      <c r="B110" s="41" t="s">
        <v>201</v>
      </c>
    </row>
    <row r="111" spans="1:2" x14ac:dyDescent="0.25">
      <c r="B111" s="41" t="s">
        <v>205</v>
      </c>
    </row>
    <row r="112" spans="1:2" x14ac:dyDescent="0.25">
      <c r="B112" s="41" t="s">
        <v>190</v>
      </c>
    </row>
    <row r="113" spans="1:2" x14ac:dyDescent="0.25">
      <c r="B113" s="41" t="s">
        <v>193</v>
      </c>
    </row>
    <row r="114" spans="1:2" x14ac:dyDescent="0.25">
      <c r="B114" s="41" t="s">
        <v>196</v>
      </c>
    </row>
    <row r="115" spans="1:2" x14ac:dyDescent="0.25">
      <c r="B115" s="41" t="s">
        <v>198</v>
      </c>
    </row>
    <row r="116" spans="1:2" x14ac:dyDescent="0.25">
      <c r="B116" s="41" t="s">
        <v>202</v>
      </c>
    </row>
    <row r="117" spans="1:2" x14ac:dyDescent="0.25">
      <c r="B117" s="41" t="s">
        <v>206</v>
      </c>
    </row>
    <row r="118" spans="1:2" x14ac:dyDescent="0.25">
      <c r="B118" s="41" t="s">
        <v>197</v>
      </c>
    </row>
    <row r="119" spans="1:2" x14ac:dyDescent="0.25">
      <c r="B119" s="41" t="s">
        <v>203</v>
      </c>
    </row>
    <row r="120" spans="1:2" x14ac:dyDescent="0.25">
      <c r="A120" s="13"/>
      <c r="B120" s="41" t="s">
        <v>207</v>
      </c>
    </row>
    <row r="121" spans="1:2" x14ac:dyDescent="0.2">
      <c r="A121" s="9" t="s">
        <v>263</v>
      </c>
      <c r="B121" s="36" t="s">
        <v>264</v>
      </c>
    </row>
    <row r="122" spans="1:2" x14ac:dyDescent="0.25">
      <c r="A122" s="7" t="s">
        <v>265</v>
      </c>
      <c r="B122" s="34" t="s">
        <v>266</v>
      </c>
    </row>
    <row r="123" spans="1:2" x14ac:dyDescent="0.25">
      <c r="A123" s="7" t="s">
        <v>267</v>
      </c>
      <c r="B123" s="34" t="s">
        <v>268</v>
      </c>
    </row>
    <row r="124" spans="1:2" x14ac:dyDescent="0.25">
      <c r="A124" s="7" t="s">
        <v>271</v>
      </c>
      <c r="B124" s="7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7"/>
  <sheetViews>
    <sheetView topLeftCell="A31" workbookViewId="0">
      <selection activeCell="B60" sqref="B60"/>
    </sheetView>
  </sheetViews>
  <sheetFormatPr baseColWidth="10" defaultRowHeight="16" x14ac:dyDescent="0.2"/>
  <cols>
    <col min="1" max="1" width="25.5" style="2" bestFit="1" customWidth="1"/>
    <col min="2" max="2" width="27.5" style="2" bestFit="1" customWidth="1"/>
    <col min="3" max="3" width="36.83203125" style="2" bestFit="1" customWidth="1"/>
    <col min="4" max="4" width="10.83203125" style="2" customWidth="1"/>
  </cols>
  <sheetData>
    <row r="2" spans="1:4" ht="18" x14ac:dyDescent="0.2">
      <c r="A2" s="1" t="s">
        <v>237</v>
      </c>
      <c r="B2" s="1" t="s">
        <v>214</v>
      </c>
      <c r="C2" s="1" t="s">
        <v>0</v>
      </c>
      <c r="D2" s="15"/>
    </row>
    <row r="3" spans="1:4" ht="18" x14ac:dyDescent="0.2">
      <c r="A3" s="16" t="s">
        <v>1</v>
      </c>
      <c r="B3" s="1"/>
      <c r="C3" s="17" t="str">
        <f>HYPERLINK("mailto:kafzal@arlingtonva.us","kafzal@arlingtonva.us")</f>
        <v>kafzal@arlingtonva.us</v>
      </c>
      <c r="D3" s="15"/>
    </row>
    <row r="4" spans="1:4" ht="18" x14ac:dyDescent="0.2">
      <c r="A4" s="1" t="s">
        <v>3</v>
      </c>
      <c r="B4" s="1"/>
      <c r="C4" s="1" t="s">
        <v>4</v>
      </c>
      <c r="D4" s="15"/>
    </row>
    <row r="5" spans="1:4" ht="18" x14ac:dyDescent="0.2">
      <c r="A5" s="16" t="s">
        <v>5</v>
      </c>
      <c r="B5" s="1"/>
      <c r="C5" s="17" t="str">
        <f>HYPERLINK("mailto:Bbenso@arlingtonva.us","Bbenso@arlingtonva.us")</f>
        <v>Bbenso@arlingtonva.us</v>
      </c>
      <c r="D5" s="15"/>
    </row>
    <row r="6" spans="1:4" ht="18" x14ac:dyDescent="0.2">
      <c r="A6" s="18" t="s">
        <v>7</v>
      </c>
      <c r="B6" s="18" t="s">
        <v>215</v>
      </c>
      <c r="C6" s="18" t="s">
        <v>8</v>
      </c>
      <c r="D6" s="15"/>
    </row>
    <row r="7" spans="1:4" ht="18" x14ac:dyDescent="0.2">
      <c r="A7" s="18" t="s">
        <v>9</v>
      </c>
      <c r="B7" s="18" t="s">
        <v>216</v>
      </c>
      <c r="C7" s="18" t="s">
        <v>10</v>
      </c>
      <c r="D7" s="15"/>
    </row>
    <row r="8" spans="1:4" ht="18" x14ac:dyDescent="0.2">
      <c r="A8" s="18" t="s">
        <v>11</v>
      </c>
      <c r="B8" s="18"/>
      <c r="C8" s="18" t="s">
        <v>12</v>
      </c>
      <c r="D8" s="15"/>
    </row>
    <row r="9" spans="1:4" ht="18" x14ac:dyDescent="0.2">
      <c r="A9" s="1" t="s">
        <v>13</v>
      </c>
      <c r="B9" s="1" t="s">
        <v>217</v>
      </c>
      <c r="C9" s="1" t="s">
        <v>14</v>
      </c>
      <c r="D9" s="15"/>
    </row>
    <row r="10" spans="1:4" ht="18" x14ac:dyDescent="0.2">
      <c r="A10" s="18" t="s">
        <v>15</v>
      </c>
      <c r="B10" s="18" t="s">
        <v>218</v>
      </c>
      <c r="C10" s="18" t="s">
        <v>16</v>
      </c>
      <c r="D10" s="15"/>
    </row>
    <row r="11" spans="1:4" ht="18" x14ac:dyDescent="0.2">
      <c r="A11" s="18" t="s">
        <v>17</v>
      </c>
      <c r="B11" s="18" t="s">
        <v>219</v>
      </c>
      <c r="C11" s="18" t="s">
        <v>18</v>
      </c>
      <c r="D11" s="15"/>
    </row>
    <row r="12" spans="1:4" ht="18" x14ac:dyDescent="0.2">
      <c r="A12" s="18" t="s">
        <v>19</v>
      </c>
      <c r="B12" s="18" t="s">
        <v>220</v>
      </c>
      <c r="C12" s="18" t="s">
        <v>20</v>
      </c>
      <c r="D12" s="15"/>
    </row>
    <row r="13" spans="1:4" ht="18" x14ac:dyDescent="0.2">
      <c r="A13" s="1" t="s">
        <v>21</v>
      </c>
      <c r="B13" s="1"/>
      <c r="C13" s="1" t="s">
        <v>22</v>
      </c>
      <c r="D13" s="15"/>
    </row>
    <row r="14" spans="1:4" ht="18" x14ac:dyDescent="0.2">
      <c r="A14" s="18" t="s">
        <v>23</v>
      </c>
      <c r="B14" s="18" t="s">
        <v>221</v>
      </c>
      <c r="C14" s="18" t="s">
        <v>24</v>
      </c>
      <c r="D14" s="15"/>
    </row>
    <row r="15" spans="1:4" ht="18" x14ac:dyDescent="0.2">
      <c r="A15" s="18" t="s">
        <v>25</v>
      </c>
      <c r="B15" s="18" t="s">
        <v>216</v>
      </c>
      <c r="C15" s="18" t="s">
        <v>26</v>
      </c>
      <c r="D15" s="15"/>
    </row>
    <row r="16" spans="1:4" ht="18" x14ac:dyDescent="0.2">
      <c r="A16" s="18" t="s">
        <v>27</v>
      </c>
      <c r="B16" s="18" t="s">
        <v>222</v>
      </c>
      <c r="C16" s="18" t="s">
        <v>28</v>
      </c>
      <c r="D16" s="15"/>
    </row>
    <row r="17" spans="1:4" ht="18" x14ac:dyDescent="0.2">
      <c r="A17" s="18" t="s">
        <v>29</v>
      </c>
      <c r="B17" s="18" t="s">
        <v>223</v>
      </c>
      <c r="C17" s="18" t="s">
        <v>30</v>
      </c>
      <c r="D17" s="15"/>
    </row>
    <row r="18" spans="1:4" ht="18" x14ac:dyDescent="0.2">
      <c r="A18" s="18" t="s">
        <v>31</v>
      </c>
      <c r="B18" s="18" t="s">
        <v>224</v>
      </c>
      <c r="C18" s="18" t="s">
        <v>32</v>
      </c>
      <c r="D18" s="15"/>
    </row>
    <row r="19" spans="1:4" ht="18" x14ac:dyDescent="0.2">
      <c r="A19" s="18" t="s">
        <v>33</v>
      </c>
      <c r="B19" s="18"/>
      <c r="C19" s="18" t="s">
        <v>34</v>
      </c>
      <c r="D19" s="15"/>
    </row>
    <row r="20" spans="1:4" ht="18" x14ac:dyDescent="0.2">
      <c r="A20" s="18" t="s">
        <v>35</v>
      </c>
      <c r="B20" s="18" t="s">
        <v>218</v>
      </c>
      <c r="C20" s="18" t="s">
        <v>36</v>
      </c>
      <c r="D20" s="15"/>
    </row>
    <row r="21" spans="1:4" ht="18" x14ac:dyDescent="0.2">
      <c r="A21" s="1" t="s">
        <v>37</v>
      </c>
      <c r="B21" s="1" t="s">
        <v>214</v>
      </c>
      <c r="C21" s="1" t="s">
        <v>38</v>
      </c>
      <c r="D21" s="15"/>
    </row>
    <row r="22" spans="1:4" ht="18" x14ac:dyDescent="0.2">
      <c r="A22" s="18" t="s">
        <v>39</v>
      </c>
      <c r="B22" s="18" t="s">
        <v>225</v>
      </c>
      <c r="C22" s="18" t="s">
        <v>40</v>
      </c>
      <c r="D22" s="15"/>
    </row>
    <row r="23" spans="1:4" ht="18" x14ac:dyDescent="0.2">
      <c r="A23" s="1" t="s">
        <v>41</v>
      </c>
      <c r="B23" s="1"/>
      <c r="C23" s="17" t="str">
        <f>HYPERLINK("mailto:klakkara@gmail.com","klakkara@gmail.com ")</f>
        <v>klakkara@gmail.com </v>
      </c>
      <c r="D23" s="15"/>
    </row>
    <row r="24" spans="1:4" ht="18" x14ac:dyDescent="0.2">
      <c r="A24" s="16" t="s">
        <v>43</v>
      </c>
      <c r="B24" s="1"/>
      <c r="C24" s="17" t="str">
        <f>HYPERLINK("mailto:NSlevy@arlingtonva.us","NSlevy@arlingtonva.us")</f>
        <v>NSlevy@arlingtonva.us</v>
      </c>
      <c r="D24" s="15"/>
    </row>
    <row r="25" spans="1:4" ht="18" x14ac:dyDescent="0.2">
      <c r="A25" s="1" t="s">
        <v>45</v>
      </c>
      <c r="B25" s="1" t="s">
        <v>226</v>
      </c>
      <c r="C25" s="1" t="s">
        <v>46</v>
      </c>
      <c r="D25" s="15"/>
    </row>
    <row r="26" spans="1:4" ht="18" x14ac:dyDescent="0.2">
      <c r="A26" s="1" t="s">
        <v>47</v>
      </c>
      <c r="B26" s="1"/>
      <c r="C26" s="1" t="s">
        <v>48</v>
      </c>
      <c r="D26" s="15"/>
    </row>
    <row r="27" spans="1:4" ht="18" x14ac:dyDescent="0.2">
      <c r="A27" s="18" t="s">
        <v>49</v>
      </c>
      <c r="B27" s="18" t="s">
        <v>227</v>
      </c>
      <c r="C27" s="18" t="s">
        <v>50</v>
      </c>
      <c r="D27" s="15"/>
    </row>
    <row r="28" spans="1:4" ht="18" x14ac:dyDescent="0.2">
      <c r="A28" s="1" t="s">
        <v>51</v>
      </c>
      <c r="B28" s="1"/>
      <c r="C28" s="1" t="s">
        <v>52</v>
      </c>
      <c r="D28" s="15"/>
    </row>
    <row r="29" spans="1:4" ht="18" x14ac:dyDescent="0.2">
      <c r="A29" s="18" t="s">
        <v>53</v>
      </c>
      <c r="B29" s="18" t="s">
        <v>228</v>
      </c>
      <c r="C29" s="19" t="str">
        <f>HYPERLINK("mailto:andrea.morris@vt.edu","andrea.morris@vt.edu")</f>
        <v>andrea.morris@vt.edu</v>
      </c>
      <c r="D29" s="15"/>
    </row>
    <row r="30" spans="1:4" ht="18" x14ac:dyDescent="0.2">
      <c r="A30" s="1" t="s">
        <v>55</v>
      </c>
      <c r="B30" s="1"/>
      <c r="C30" s="1" t="s">
        <v>56</v>
      </c>
      <c r="D30" s="15"/>
    </row>
    <row r="31" spans="1:4" ht="18" x14ac:dyDescent="0.2">
      <c r="A31" s="18" t="s">
        <v>57</v>
      </c>
      <c r="B31" s="18" t="s">
        <v>229</v>
      </c>
      <c r="C31" s="18" t="s">
        <v>58</v>
      </c>
      <c r="D31" s="15"/>
    </row>
    <row r="32" spans="1:4" ht="18" x14ac:dyDescent="0.2">
      <c r="A32" s="18" t="s">
        <v>59</v>
      </c>
      <c r="B32" s="18" t="s">
        <v>214</v>
      </c>
      <c r="C32" s="18" t="s">
        <v>60</v>
      </c>
      <c r="D32" s="15"/>
    </row>
    <row r="33" spans="1:4" ht="18" x14ac:dyDescent="0.2">
      <c r="A33" s="1" t="s">
        <v>61</v>
      </c>
      <c r="B33" s="1"/>
      <c r="C33" s="1" t="s">
        <v>62</v>
      </c>
      <c r="D33" s="15"/>
    </row>
    <row r="34" spans="1:4" ht="18" x14ac:dyDescent="0.2">
      <c r="A34" s="18" t="s">
        <v>63</v>
      </c>
      <c r="B34" s="18" t="s">
        <v>214</v>
      </c>
      <c r="C34" s="18" t="s">
        <v>64</v>
      </c>
      <c r="D34" s="15"/>
    </row>
    <row r="35" spans="1:4" ht="18" x14ac:dyDescent="0.2">
      <c r="A35" s="18" t="s">
        <v>65</v>
      </c>
      <c r="B35" s="18" t="s">
        <v>214</v>
      </c>
      <c r="C35" s="18" t="s">
        <v>66</v>
      </c>
      <c r="D35" s="15"/>
    </row>
    <row r="36" spans="1:4" ht="18" x14ac:dyDescent="0.2">
      <c r="A36" s="16" t="s">
        <v>67</v>
      </c>
      <c r="B36" s="1"/>
      <c r="C36" s="17" t="str">
        <f>HYPERLINK("mailto:greyes@arlingtonva.us","greyes@arlingtonva.us")</f>
        <v>greyes@arlingtonva.us</v>
      </c>
      <c r="D36" s="15"/>
    </row>
    <row r="37" spans="1:4" ht="18" x14ac:dyDescent="0.2">
      <c r="A37" s="1" t="s">
        <v>69</v>
      </c>
      <c r="B37" s="1" t="s">
        <v>230</v>
      </c>
      <c r="C37" s="1" t="s">
        <v>70</v>
      </c>
      <c r="D37" s="15"/>
    </row>
    <row r="38" spans="1:4" ht="18" x14ac:dyDescent="0.2">
      <c r="A38" s="18" t="s">
        <v>71</v>
      </c>
      <c r="B38" s="18" t="s">
        <v>223</v>
      </c>
      <c r="C38" s="18" t="s">
        <v>72</v>
      </c>
      <c r="D38" s="15"/>
    </row>
    <row r="39" spans="1:4" ht="18" x14ac:dyDescent="0.2">
      <c r="A39" s="18" t="s">
        <v>73</v>
      </c>
      <c r="B39" s="18" t="s">
        <v>221</v>
      </c>
      <c r="C39" s="18" t="s">
        <v>74</v>
      </c>
      <c r="D39" s="15"/>
    </row>
    <row r="40" spans="1:4" ht="18" x14ac:dyDescent="0.2">
      <c r="A40" s="1" t="s">
        <v>75</v>
      </c>
      <c r="B40" s="1"/>
      <c r="C40" s="1" t="s">
        <v>76</v>
      </c>
      <c r="D40" s="15"/>
    </row>
    <row r="41" spans="1:4" ht="18" x14ac:dyDescent="0.2">
      <c r="A41" s="18" t="s">
        <v>77</v>
      </c>
      <c r="B41" s="18" t="s">
        <v>224</v>
      </c>
      <c r="C41" s="18" t="s">
        <v>78</v>
      </c>
      <c r="D41" s="15"/>
    </row>
    <row r="42" spans="1:4" ht="18" x14ac:dyDescent="0.2">
      <c r="A42" s="18" t="s">
        <v>79</v>
      </c>
      <c r="B42" s="18" t="s">
        <v>223</v>
      </c>
      <c r="C42" s="18" t="s">
        <v>80</v>
      </c>
      <c r="D42" s="15"/>
    </row>
    <row r="43" spans="1:4" ht="18" x14ac:dyDescent="0.2">
      <c r="A43" s="1" t="s">
        <v>81</v>
      </c>
      <c r="B43" s="1" t="s">
        <v>226</v>
      </c>
      <c r="C43" s="1" t="s">
        <v>82</v>
      </c>
      <c r="D43" s="15"/>
    </row>
    <row r="44" spans="1:4" ht="18" x14ac:dyDescent="0.2">
      <c r="A44" s="18" t="s">
        <v>83</v>
      </c>
      <c r="B44" s="18" t="s">
        <v>231</v>
      </c>
      <c r="C44" s="18" t="s">
        <v>84</v>
      </c>
      <c r="D44" s="15"/>
    </row>
    <row r="45" spans="1:4" ht="18" x14ac:dyDescent="0.2">
      <c r="A45" s="1" t="s">
        <v>85</v>
      </c>
      <c r="B45" s="18" t="s">
        <v>218</v>
      </c>
      <c r="C45" s="1" t="s">
        <v>86</v>
      </c>
      <c r="D45" s="15"/>
    </row>
    <row r="46" spans="1:4" ht="18" x14ac:dyDescent="0.2">
      <c r="A46" s="18" t="s">
        <v>87</v>
      </c>
      <c r="B46" s="18" t="s">
        <v>214</v>
      </c>
      <c r="C46" s="18" t="s">
        <v>88</v>
      </c>
      <c r="D46" s="15"/>
    </row>
    <row r="47" spans="1:4" ht="18" x14ac:dyDescent="0.2">
      <c r="A47" s="18" t="s">
        <v>89</v>
      </c>
      <c r="B47" s="18" t="s">
        <v>225</v>
      </c>
      <c r="C47" s="18" t="s">
        <v>90</v>
      </c>
      <c r="D47" s="15"/>
    </row>
    <row r="48" spans="1:4" ht="18" x14ac:dyDescent="0.2">
      <c r="A48" s="1" t="s">
        <v>91</v>
      </c>
      <c r="B48" s="1"/>
      <c r="C48" s="1" t="s">
        <v>92</v>
      </c>
      <c r="D48" s="15"/>
    </row>
    <row r="49" spans="1:4" ht="18" x14ac:dyDescent="0.2">
      <c r="A49" s="1" t="s">
        <v>93</v>
      </c>
      <c r="B49" s="1"/>
      <c r="C49" s="1" t="s">
        <v>94</v>
      </c>
      <c r="D49" s="15"/>
    </row>
    <row r="50" spans="1:4" ht="18" x14ac:dyDescent="0.2">
      <c r="A50" s="1" t="s">
        <v>95</v>
      </c>
      <c r="B50" s="1" t="s">
        <v>232</v>
      </c>
      <c r="C50" s="1" t="s">
        <v>96</v>
      </c>
      <c r="D50" s="15"/>
    </row>
    <row r="51" spans="1:4" ht="18" x14ac:dyDescent="0.2">
      <c r="A51" s="18" t="s">
        <v>97</v>
      </c>
      <c r="B51" s="18" t="s">
        <v>233</v>
      </c>
      <c r="C51" s="18" t="s">
        <v>98</v>
      </c>
      <c r="D51" s="15"/>
    </row>
    <row r="52" spans="1:4" ht="18" x14ac:dyDescent="0.2">
      <c r="A52" s="1" t="s">
        <v>99</v>
      </c>
      <c r="B52" s="1" t="s">
        <v>226</v>
      </c>
      <c r="C52" s="1" t="s">
        <v>100</v>
      </c>
      <c r="D52" s="15"/>
    </row>
    <row r="53" spans="1:4" ht="18" x14ac:dyDescent="0.2">
      <c r="A53" s="20" t="s">
        <v>101</v>
      </c>
      <c r="B53" s="20" t="s">
        <v>234</v>
      </c>
      <c r="C53" s="20" t="s">
        <v>102</v>
      </c>
      <c r="D53" s="15"/>
    </row>
    <row r="54" spans="1:4" ht="18" x14ac:dyDescent="0.2">
      <c r="A54" s="1" t="s">
        <v>103</v>
      </c>
      <c r="B54" s="1"/>
      <c r="C54" s="1" t="s">
        <v>104</v>
      </c>
      <c r="D54" s="15"/>
    </row>
    <row r="55" spans="1:4" ht="18" x14ac:dyDescent="0.2">
      <c r="A55" s="25" t="s">
        <v>105</v>
      </c>
      <c r="B55" s="26"/>
      <c r="C55" s="26" t="s">
        <v>106</v>
      </c>
      <c r="D55" s="27"/>
    </row>
    <row r="56" spans="1:4" ht="18" x14ac:dyDescent="0.2">
      <c r="A56" s="28" t="s">
        <v>238</v>
      </c>
      <c r="B56" s="29" t="s">
        <v>240</v>
      </c>
      <c r="C56" s="29" t="s">
        <v>239</v>
      </c>
      <c r="D56" s="30"/>
    </row>
    <row r="57" spans="1:4" ht="18" x14ac:dyDescent="0.2">
      <c r="A57" s="31" t="s">
        <v>242</v>
      </c>
      <c r="B57" s="29" t="s">
        <v>240</v>
      </c>
      <c r="C57" s="29" t="s">
        <v>241</v>
      </c>
      <c r="D57" s="30"/>
    </row>
  </sheetData>
  <hyperlinks>
    <hyperlink ref="C3" r:id="rId1" display="mailto:kafzal@arlingtonva.us"/>
    <hyperlink ref="C5" r:id="rId2" display="mailto:Bbenso@arlingtonva.us"/>
    <hyperlink ref="C23" r:id="rId3" display="mailto:klakkara@gmail.com"/>
    <hyperlink ref="C24" r:id="rId4" display="mailto:NSlevy@arlingtonva.us"/>
    <hyperlink ref="C29" r:id="rId5" display="mailto:andrea.morris@vt.edu"/>
    <hyperlink ref="C36" r:id="rId6" display="mailto:greyes@arlingtonva.u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opLeftCell="A32" zoomScale="137" zoomScaleNormal="137" zoomScalePageLayoutView="137" workbookViewId="0">
      <selection activeCell="B50" sqref="B50"/>
    </sheetView>
  </sheetViews>
  <sheetFormatPr baseColWidth="10" defaultRowHeight="16" x14ac:dyDescent="0.2"/>
  <cols>
    <col min="1" max="1" width="51.1640625" customWidth="1"/>
    <col min="2" max="2" width="38.83203125" style="5" customWidth="1"/>
  </cols>
  <sheetData>
    <row r="1" spans="1:2" x14ac:dyDescent="0.2">
      <c r="A1" s="3" t="s">
        <v>108</v>
      </c>
      <c r="B1" s="3" t="s">
        <v>107</v>
      </c>
    </row>
    <row r="2" spans="1:2" x14ac:dyDescent="0.2">
      <c r="A2" s="3" t="s">
        <v>110</v>
      </c>
      <c r="B2" s="5" t="s">
        <v>109</v>
      </c>
    </row>
    <row r="3" spans="1:2" x14ac:dyDescent="0.2">
      <c r="A3" s="3" t="s">
        <v>111</v>
      </c>
      <c r="B3" s="5" t="s">
        <v>112</v>
      </c>
    </row>
    <row r="4" spans="1:2" x14ac:dyDescent="0.2">
      <c r="A4" s="3" t="s">
        <v>113</v>
      </c>
      <c r="B4" s="5" t="s">
        <v>114</v>
      </c>
    </row>
    <row r="5" spans="1:2" x14ac:dyDescent="0.2">
      <c r="A5" s="3" t="s">
        <v>115</v>
      </c>
      <c r="B5" s="5" t="s">
        <v>116</v>
      </c>
    </row>
    <row r="6" spans="1:2" x14ac:dyDescent="0.2">
      <c r="A6" s="3" t="s">
        <v>174</v>
      </c>
      <c r="B6" s="3" t="s">
        <v>117</v>
      </c>
    </row>
    <row r="7" spans="1:2" x14ac:dyDescent="0.2">
      <c r="A7" s="3" t="s">
        <v>173</v>
      </c>
      <c r="B7" s="3" t="s">
        <v>118</v>
      </c>
    </row>
    <row r="8" spans="1:2" x14ac:dyDescent="0.2">
      <c r="A8" s="3" t="s">
        <v>173</v>
      </c>
      <c r="B8" s="3" t="s">
        <v>119</v>
      </c>
    </row>
    <row r="9" spans="1:2" x14ac:dyDescent="0.2">
      <c r="A9" s="3" t="s">
        <v>173</v>
      </c>
      <c r="B9" s="3" t="s">
        <v>120</v>
      </c>
    </row>
    <row r="10" spans="1:2" x14ac:dyDescent="0.2">
      <c r="A10" s="3" t="s">
        <v>173</v>
      </c>
      <c r="B10" s="3" t="s">
        <v>121</v>
      </c>
    </row>
    <row r="11" spans="1:2" x14ac:dyDescent="0.2">
      <c r="A11" s="3" t="s">
        <v>173</v>
      </c>
      <c r="B11" s="3" t="s">
        <v>122</v>
      </c>
    </row>
    <row r="12" spans="1:2" x14ac:dyDescent="0.2">
      <c r="A12" s="3" t="s">
        <v>173</v>
      </c>
      <c r="B12" s="3" t="s">
        <v>123</v>
      </c>
    </row>
    <row r="13" spans="1:2" x14ac:dyDescent="0.2">
      <c r="A13" s="3" t="s">
        <v>175</v>
      </c>
      <c r="B13" s="3" t="s">
        <v>124</v>
      </c>
    </row>
    <row r="14" spans="1:2" x14ac:dyDescent="0.2">
      <c r="A14" s="3" t="s">
        <v>176</v>
      </c>
      <c r="B14" s="3" t="s">
        <v>125</v>
      </c>
    </row>
    <row r="15" spans="1:2" x14ac:dyDescent="0.2">
      <c r="A15" s="3" t="s">
        <v>176</v>
      </c>
      <c r="B15" s="3" t="s">
        <v>126</v>
      </c>
    </row>
    <row r="16" spans="1:2" x14ac:dyDescent="0.2">
      <c r="A16" s="3" t="s">
        <v>176</v>
      </c>
      <c r="B16" s="3" t="s">
        <v>127</v>
      </c>
    </row>
    <row r="17" spans="1:2" x14ac:dyDescent="0.2">
      <c r="A17" s="3" t="s">
        <v>176</v>
      </c>
      <c r="B17" s="3" t="s">
        <v>128</v>
      </c>
    </row>
    <row r="18" spans="1:2" x14ac:dyDescent="0.2">
      <c r="A18" s="3" t="s">
        <v>176</v>
      </c>
      <c r="B18" s="3" t="s">
        <v>129</v>
      </c>
    </row>
    <row r="19" spans="1:2" x14ac:dyDescent="0.2">
      <c r="A19" s="3" t="s">
        <v>174</v>
      </c>
      <c r="B19" s="3" t="s">
        <v>130</v>
      </c>
    </row>
    <row r="20" spans="1:2" x14ac:dyDescent="0.2">
      <c r="A20" s="3" t="s">
        <v>177</v>
      </c>
      <c r="B20" s="3" t="s">
        <v>131</v>
      </c>
    </row>
    <row r="21" spans="1:2" x14ac:dyDescent="0.2">
      <c r="A21" s="3" t="s">
        <v>178</v>
      </c>
      <c r="B21" s="3" t="s">
        <v>132</v>
      </c>
    </row>
    <row r="22" spans="1:2" x14ac:dyDescent="0.2">
      <c r="A22" s="3" t="s">
        <v>179</v>
      </c>
      <c r="B22" s="3" t="s">
        <v>133</v>
      </c>
    </row>
    <row r="23" spans="1:2" x14ac:dyDescent="0.2">
      <c r="A23" s="3" t="s">
        <v>179</v>
      </c>
      <c r="B23" s="3" t="s">
        <v>134</v>
      </c>
    </row>
    <row r="24" spans="1:2" x14ac:dyDescent="0.2">
      <c r="A24" s="3" t="s">
        <v>179</v>
      </c>
      <c r="B24" s="3" t="s">
        <v>135</v>
      </c>
    </row>
    <row r="25" spans="1:2" x14ac:dyDescent="0.2">
      <c r="A25" s="5" t="s">
        <v>235</v>
      </c>
      <c r="B25" s="3" t="s">
        <v>136</v>
      </c>
    </row>
    <row r="26" spans="1:2" x14ac:dyDescent="0.2">
      <c r="A26" s="5" t="s">
        <v>140</v>
      </c>
      <c r="B26" s="3" t="s">
        <v>137</v>
      </c>
    </row>
    <row r="27" spans="1:2" x14ac:dyDescent="0.2">
      <c r="A27" s="5" t="s">
        <v>140</v>
      </c>
      <c r="B27" s="3" t="s">
        <v>138</v>
      </c>
    </row>
    <row r="28" spans="1:2" x14ac:dyDescent="0.2">
      <c r="A28" s="5" t="s">
        <v>140</v>
      </c>
      <c r="B28" s="3" t="s">
        <v>139</v>
      </c>
    </row>
    <row r="29" spans="1:2" x14ac:dyDescent="0.2">
      <c r="A29" s="3" t="s">
        <v>141</v>
      </c>
      <c r="B29" s="3" t="s">
        <v>182</v>
      </c>
    </row>
    <row r="30" spans="1:2" x14ac:dyDescent="0.2">
      <c r="A30" s="3" t="s">
        <v>141</v>
      </c>
      <c r="B30" s="3" t="s">
        <v>142</v>
      </c>
    </row>
    <row r="31" spans="1:2" x14ac:dyDescent="0.2">
      <c r="A31" s="3" t="s">
        <v>143</v>
      </c>
      <c r="B31" s="3" t="s">
        <v>183</v>
      </c>
    </row>
    <row r="32" spans="1:2" x14ac:dyDescent="0.2">
      <c r="A32" s="3" t="s">
        <v>143</v>
      </c>
      <c r="B32" s="3" t="s">
        <v>184</v>
      </c>
    </row>
    <row r="33" spans="1:2" x14ac:dyDescent="0.2">
      <c r="A33" s="3" t="s">
        <v>144</v>
      </c>
      <c r="B33" s="5" t="s">
        <v>180</v>
      </c>
    </row>
    <row r="34" spans="1:2" x14ac:dyDescent="0.2">
      <c r="A34" s="3" t="s">
        <v>145</v>
      </c>
      <c r="B34" s="5" t="s">
        <v>181</v>
      </c>
    </row>
    <row r="35" spans="1:2" x14ac:dyDescent="0.2">
      <c r="A35" s="3" t="s">
        <v>146</v>
      </c>
      <c r="B35" s="3" t="s">
        <v>149</v>
      </c>
    </row>
    <row r="36" spans="1:2" x14ac:dyDescent="0.2">
      <c r="A36" s="3" t="s">
        <v>148</v>
      </c>
      <c r="B36" s="3" t="s">
        <v>150</v>
      </c>
    </row>
    <row r="37" spans="1:2" x14ac:dyDescent="0.2">
      <c r="A37" s="3" t="s">
        <v>147</v>
      </c>
      <c r="B37" s="3" t="s">
        <v>151</v>
      </c>
    </row>
    <row r="38" spans="1:2" x14ac:dyDescent="0.2">
      <c r="A38" s="3" t="s">
        <v>153</v>
      </c>
      <c r="B38" s="3" t="s">
        <v>152</v>
      </c>
    </row>
    <row r="39" spans="1:2" x14ac:dyDescent="0.2">
      <c r="A39" s="3" t="s">
        <v>154</v>
      </c>
      <c r="B39" s="3" t="s">
        <v>155</v>
      </c>
    </row>
    <row r="40" spans="1:2" x14ac:dyDescent="0.2">
      <c r="A40" s="5" t="s">
        <v>156</v>
      </c>
      <c r="B40" s="3" t="s">
        <v>157</v>
      </c>
    </row>
    <row r="41" spans="1:2" x14ac:dyDescent="0.2">
      <c r="A41" s="23" t="s">
        <v>159</v>
      </c>
      <c r="B41" s="24" t="s">
        <v>158</v>
      </c>
    </row>
    <row r="42" spans="1:2" x14ac:dyDescent="0.2">
      <c r="A42" s="4" t="s">
        <v>167</v>
      </c>
      <c r="B42" s="6" t="s">
        <v>160</v>
      </c>
    </row>
    <row r="43" spans="1:2" x14ac:dyDescent="0.2">
      <c r="A43" s="21" t="s">
        <v>162</v>
      </c>
      <c r="B43" s="6" t="s">
        <v>161</v>
      </c>
    </row>
    <row r="44" spans="1:2" x14ac:dyDescent="0.2">
      <c r="A44" s="5" t="s">
        <v>163</v>
      </c>
      <c r="B44" s="5" t="s">
        <v>164</v>
      </c>
    </row>
    <row r="45" spans="1:2" x14ac:dyDescent="0.2">
      <c r="A45" s="5" t="s">
        <v>165</v>
      </c>
      <c r="B45" s="5" t="s">
        <v>166</v>
      </c>
    </row>
    <row r="46" spans="1:2" x14ac:dyDescent="0.2">
      <c r="A46" s="5" t="s">
        <v>168</v>
      </c>
      <c r="B46" s="5" t="s">
        <v>169</v>
      </c>
    </row>
    <row r="47" spans="1:2" x14ac:dyDescent="0.2">
      <c r="A47" s="3" t="s">
        <v>172</v>
      </c>
      <c r="B47" s="5" t="s">
        <v>170</v>
      </c>
    </row>
    <row r="48" spans="1:2" x14ac:dyDescent="0.2">
      <c r="A48" s="3" t="s">
        <v>236</v>
      </c>
      <c r="B48" s="5" t="s">
        <v>171</v>
      </c>
    </row>
    <row r="49" spans="1:2" x14ac:dyDescent="0.2">
      <c r="A49" s="8" t="s">
        <v>212</v>
      </c>
      <c r="B49" s="22" t="s">
        <v>213</v>
      </c>
    </row>
    <row r="50" spans="1:2" x14ac:dyDescent="0.2">
      <c r="A50" t="s">
        <v>269</v>
      </c>
      <c r="B50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F23" sqref="F23"/>
    </sheetView>
  </sheetViews>
  <sheetFormatPr baseColWidth="10" defaultRowHeight="16" x14ac:dyDescent="0.2"/>
  <cols>
    <col min="1" max="1" width="33.33203125" customWidth="1"/>
    <col min="2" max="2" width="32.6640625" hidden="1" customWidth="1"/>
    <col min="3" max="3" width="28.33203125" hidden="1" customWidth="1"/>
    <col min="4" max="4" width="27.6640625" hidden="1" customWidth="1"/>
    <col min="5" max="5" width="28.6640625" hidden="1" customWidth="1"/>
  </cols>
  <sheetData>
    <row r="1" spans="1:5" x14ac:dyDescent="0.2">
      <c r="A1" t="s">
        <v>210</v>
      </c>
    </row>
    <row r="2" spans="1:5" ht="17" x14ac:dyDescent="0.2">
      <c r="A2" s="14" t="s">
        <v>188</v>
      </c>
      <c r="B2" s="14" t="s">
        <v>189</v>
      </c>
      <c r="C2" s="14" t="s">
        <v>190</v>
      </c>
      <c r="D2" s="14"/>
      <c r="E2" s="14"/>
    </row>
    <row r="3" spans="1:5" ht="17" x14ac:dyDescent="0.2">
      <c r="A3" s="14" t="s">
        <v>191</v>
      </c>
      <c r="B3" s="14" t="s">
        <v>192</v>
      </c>
      <c r="C3" s="14" t="s">
        <v>193</v>
      </c>
      <c r="D3" s="14"/>
      <c r="E3" s="14"/>
    </row>
    <row r="4" spans="1:5" ht="17" x14ac:dyDescent="0.2">
      <c r="A4" s="14" t="s">
        <v>194</v>
      </c>
      <c r="B4" s="14" t="s">
        <v>195</v>
      </c>
      <c r="C4" s="14" t="s">
        <v>196</v>
      </c>
      <c r="D4" s="14" t="s">
        <v>197</v>
      </c>
      <c r="E4" s="14" t="s">
        <v>198</v>
      </c>
    </row>
    <row r="5" spans="1:5" ht="17" x14ac:dyDescent="0.2">
      <c r="A5" s="14" t="s">
        <v>199</v>
      </c>
      <c r="B5" s="14"/>
      <c r="C5" s="14"/>
      <c r="D5" s="14"/>
      <c r="E5" s="14"/>
    </row>
    <row r="6" spans="1:5" ht="17" x14ac:dyDescent="0.2">
      <c r="A6" s="14" t="s">
        <v>200</v>
      </c>
      <c r="B6" s="14" t="s">
        <v>201</v>
      </c>
      <c r="C6" s="14" t="s">
        <v>202</v>
      </c>
      <c r="D6" s="14" t="s">
        <v>203</v>
      </c>
      <c r="E6" s="14"/>
    </row>
    <row r="7" spans="1:5" ht="17" x14ac:dyDescent="0.2">
      <c r="A7" s="14" t="s">
        <v>204</v>
      </c>
      <c r="B7" s="14" t="s">
        <v>205</v>
      </c>
      <c r="C7" s="14" t="s">
        <v>206</v>
      </c>
      <c r="D7" s="14" t="s">
        <v>207</v>
      </c>
      <c r="E7" s="14"/>
    </row>
    <row r="8" spans="1:5" ht="17" x14ac:dyDescent="0.2">
      <c r="A8" s="14" t="s">
        <v>208</v>
      </c>
      <c r="B8" s="14"/>
      <c r="C8" s="14"/>
      <c r="D8" s="14"/>
      <c r="E8" s="14"/>
    </row>
    <row r="9" spans="1:5" ht="17" x14ac:dyDescent="0.2">
      <c r="A9" s="14" t="s">
        <v>209</v>
      </c>
      <c r="B9" s="14"/>
      <c r="C9" s="14"/>
      <c r="D9" s="14"/>
      <c r="E9" s="14"/>
    </row>
    <row r="10" spans="1:5" ht="17" x14ac:dyDescent="0.2">
      <c r="A10" s="14" t="s">
        <v>189</v>
      </c>
      <c r="B10" s="14"/>
      <c r="C10" s="14"/>
      <c r="D10" s="14"/>
      <c r="E10" s="14"/>
    </row>
    <row r="11" spans="1:5" ht="17" x14ac:dyDescent="0.2">
      <c r="A11" s="14" t="s">
        <v>192</v>
      </c>
    </row>
    <row r="12" spans="1:5" ht="17" x14ac:dyDescent="0.2">
      <c r="A12" s="14" t="s">
        <v>195</v>
      </c>
    </row>
    <row r="13" spans="1:5" ht="17" x14ac:dyDescent="0.2">
      <c r="A13" s="14" t="s">
        <v>201</v>
      </c>
    </row>
    <row r="14" spans="1:5" ht="17" x14ac:dyDescent="0.2">
      <c r="A14" s="14" t="s">
        <v>205</v>
      </c>
    </row>
    <row r="15" spans="1:5" ht="17" x14ac:dyDescent="0.2">
      <c r="A15" s="14" t="s">
        <v>190</v>
      </c>
    </row>
    <row r="16" spans="1:5" ht="17" x14ac:dyDescent="0.2">
      <c r="A16" s="14" t="s">
        <v>193</v>
      </c>
    </row>
    <row r="17" spans="1:1" ht="17" x14ac:dyDescent="0.2">
      <c r="A17" s="14" t="s">
        <v>196</v>
      </c>
    </row>
    <row r="18" spans="1:1" ht="17" x14ac:dyDescent="0.2">
      <c r="A18" s="14" t="s">
        <v>198</v>
      </c>
    </row>
    <row r="19" spans="1:1" ht="17" x14ac:dyDescent="0.2">
      <c r="A19" s="14" t="s">
        <v>202</v>
      </c>
    </row>
    <row r="20" spans="1:1" ht="17" x14ac:dyDescent="0.2">
      <c r="A20" s="14" t="s">
        <v>206</v>
      </c>
    </row>
    <row r="21" spans="1:1" ht="17" x14ac:dyDescent="0.2">
      <c r="A21" s="14" t="s">
        <v>197</v>
      </c>
    </row>
    <row r="22" spans="1:1" ht="17" x14ac:dyDescent="0.2">
      <c r="A22" s="14" t="s">
        <v>203</v>
      </c>
    </row>
    <row r="23" spans="1:1" ht="17" x14ac:dyDescent="0.2">
      <c r="A23" s="1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Friends of SDAL</vt:lpstr>
      <vt:lpstr>Emails from SDAL Staff</vt:lpstr>
      <vt:lpstr>From Students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2017-06-13T12:27:09Z</dcterms:created>
  <dcterms:modified xsi:type="dcterms:W3CDTF">2017-07-07T12:47:16Z</dcterms:modified>
</cp:coreProperties>
</file>