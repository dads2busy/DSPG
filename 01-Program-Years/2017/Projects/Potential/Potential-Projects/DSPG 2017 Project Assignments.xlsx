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Projects and Teams" sheetId="1" r:id="rId3"/>
    <sheet state="visible" name="Student Preferences" sheetId="2" r:id="rId4"/>
    <sheet state="visible" name="Other" sheetId="3" r:id="rId5"/>
  </sheets>
  <definedNames/>
  <calcPr/>
</workbook>
</file>

<file path=xl/sharedStrings.xml><?xml version="1.0" encoding="utf-8"?>
<sst xmlns="http://schemas.openxmlformats.org/spreadsheetml/2006/main" count="502" uniqueCount="226">
  <si>
    <t>SDAL project</t>
  </si>
  <si>
    <t>Priority</t>
  </si>
  <si>
    <t xml:space="preserve">Student </t>
  </si>
  <si>
    <t>VDH??</t>
  </si>
  <si>
    <t>EMS to Trauma linkage</t>
  </si>
  <si>
    <t>Dave</t>
  </si>
  <si>
    <t>Gizem, Aaron, Josh</t>
  </si>
  <si>
    <t>Low</t>
  </si>
  <si>
    <t>APAH</t>
  </si>
  <si>
    <t>Major</t>
  </si>
  <si>
    <t>Vicki</t>
  </si>
  <si>
    <t>Class</t>
  </si>
  <si>
    <t>SDAL</t>
  </si>
  <si>
    <t>R</t>
  </si>
  <si>
    <t>Other</t>
  </si>
  <si>
    <t>Master Address??</t>
  </si>
  <si>
    <t>Preference - Community 1</t>
  </si>
  <si>
    <t>Aaron</t>
  </si>
  <si>
    <t>Preference - Community 2</t>
  </si>
  <si>
    <t>Preference 1</t>
  </si>
  <si>
    <t>Apartment Imputation??</t>
  </si>
  <si>
    <t>Preference 2</t>
  </si>
  <si>
    <t>Preference 3</t>
  </si>
  <si>
    <t>Preference 4</t>
  </si>
  <si>
    <t>Josh</t>
  </si>
  <si>
    <t>Hold</t>
  </si>
  <si>
    <t>Movement-ABM</t>
  </si>
  <si>
    <t>Bianica</t>
  </si>
  <si>
    <t>Josh, Gizem, Dave</t>
  </si>
  <si>
    <t>Hannah Brinkley</t>
  </si>
  <si>
    <t>SCHEV??</t>
  </si>
  <si>
    <t>College Non-attenders</t>
  </si>
  <si>
    <t>Steph</t>
  </si>
  <si>
    <t>Aaron, Sallie</t>
  </si>
  <si>
    <t>ARI</t>
  </si>
  <si>
    <t>ABM??</t>
  </si>
  <si>
    <t>Biological Sciences</t>
  </si>
  <si>
    <t>Mark</t>
  </si>
  <si>
    <t>Sophomore Honors</t>
  </si>
  <si>
    <t xml:space="preserve">None </t>
  </si>
  <si>
    <t>Call-Center</t>
  </si>
  <si>
    <t>Java (M) and HTML (L)</t>
  </si>
  <si>
    <t>Roanoke</t>
  </si>
  <si>
    <t>WMATA</t>
  </si>
  <si>
    <t>NSF STEM</t>
  </si>
  <si>
    <t>NSF COCA</t>
  </si>
  <si>
    <t>AC 911</t>
  </si>
  <si>
    <t>Ronnie Fecso</t>
  </si>
  <si>
    <t>Comp Model &amp; Data Anyl</t>
  </si>
  <si>
    <t>Sophomore</t>
  </si>
  <si>
    <t>Low-Med</t>
  </si>
  <si>
    <t>Java(M) and MATLAB (L)</t>
  </si>
  <si>
    <t>New Kent, Alexandria</t>
  </si>
  <si>
    <t>SCHEV</t>
  </si>
  <si>
    <t>The Beach</t>
  </si>
  <si>
    <t>David Hinkle</t>
  </si>
  <si>
    <t>Business Information Tech</t>
  </si>
  <si>
    <t>None</t>
  </si>
  <si>
    <t>SQL (M), Python (L), Java (H)</t>
  </si>
  <si>
    <t>New Kent</t>
  </si>
  <si>
    <t>Eirik Iversen</t>
  </si>
  <si>
    <t>Junior</t>
  </si>
  <si>
    <t>Java (M) and C (M)</t>
  </si>
  <si>
    <t>Fairfax</t>
  </si>
  <si>
    <t>NSF OSS</t>
  </si>
  <si>
    <t>Joseph Kim</t>
  </si>
  <si>
    <t>Python (L) and Java (L)</t>
  </si>
  <si>
    <t>Chanida Lerdritsomboon</t>
  </si>
  <si>
    <t>N/A</t>
  </si>
  <si>
    <t>Arlington</t>
  </si>
  <si>
    <t>Kyle Morgan</t>
  </si>
  <si>
    <t>Mathematics</t>
  </si>
  <si>
    <t>Senior</t>
  </si>
  <si>
    <t>Med</t>
  </si>
  <si>
    <t>Sponsor</t>
  </si>
  <si>
    <t>C/C++ and MATLAB (L)</t>
  </si>
  <si>
    <t>Point(s) of Contact</t>
  </si>
  <si>
    <t>Project</t>
  </si>
  <si>
    <t>PI</t>
  </si>
  <si>
    <t>Co-PI</t>
  </si>
  <si>
    <t>Team</t>
  </si>
  <si>
    <t>Grad Student</t>
  </si>
  <si>
    <t>DSPG</t>
  </si>
  <si>
    <t>High</t>
  </si>
  <si>
    <t>Catherine Vanderwaart</t>
  </si>
  <si>
    <t>Evasion</t>
  </si>
  <si>
    <t>Gizem, Dave, Josh</t>
  </si>
  <si>
    <t>BIG TEAM</t>
  </si>
  <si>
    <t>NSF</t>
  </si>
  <si>
    <t>Gary Anderson</t>
  </si>
  <si>
    <t>COCA</t>
  </si>
  <si>
    <t>Gizem</t>
  </si>
  <si>
    <t>Stephanie</t>
  </si>
  <si>
    <t>Carol Robbins</t>
  </si>
  <si>
    <t>TOSS</t>
  </si>
  <si>
    <t>Pat Ruggles</t>
  </si>
  <si>
    <t>Education</t>
  </si>
  <si>
    <t>Aaron, Gizem</t>
  </si>
  <si>
    <t>Bruce Benson and Mike Gowen</t>
  </si>
  <si>
    <t>Public Safety</t>
  </si>
  <si>
    <t>Aaron, Dave</t>
  </si>
  <si>
    <t>Anita Friedman</t>
  </si>
  <si>
    <t>Human Services Client Characterization</t>
  </si>
  <si>
    <t>SAYALI</t>
  </si>
  <si>
    <t>UG</t>
  </si>
  <si>
    <t>ZARNI</t>
  </si>
  <si>
    <t>Tod Messa</t>
  </si>
  <si>
    <t>SynthPop SCHEV</t>
  </si>
  <si>
    <t>Greg and Andy and Kelly</t>
  </si>
  <si>
    <t>Base Profiling</t>
  </si>
  <si>
    <t>Coop Extension</t>
  </si>
  <si>
    <t>Mike Lamber</t>
  </si>
  <si>
    <t>Community Data &amp; Social Indicatiors</t>
  </si>
  <si>
    <t xml:space="preserve">Vicki </t>
  </si>
  <si>
    <t>Aaron &amp; Dave</t>
  </si>
  <si>
    <t>Everybody</t>
  </si>
  <si>
    <t>LATA</t>
  </si>
  <si>
    <t>-Fairfax</t>
  </si>
  <si>
    <t>Sophia Dutton and Linda Hoffman</t>
  </si>
  <si>
    <t>Youth Projections</t>
  </si>
  <si>
    <t>Gizem, Mark</t>
  </si>
  <si>
    <t>-Alexandria</t>
  </si>
  <si>
    <t>Emily Molfe</t>
  </si>
  <si>
    <t>Equity - Racial &amp; Social</t>
  </si>
  <si>
    <t>Molfe</t>
  </si>
  <si>
    <t>-Ronaoke</t>
  </si>
  <si>
    <t>Jim Bohland</t>
  </si>
  <si>
    <t>Refugees</t>
  </si>
  <si>
    <t>Stephanie, Bianica</t>
  </si>
  <si>
    <t>CLAIRE</t>
  </si>
  <si>
    <t>-New Kent</t>
  </si>
  <si>
    <t>Kimberly C. Turner</t>
  </si>
  <si>
    <t>Aged and Teens Characterized</t>
  </si>
  <si>
    <t>Vicki, Stephanie</t>
  </si>
  <si>
    <t>-Arlington</t>
  </si>
  <si>
    <t>Needs Assesment</t>
  </si>
  <si>
    <t>Lifeguards</t>
  </si>
  <si>
    <t>Rob Brown and Brian Clark</t>
  </si>
  <si>
    <t>grad student</t>
  </si>
  <si>
    <t>NSF STEM, COCA, 911</t>
  </si>
  <si>
    <t>Harsimrat Pandher</t>
  </si>
  <si>
    <t>Python (L) and Java (M)</t>
  </si>
  <si>
    <t>David Park</t>
  </si>
  <si>
    <t>Java (L)</t>
  </si>
  <si>
    <t>Craig Morton</t>
  </si>
  <si>
    <t>Geography</t>
  </si>
  <si>
    <t>Sean Pili</t>
  </si>
  <si>
    <t>Statistics</t>
  </si>
  <si>
    <t>Med-High</t>
  </si>
  <si>
    <t>Python (M), SQL (L), SAS (M)</t>
  </si>
  <si>
    <t>Ben Swartz</t>
  </si>
  <si>
    <t>Electrical Engineering</t>
  </si>
  <si>
    <t>C/C++ and MATLAB (M)</t>
  </si>
  <si>
    <t>Daniel Wilkin</t>
  </si>
  <si>
    <t>Biological Systems Engineering</t>
  </si>
  <si>
    <t>MATLAB (L)</t>
  </si>
  <si>
    <t>Alexandria</t>
  </si>
  <si>
    <t>Adrienne E. Rogers</t>
  </si>
  <si>
    <t>AC DHS</t>
  </si>
  <si>
    <t>Madison Arnsbarger</t>
  </si>
  <si>
    <t>VLDS</t>
  </si>
  <si>
    <t>SQL (H)</t>
  </si>
  <si>
    <t>ARI Base</t>
  </si>
  <si>
    <t>Fellow(s)</t>
  </si>
  <si>
    <t>Students</t>
  </si>
  <si>
    <t>demand</t>
  </si>
  <si>
    <t>Zarni &amp; Lata</t>
  </si>
  <si>
    <t>Eirik, Harsimrat, Craig, David H</t>
  </si>
  <si>
    <t>Eirik (1)</t>
  </si>
  <si>
    <t>Harsimrat (1)</t>
  </si>
  <si>
    <t>Craig (1)</t>
  </si>
  <si>
    <t>David H</t>
  </si>
  <si>
    <t>Claire</t>
  </si>
  <si>
    <t>Daniel, Harsimrat, David P, Joseph</t>
  </si>
  <si>
    <t>Daniel (1)</t>
  </si>
  <si>
    <t>Harsimrat (2)</t>
  </si>
  <si>
    <t>David P</t>
  </si>
  <si>
    <t>Joseph (3)</t>
  </si>
  <si>
    <t>Sayali &amp; Claire</t>
  </si>
  <si>
    <t>Eirik, Ben, Ronnie</t>
  </si>
  <si>
    <t>Eirik (3)</t>
  </si>
  <si>
    <t>Ben (5)</t>
  </si>
  <si>
    <t>Ronnie</t>
  </si>
  <si>
    <t>Maddie</t>
  </si>
  <si>
    <t>Chanida, Hannah, Ben, Daniel</t>
  </si>
  <si>
    <t>Chanida (1)</t>
  </si>
  <si>
    <t>Hannah (2)</t>
  </si>
  <si>
    <t>Ben (2)</t>
  </si>
  <si>
    <t>Daniel</t>
  </si>
  <si>
    <t>Claire &amp; Sayali &amp; Maddie</t>
  </si>
  <si>
    <t xml:space="preserve">Sean, Craig, Kyle, Hannah </t>
  </si>
  <si>
    <t>Sean (2)</t>
  </si>
  <si>
    <t>Craig (2)</t>
  </si>
  <si>
    <t>Kyle (5)</t>
  </si>
  <si>
    <t xml:space="preserve">Hannah </t>
  </si>
  <si>
    <t>Sayali &amp; Zarni</t>
  </si>
  <si>
    <t>Lata</t>
  </si>
  <si>
    <t>Ronnie, Kyle, Sean</t>
  </si>
  <si>
    <t>Ronnie (1)</t>
  </si>
  <si>
    <t>Kyle (1)</t>
  </si>
  <si>
    <t>Sean</t>
  </si>
  <si>
    <t>Zarni</t>
  </si>
  <si>
    <t>David P, David H, Joseph</t>
  </si>
  <si>
    <t>Joseph</t>
  </si>
  <si>
    <t>Dave &amp; Aaron</t>
  </si>
  <si>
    <t>Chanida, Ben, Eirik</t>
  </si>
  <si>
    <t>Ben (1)</t>
  </si>
  <si>
    <t>Eirik (2)</t>
  </si>
  <si>
    <t>Sayali</t>
  </si>
  <si>
    <t>Daniel, Ronnie</t>
  </si>
  <si>
    <t>Daniel (2)</t>
  </si>
  <si>
    <t>Ronnie (3)</t>
  </si>
  <si>
    <t>Kyle, Craig, Hannah</t>
  </si>
  <si>
    <t>Hannah (1)</t>
  </si>
  <si>
    <t>David H, Joseph, David P</t>
  </si>
  <si>
    <t>David H (1)</t>
  </si>
  <si>
    <t>Joseph (1)</t>
  </si>
  <si>
    <t>David P (1)</t>
  </si>
  <si>
    <t>Harsimrat, Chanida, Sean</t>
  </si>
  <si>
    <t>Chanida</t>
  </si>
  <si>
    <t>Eirik</t>
  </si>
  <si>
    <t>Kyle</t>
  </si>
  <si>
    <t>Harsimrat</t>
  </si>
  <si>
    <t>Ben</t>
  </si>
  <si>
    <t>Hannah</t>
  </si>
  <si>
    <t>Craig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</si>
</sst>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/>
    <font>
      <b/>
    </font>
    <font>
      <sz val="12.0"/>
      <color rgb="FF000000"/>
      <name val="Calibri"/>
    </font>
    <font>
      <color rgb="FF000000"/>
      <name val="Arial"/>
    </font>
    <font>
      <color rgb="FF222222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2" fontId="4" numFmtId="0" xfId="0" applyAlignment="1" applyFill="1" applyFont="1">
      <alignment readingOrder="0"/>
    </xf>
    <xf borderId="1" fillId="3" fontId="2" numFmtId="0" xfId="0" applyAlignment="1" applyBorder="1" applyFill="1" applyFont="1">
      <alignment readingOrder="0"/>
    </xf>
    <xf borderId="0" fillId="3" fontId="2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2" fontId="4" numFmtId="0" xfId="0" applyAlignment="1" applyBorder="1" applyFont="1">
      <alignment readingOrder="0"/>
    </xf>
    <xf borderId="1" fillId="0" fontId="1" numFmtId="0" xfId="0" applyBorder="1" applyFont="1"/>
    <xf borderId="0" fillId="2" fontId="5" numFmtId="0" xfId="0" applyAlignment="1" applyFont="1">
      <alignment readingOrder="0"/>
    </xf>
    <xf borderId="0" fillId="3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hidden="1" min="1" max="1" width="18.29"/>
    <col customWidth="1" min="2" max="2" width="18.29"/>
    <col customWidth="1" min="3" max="3" width="29.14"/>
    <col customWidth="1" min="4" max="4" width="35.57"/>
    <col customWidth="1" min="5" max="5" width="16.43"/>
    <col customWidth="1" min="6" max="6" width="15.29"/>
    <col customWidth="1" min="7" max="7" width="29.43"/>
  </cols>
  <sheetData>
    <row r="1">
      <c r="A1" s="1" t="s">
        <v>1</v>
      </c>
      <c r="B1" s="6" t="s">
        <v>74</v>
      </c>
      <c r="C1" s="6" t="s">
        <v>76</v>
      </c>
      <c r="D1" s="6" t="s">
        <v>77</v>
      </c>
      <c r="E1" s="6" t="s">
        <v>78</v>
      </c>
      <c r="F1" s="7" t="s">
        <v>79</v>
      </c>
      <c r="G1" s="6" t="s">
        <v>80</v>
      </c>
      <c r="H1" s="6" t="s">
        <v>81</v>
      </c>
      <c r="I1" s="6" t="s">
        <v>82</v>
      </c>
    </row>
    <row r="2">
      <c r="A2" s="1" t="s">
        <v>83</v>
      </c>
      <c r="B2" s="8" t="s">
        <v>43</v>
      </c>
      <c r="C2" s="8" t="s">
        <v>84</v>
      </c>
      <c r="D2" s="8" t="s">
        <v>85</v>
      </c>
      <c r="E2" s="8" t="s">
        <v>10</v>
      </c>
      <c r="F2" s="8" t="s">
        <v>17</v>
      </c>
      <c r="G2" s="8" t="s">
        <v>86</v>
      </c>
      <c r="H2" s="1"/>
      <c r="I2" s="1"/>
      <c r="J2" s="1" t="s">
        <v>87</v>
      </c>
    </row>
    <row r="3">
      <c r="A3" s="1" t="s">
        <v>83</v>
      </c>
      <c r="B3" s="8" t="s">
        <v>88</v>
      </c>
      <c r="C3" s="8" t="s">
        <v>89</v>
      </c>
      <c r="D3" s="8" t="s">
        <v>90</v>
      </c>
      <c r="E3" s="8" t="s">
        <v>91</v>
      </c>
      <c r="F3" s="8" t="s">
        <v>92</v>
      </c>
      <c r="G3" s="8" t="s">
        <v>27</v>
      </c>
      <c r="H3" s="1"/>
      <c r="I3" s="1"/>
    </row>
    <row r="4">
      <c r="A4" s="1" t="s">
        <v>83</v>
      </c>
      <c r="B4" s="8" t="s">
        <v>88</v>
      </c>
      <c r="C4" s="8" t="s">
        <v>93</v>
      </c>
      <c r="D4" s="8" t="s">
        <v>94</v>
      </c>
      <c r="E4" s="8" t="s">
        <v>92</v>
      </c>
      <c r="F4" s="8" t="s">
        <v>91</v>
      </c>
      <c r="G4" s="8" t="s">
        <v>24</v>
      </c>
      <c r="H4" s="1"/>
      <c r="I4" s="1"/>
    </row>
    <row r="5">
      <c r="A5" s="1" t="s">
        <v>83</v>
      </c>
      <c r="B5" s="8" t="s">
        <v>88</v>
      </c>
      <c r="C5" s="8" t="s">
        <v>95</v>
      </c>
      <c r="D5" s="8" t="s">
        <v>96</v>
      </c>
      <c r="E5" s="8" t="s">
        <v>27</v>
      </c>
      <c r="F5" s="8" t="s">
        <v>92</v>
      </c>
      <c r="G5" s="8" t="s">
        <v>97</v>
      </c>
      <c r="H5" s="1"/>
      <c r="I5" s="1"/>
    </row>
    <row r="6">
      <c r="A6" s="1" t="s">
        <v>83</v>
      </c>
      <c r="B6" s="8" t="s">
        <v>69</v>
      </c>
      <c r="C6" s="8" t="s">
        <v>98</v>
      </c>
      <c r="D6" s="8" t="s">
        <v>99</v>
      </c>
      <c r="E6" s="8" t="s">
        <v>91</v>
      </c>
      <c r="F6" s="8" t="s">
        <v>24</v>
      </c>
      <c r="G6" s="8" t="s">
        <v>100</v>
      </c>
      <c r="H6" s="1"/>
      <c r="I6" s="1"/>
    </row>
    <row r="7">
      <c r="A7" s="1" t="s">
        <v>83</v>
      </c>
      <c r="B7" s="8" t="s">
        <v>69</v>
      </c>
      <c r="C7" s="8" t="s">
        <v>101</v>
      </c>
      <c r="D7" s="8" t="s">
        <v>102</v>
      </c>
      <c r="E7" s="8" t="s">
        <v>17</v>
      </c>
      <c r="F7" s="8" t="s">
        <v>37</v>
      </c>
      <c r="G7" s="8"/>
      <c r="H7" s="1"/>
      <c r="I7" s="1"/>
      <c r="J7" s="1" t="s">
        <v>103</v>
      </c>
      <c r="K7" s="1" t="s">
        <v>104</v>
      </c>
      <c r="L7" s="1" t="s">
        <v>105</v>
      </c>
    </row>
    <row r="8">
      <c r="A8" s="1" t="s">
        <v>83</v>
      </c>
      <c r="B8" s="8" t="s">
        <v>53</v>
      </c>
      <c r="C8" s="8" t="s">
        <v>106</v>
      </c>
      <c r="D8" s="8" t="s">
        <v>107</v>
      </c>
      <c r="E8" s="8" t="s">
        <v>17</v>
      </c>
      <c r="F8" s="8" t="s">
        <v>27</v>
      </c>
      <c r="G8" s="8"/>
      <c r="H8" s="1"/>
      <c r="J8" s="1" t="s">
        <v>103</v>
      </c>
      <c r="K8" s="1" t="s">
        <v>104</v>
      </c>
      <c r="L8" s="1" t="s">
        <v>105</v>
      </c>
    </row>
    <row r="9">
      <c r="A9" s="1" t="s">
        <v>83</v>
      </c>
      <c r="B9" s="8" t="s">
        <v>34</v>
      </c>
      <c r="C9" s="8" t="s">
        <v>108</v>
      </c>
      <c r="D9" s="8" t="s">
        <v>109</v>
      </c>
      <c r="E9" s="8" t="s">
        <v>92</v>
      </c>
      <c r="F9" s="8" t="s">
        <v>24</v>
      </c>
      <c r="G9" s="8" t="s">
        <v>37</v>
      </c>
      <c r="H9" s="1"/>
      <c r="I9" s="1"/>
    </row>
    <row r="10">
      <c r="A10" s="1" t="s">
        <v>83</v>
      </c>
      <c r="B10" s="8" t="s">
        <v>110</v>
      </c>
      <c r="C10" s="8" t="s">
        <v>111</v>
      </c>
      <c r="D10" s="8" t="s">
        <v>112</v>
      </c>
      <c r="E10" s="8" t="s">
        <v>113</v>
      </c>
      <c r="F10" s="8" t="s">
        <v>114</v>
      </c>
      <c r="G10" s="8" t="s">
        <v>115</v>
      </c>
      <c r="H10" s="1"/>
      <c r="I10" s="1"/>
      <c r="J10" s="1" t="s">
        <v>116</v>
      </c>
    </row>
    <row r="11">
      <c r="A11" s="1" t="s">
        <v>83</v>
      </c>
      <c r="B11" s="8" t="s">
        <v>117</v>
      </c>
      <c r="C11" s="8" t="s">
        <v>118</v>
      </c>
      <c r="D11" s="8" t="s">
        <v>119</v>
      </c>
      <c r="E11" s="8" t="s">
        <v>92</v>
      </c>
      <c r="F11" s="9" t="s">
        <v>10</v>
      </c>
      <c r="G11" s="8" t="s">
        <v>120</v>
      </c>
      <c r="H11" s="1"/>
      <c r="I11" s="1"/>
    </row>
    <row r="12">
      <c r="A12" s="1" t="s">
        <v>83</v>
      </c>
      <c r="B12" s="8" t="s">
        <v>121</v>
      </c>
      <c r="C12" s="8" t="s">
        <v>122</v>
      </c>
      <c r="D12" s="8" t="s">
        <v>123</v>
      </c>
      <c r="E12" s="8" t="s">
        <v>124</v>
      </c>
      <c r="F12" s="9" t="s">
        <v>92</v>
      </c>
      <c r="G12" s="8" t="s">
        <v>10</v>
      </c>
      <c r="H12" s="1"/>
      <c r="I12" s="1"/>
    </row>
    <row r="13">
      <c r="A13" s="1" t="s">
        <v>83</v>
      </c>
      <c r="B13" s="8" t="s">
        <v>125</v>
      </c>
      <c r="C13" s="8" t="s">
        <v>126</v>
      </c>
      <c r="D13" s="8" t="s">
        <v>127</v>
      </c>
      <c r="E13" s="8" t="s">
        <v>37</v>
      </c>
      <c r="F13" s="8" t="s">
        <v>91</v>
      </c>
      <c r="G13" s="8" t="s">
        <v>128</v>
      </c>
      <c r="H13" s="1"/>
      <c r="J13" s="1" t="s">
        <v>129</v>
      </c>
    </row>
    <row r="14">
      <c r="A14" s="1" t="s">
        <v>83</v>
      </c>
      <c r="B14" s="8" t="s">
        <v>130</v>
      </c>
      <c r="C14" s="8" t="s">
        <v>131</v>
      </c>
      <c r="D14" s="8" t="s">
        <v>132</v>
      </c>
      <c r="E14" s="8" t="s">
        <v>5</v>
      </c>
      <c r="F14" s="8" t="s">
        <v>17</v>
      </c>
      <c r="G14" s="8" t="s">
        <v>133</v>
      </c>
      <c r="H14" s="1"/>
    </row>
    <row r="15">
      <c r="B15" s="8" t="s">
        <v>134</v>
      </c>
      <c r="C15" s="8" t="s">
        <v>8</v>
      </c>
      <c r="D15" s="8" t="s">
        <v>135</v>
      </c>
      <c r="E15" s="8" t="s">
        <v>10</v>
      </c>
      <c r="F15" s="8" t="s">
        <v>92</v>
      </c>
      <c r="G15" s="10"/>
    </row>
    <row r="18">
      <c r="A18" s="1" t="s">
        <v>83</v>
      </c>
      <c r="B18" s="5" t="s">
        <v>136</v>
      </c>
      <c r="C18" s="8" t="s">
        <v>137</v>
      </c>
      <c r="D18" s="8" t="s">
        <v>54</v>
      </c>
      <c r="E18" s="8" t="s">
        <v>5</v>
      </c>
      <c r="F18" s="8"/>
      <c r="G18" s="8" t="s">
        <v>138</v>
      </c>
      <c r="H18" s="1"/>
      <c r="J18" s="1" t="s">
        <v>116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0"/>
    <col customWidth="1" min="2" max="2" width="29.0"/>
    <col customWidth="1" min="3" max="3" width="18.71"/>
    <col customWidth="1" min="4" max="4" width="9.14"/>
    <col customWidth="1" min="5" max="5" width="27.0"/>
    <col customWidth="1" min="6" max="6" width="24.14"/>
    <col customWidth="1" min="7" max="7" width="22.86"/>
    <col customWidth="1" min="8" max="8" width="37.86"/>
  </cols>
  <sheetData>
    <row r="1">
      <c r="A1" s="2" t="s">
        <v>2</v>
      </c>
      <c r="B1" s="2" t="s">
        <v>9</v>
      </c>
      <c r="C1" s="2" t="s">
        <v>11</v>
      </c>
      <c r="D1" s="2" t="s">
        <v>13</v>
      </c>
      <c r="E1" s="2" t="s">
        <v>14</v>
      </c>
      <c r="F1" s="2" t="s">
        <v>16</v>
      </c>
      <c r="G1" s="2" t="s">
        <v>18</v>
      </c>
      <c r="H1" s="2"/>
      <c r="I1" s="2"/>
      <c r="J1" s="2" t="s">
        <v>19</v>
      </c>
      <c r="K1" s="2" t="s">
        <v>21</v>
      </c>
      <c r="L1" s="2" t="s">
        <v>22</v>
      </c>
      <c r="M1" s="2" t="s">
        <v>23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4" t="s">
        <v>29</v>
      </c>
      <c r="B2" s="4" t="s">
        <v>36</v>
      </c>
      <c r="C2" s="4" t="s">
        <v>38</v>
      </c>
      <c r="D2" s="1" t="s">
        <v>39</v>
      </c>
      <c r="E2" s="1" t="s">
        <v>41</v>
      </c>
      <c r="F2" s="1" t="s">
        <v>42</v>
      </c>
      <c r="G2" s="1"/>
      <c r="H2" s="1"/>
      <c r="I2" s="1"/>
      <c r="J2" s="1" t="s">
        <v>43</v>
      </c>
      <c r="K2" s="1" t="s">
        <v>44</v>
      </c>
      <c r="L2" s="1" t="s">
        <v>45</v>
      </c>
      <c r="M2" s="1" t="s">
        <v>46</v>
      </c>
    </row>
    <row r="3">
      <c r="A3" s="4" t="s">
        <v>47</v>
      </c>
      <c r="B3" s="4" t="s">
        <v>48</v>
      </c>
      <c r="C3" s="4" t="s">
        <v>49</v>
      </c>
      <c r="D3" s="1" t="s">
        <v>50</v>
      </c>
      <c r="E3" s="1" t="s">
        <v>51</v>
      </c>
      <c r="F3" s="1" t="s">
        <v>42</v>
      </c>
      <c r="G3" s="1" t="s">
        <v>52</v>
      </c>
      <c r="H3" s="1"/>
      <c r="I3" s="1"/>
      <c r="J3" s="1" t="s">
        <v>53</v>
      </c>
      <c r="K3" s="1" t="s">
        <v>54</v>
      </c>
    </row>
    <row r="4">
      <c r="A4" s="4" t="s">
        <v>55</v>
      </c>
      <c r="B4" s="4" t="s">
        <v>56</v>
      </c>
      <c r="C4" s="4" t="s">
        <v>49</v>
      </c>
      <c r="D4" s="1" t="s">
        <v>57</v>
      </c>
      <c r="E4" s="1" t="s">
        <v>58</v>
      </c>
      <c r="F4" s="1" t="s">
        <v>59</v>
      </c>
      <c r="H4" s="1"/>
      <c r="I4" s="1"/>
      <c r="J4" s="1" t="s">
        <v>54</v>
      </c>
      <c r="K4" s="1" t="s">
        <v>43</v>
      </c>
      <c r="L4" s="1" t="s">
        <v>45</v>
      </c>
      <c r="M4" s="1" t="s">
        <v>44</v>
      </c>
    </row>
    <row r="5">
      <c r="A5" s="4" t="s">
        <v>60</v>
      </c>
      <c r="B5" s="4" t="s">
        <v>48</v>
      </c>
      <c r="C5" s="4" t="s">
        <v>61</v>
      </c>
      <c r="D5" s="1" t="s">
        <v>50</v>
      </c>
      <c r="E5" s="1" t="s">
        <v>62</v>
      </c>
      <c r="F5" s="1" t="s">
        <v>59</v>
      </c>
      <c r="G5" s="1" t="s">
        <v>63</v>
      </c>
      <c r="H5" s="1"/>
      <c r="I5" s="1"/>
      <c r="J5" s="1" t="s">
        <v>43</v>
      </c>
      <c r="K5" s="1" t="s">
        <v>53</v>
      </c>
      <c r="L5" s="1" t="s">
        <v>64</v>
      </c>
    </row>
    <row r="6">
      <c r="A6" s="4" t="s">
        <v>65</v>
      </c>
      <c r="B6" s="4" t="s">
        <v>48</v>
      </c>
      <c r="C6" s="4" t="s">
        <v>61</v>
      </c>
      <c r="D6" s="1" t="s">
        <v>57</v>
      </c>
      <c r="E6" s="5" t="s">
        <v>66</v>
      </c>
      <c r="F6" s="1" t="s">
        <v>59</v>
      </c>
      <c r="H6" s="1"/>
      <c r="I6" s="1"/>
      <c r="J6" s="1" t="s">
        <v>54</v>
      </c>
      <c r="K6" s="1" t="s">
        <v>43</v>
      </c>
      <c r="L6" s="1" t="s">
        <v>45</v>
      </c>
      <c r="M6" s="1" t="s">
        <v>44</v>
      </c>
    </row>
    <row r="7">
      <c r="A7" s="4" t="s">
        <v>67</v>
      </c>
      <c r="B7" s="4" t="s">
        <v>36</v>
      </c>
      <c r="C7" s="4" t="s">
        <v>49</v>
      </c>
      <c r="D7" s="1" t="s">
        <v>57</v>
      </c>
      <c r="E7" s="1" t="s">
        <v>68</v>
      </c>
      <c r="F7" s="1" t="s">
        <v>63</v>
      </c>
      <c r="G7" s="1" t="s">
        <v>69</v>
      </c>
      <c r="H7" s="1"/>
      <c r="I7" s="1"/>
      <c r="J7" s="1" t="s">
        <v>44</v>
      </c>
      <c r="K7" s="1" t="s">
        <v>43</v>
      </c>
      <c r="L7" s="1" t="s">
        <v>54</v>
      </c>
    </row>
    <row r="8">
      <c r="A8" s="4" t="s">
        <v>70</v>
      </c>
      <c r="B8" s="4" t="s">
        <v>71</v>
      </c>
      <c r="C8" s="4" t="s">
        <v>72</v>
      </c>
      <c r="D8" s="1" t="s">
        <v>73</v>
      </c>
      <c r="E8" s="11" t="s">
        <v>75</v>
      </c>
      <c r="F8" s="1" t="s">
        <v>42</v>
      </c>
      <c r="G8" s="1" t="s">
        <v>59</v>
      </c>
      <c r="H8" s="1"/>
      <c r="I8" s="1"/>
      <c r="J8" s="1" t="s">
        <v>53</v>
      </c>
      <c r="K8" s="1" t="s">
        <v>43</v>
      </c>
      <c r="L8" s="1" t="s">
        <v>139</v>
      </c>
      <c r="M8" s="1"/>
    </row>
    <row r="9">
      <c r="A9" s="4" t="s">
        <v>140</v>
      </c>
      <c r="B9" s="4" t="s">
        <v>56</v>
      </c>
      <c r="C9" s="4" t="s">
        <v>61</v>
      </c>
      <c r="D9" s="11" t="s">
        <v>7</v>
      </c>
      <c r="E9" s="1" t="s">
        <v>141</v>
      </c>
      <c r="F9" s="1" t="s">
        <v>69</v>
      </c>
      <c r="H9" s="1"/>
      <c r="I9" s="1"/>
      <c r="J9" s="1" t="s">
        <v>43</v>
      </c>
      <c r="K9" s="1" t="s">
        <v>45</v>
      </c>
      <c r="L9" s="1" t="s">
        <v>44</v>
      </c>
      <c r="M9" s="1" t="s">
        <v>53</v>
      </c>
    </row>
    <row r="10">
      <c r="A10" s="4" t="s">
        <v>142</v>
      </c>
      <c r="B10" s="4" t="s">
        <v>56</v>
      </c>
      <c r="C10" s="4" t="s">
        <v>49</v>
      </c>
      <c r="D10" s="1" t="s">
        <v>57</v>
      </c>
      <c r="E10" s="1" t="s">
        <v>143</v>
      </c>
      <c r="F10" s="1" t="s">
        <v>59</v>
      </c>
      <c r="H10" s="1"/>
      <c r="I10" s="1"/>
      <c r="J10" s="1" t="s">
        <v>54</v>
      </c>
      <c r="K10" s="1" t="s">
        <v>43</v>
      </c>
      <c r="L10" s="1" t="s">
        <v>45</v>
      </c>
      <c r="M10" s="1" t="s">
        <v>44</v>
      </c>
    </row>
    <row r="11">
      <c r="A11" s="4" t="s">
        <v>144</v>
      </c>
      <c r="B11" s="4" t="s">
        <v>145</v>
      </c>
      <c r="C11" s="4" t="s">
        <v>61</v>
      </c>
      <c r="D11" s="1" t="s">
        <v>57</v>
      </c>
      <c r="E11" s="1" t="s">
        <v>68</v>
      </c>
      <c r="F11" s="1" t="s">
        <v>59</v>
      </c>
      <c r="G11" s="1" t="s">
        <v>42</v>
      </c>
      <c r="H11" s="1"/>
      <c r="I11" s="1"/>
      <c r="J11" s="1" t="s">
        <v>43</v>
      </c>
      <c r="K11" s="1" t="s">
        <v>46</v>
      </c>
      <c r="L11" s="1" t="s">
        <v>44</v>
      </c>
    </row>
    <row r="12">
      <c r="A12" s="4" t="s">
        <v>146</v>
      </c>
      <c r="B12" s="4" t="s">
        <v>147</v>
      </c>
      <c r="C12" s="4" t="s">
        <v>72</v>
      </c>
      <c r="D12" s="1" t="s">
        <v>148</v>
      </c>
      <c r="E12" s="5" t="s">
        <v>149</v>
      </c>
      <c r="F12" s="1" t="s">
        <v>42</v>
      </c>
      <c r="G12" s="1" t="s">
        <v>69</v>
      </c>
      <c r="H12" s="1"/>
      <c r="I12" s="1"/>
      <c r="J12" s="1" t="s">
        <v>53</v>
      </c>
      <c r="K12" s="1" t="s">
        <v>46</v>
      </c>
      <c r="L12" s="1" t="s">
        <v>45</v>
      </c>
    </row>
    <row r="13">
      <c r="A13" s="4" t="s">
        <v>150</v>
      </c>
      <c r="B13" s="4" t="s">
        <v>151</v>
      </c>
      <c r="C13" s="4" t="s">
        <v>72</v>
      </c>
      <c r="D13" s="1" t="s">
        <v>57</v>
      </c>
      <c r="E13" s="11" t="s">
        <v>152</v>
      </c>
      <c r="F13" s="1" t="s">
        <v>63</v>
      </c>
      <c r="H13" s="1"/>
      <c r="I13" s="1"/>
      <c r="J13" s="1" t="s">
        <v>53</v>
      </c>
      <c r="K13" s="1" t="s">
        <v>54</v>
      </c>
      <c r="L13" s="1" t="s">
        <v>44</v>
      </c>
      <c r="M13" s="1" t="s">
        <v>64</v>
      </c>
    </row>
    <row r="14">
      <c r="A14" s="4" t="s">
        <v>153</v>
      </c>
      <c r="B14" s="4" t="s">
        <v>154</v>
      </c>
      <c r="C14" s="4" t="s">
        <v>72</v>
      </c>
      <c r="D14" s="1" t="s">
        <v>57</v>
      </c>
      <c r="E14" s="1" t="s">
        <v>155</v>
      </c>
      <c r="F14" s="1" t="s">
        <v>42</v>
      </c>
      <c r="G14" s="1" t="s">
        <v>156</v>
      </c>
      <c r="H14" s="1"/>
      <c r="I14" s="1"/>
      <c r="J14" s="1" t="s">
        <v>45</v>
      </c>
      <c r="K14" s="1" t="s">
        <v>44</v>
      </c>
      <c r="L14" s="1" t="s">
        <v>43</v>
      </c>
      <c r="M14" s="1"/>
    </row>
    <row r="15">
      <c r="A15" s="4"/>
    </row>
    <row r="16">
      <c r="A16" s="4"/>
      <c r="F16" s="1"/>
      <c r="G16" s="1"/>
      <c r="H16" s="1"/>
      <c r="I16" s="1"/>
      <c r="J16" s="1"/>
      <c r="K16" s="1"/>
      <c r="L16" s="1"/>
      <c r="M16" s="1"/>
    </row>
    <row r="17">
      <c r="A17" s="4" t="s">
        <v>157</v>
      </c>
      <c r="F17" s="1" t="s">
        <v>42</v>
      </c>
      <c r="G17" s="1" t="s">
        <v>156</v>
      </c>
      <c r="H17" s="1"/>
      <c r="I17" s="1"/>
      <c r="J17" s="1" t="s">
        <v>34</v>
      </c>
      <c r="K17" s="1" t="s">
        <v>43</v>
      </c>
      <c r="L17" s="1" t="s">
        <v>54</v>
      </c>
      <c r="M17" s="1" t="s">
        <v>158</v>
      </c>
    </row>
    <row r="18">
      <c r="A18" s="4" t="s">
        <v>159</v>
      </c>
      <c r="F18" s="1" t="s">
        <v>59</v>
      </c>
      <c r="H18" s="1"/>
      <c r="I18" s="1"/>
      <c r="J18" s="1" t="s">
        <v>46</v>
      </c>
      <c r="K18" s="1" t="s">
        <v>44</v>
      </c>
      <c r="L18" s="1" t="s">
        <v>160</v>
      </c>
      <c r="M18" s="1" t="s">
        <v>43</v>
      </c>
    </row>
    <row r="19">
      <c r="A19" s="4"/>
    </row>
    <row r="20">
      <c r="A20" s="4" t="s">
        <v>116</v>
      </c>
      <c r="B20" s="1"/>
      <c r="C20" s="1"/>
      <c r="D20" s="1" t="s">
        <v>83</v>
      </c>
      <c r="F20" s="1" t="s">
        <v>59</v>
      </c>
      <c r="H20" s="1"/>
      <c r="I20" s="1"/>
      <c r="J20" s="1" t="s">
        <v>53</v>
      </c>
      <c r="K20" s="1" t="s">
        <v>43</v>
      </c>
      <c r="L20" s="1" t="s">
        <v>34</v>
      </c>
      <c r="M20" s="1" t="s">
        <v>64</v>
      </c>
    </row>
    <row r="21">
      <c r="A21" s="4" t="s">
        <v>129</v>
      </c>
      <c r="B21" s="1"/>
      <c r="C21" s="1"/>
      <c r="D21" s="1" t="s">
        <v>83</v>
      </c>
      <c r="F21" s="1" t="s">
        <v>42</v>
      </c>
      <c r="H21" s="1"/>
      <c r="I21" s="1"/>
      <c r="J21" s="1" t="s">
        <v>46</v>
      </c>
      <c r="K21" s="1" t="s">
        <v>64</v>
      </c>
      <c r="L21" s="1" t="s">
        <v>45</v>
      </c>
    </row>
    <row r="22">
      <c r="A22" s="4" t="s">
        <v>103</v>
      </c>
      <c r="B22" s="1"/>
      <c r="C22" s="1"/>
      <c r="D22" s="1" t="s">
        <v>83</v>
      </c>
      <c r="E22" s="1" t="s">
        <v>161</v>
      </c>
      <c r="F22" s="1" t="s">
        <v>42</v>
      </c>
      <c r="G22" s="1" t="s">
        <v>156</v>
      </c>
      <c r="H22" s="1"/>
      <c r="I22" s="1"/>
      <c r="J22" s="1" t="s">
        <v>64</v>
      </c>
      <c r="K22" s="1" t="s">
        <v>158</v>
      </c>
      <c r="L22" s="1" t="s">
        <v>46</v>
      </c>
    </row>
    <row r="23">
      <c r="A23" s="4" t="s">
        <v>105</v>
      </c>
      <c r="B23" s="1"/>
      <c r="C23" s="1"/>
      <c r="D23" s="1" t="s">
        <v>73</v>
      </c>
      <c r="F23" s="1" t="s">
        <v>69</v>
      </c>
      <c r="H23" s="1"/>
      <c r="I23" s="1"/>
      <c r="J23" s="1" t="s">
        <v>43</v>
      </c>
      <c r="K23" s="1" t="s">
        <v>158</v>
      </c>
      <c r="L23" s="1" t="s">
        <v>162</v>
      </c>
      <c r="M23" s="1" t="s">
        <v>46</v>
      </c>
    </row>
    <row r="26">
      <c r="B26" s="11"/>
    </row>
    <row r="27">
      <c r="A27" s="6" t="s">
        <v>74</v>
      </c>
      <c r="B27" s="6" t="s">
        <v>76</v>
      </c>
      <c r="C27" s="6" t="s">
        <v>77</v>
      </c>
      <c r="D27" s="6" t="s">
        <v>78</v>
      </c>
      <c r="E27" s="6" t="s">
        <v>79</v>
      </c>
      <c r="F27" s="6" t="s">
        <v>80</v>
      </c>
      <c r="G27" s="6" t="s">
        <v>163</v>
      </c>
      <c r="H27" s="6" t="s">
        <v>164</v>
      </c>
      <c r="I27" s="1"/>
      <c r="J27" s="1"/>
      <c r="Q27" s="1" t="s">
        <v>165</v>
      </c>
    </row>
    <row r="28">
      <c r="A28" s="8" t="s">
        <v>43</v>
      </c>
      <c r="B28" s="8" t="s">
        <v>84</v>
      </c>
      <c r="C28" s="8" t="s">
        <v>85</v>
      </c>
      <c r="D28" s="8" t="s">
        <v>10</v>
      </c>
      <c r="E28" s="8" t="s">
        <v>17</v>
      </c>
      <c r="F28" s="8" t="s">
        <v>86</v>
      </c>
      <c r="G28" s="8" t="s">
        <v>166</v>
      </c>
      <c r="H28" s="8" t="s">
        <v>167</v>
      </c>
      <c r="I28" s="1"/>
      <c r="J28" s="1"/>
      <c r="L28" s="12" t="s">
        <v>168</v>
      </c>
      <c r="M28" s="12" t="s">
        <v>169</v>
      </c>
      <c r="N28" s="12" t="s">
        <v>170</v>
      </c>
      <c r="O28" s="12" t="s">
        <v>171</v>
      </c>
      <c r="Q28" s="1">
        <v>10.0</v>
      </c>
      <c r="S28" s="1"/>
    </row>
    <row r="29">
      <c r="A29" s="8" t="s">
        <v>88</v>
      </c>
      <c r="B29" s="8" t="s">
        <v>89</v>
      </c>
      <c r="C29" s="8" t="s">
        <v>90</v>
      </c>
      <c r="D29" s="8" t="s">
        <v>91</v>
      </c>
      <c r="E29" s="8" t="s">
        <v>92</v>
      </c>
      <c r="F29" s="8" t="s">
        <v>27</v>
      </c>
      <c r="G29" s="8" t="s">
        <v>172</v>
      </c>
      <c r="H29" s="8" t="s">
        <v>173</v>
      </c>
      <c r="L29" s="12" t="s">
        <v>174</v>
      </c>
      <c r="M29" s="12" t="s">
        <v>175</v>
      </c>
      <c r="N29" s="12" t="s">
        <v>176</v>
      </c>
      <c r="O29" s="12" t="s">
        <v>177</v>
      </c>
      <c r="Q29" s="1">
        <v>8.0</v>
      </c>
    </row>
    <row r="30">
      <c r="A30" s="8" t="s">
        <v>88</v>
      </c>
      <c r="B30" s="8" t="s">
        <v>93</v>
      </c>
      <c r="C30" s="8" t="s">
        <v>94</v>
      </c>
      <c r="D30" s="8" t="s">
        <v>92</v>
      </c>
      <c r="E30" s="8" t="s">
        <v>91</v>
      </c>
      <c r="F30" s="8" t="s">
        <v>24</v>
      </c>
      <c r="G30" s="8" t="s">
        <v>178</v>
      </c>
      <c r="H30" s="8" t="s">
        <v>179</v>
      </c>
      <c r="I30" s="1"/>
      <c r="J30" s="1"/>
      <c r="L30" s="12" t="s">
        <v>180</v>
      </c>
      <c r="M30" s="12" t="s">
        <v>181</v>
      </c>
      <c r="N30" s="1" t="s">
        <v>182</v>
      </c>
      <c r="Q30" s="1">
        <v>2.0</v>
      </c>
    </row>
    <row r="31">
      <c r="A31" s="8" t="s">
        <v>88</v>
      </c>
      <c r="B31" s="8" t="s">
        <v>95</v>
      </c>
      <c r="C31" s="8" t="s">
        <v>96</v>
      </c>
      <c r="D31" s="8" t="s">
        <v>27</v>
      </c>
      <c r="E31" s="8" t="s">
        <v>92</v>
      </c>
      <c r="F31" s="8" t="s">
        <v>97</v>
      </c>
      <c r="G31" s="8" t="s">
        <v>183</v>
      </c>
      <c r="H31" s="8" t="s">
        <v>184</v>
      </c>
      <c r="L31" s="12" t="s">
        <v>185</v>
      </c>
      <c r="M31" s="12" t="s">
        <v>186</v>
      </c>
      <c r="N31" s="12" t="s">
        <v>187</v>
      </c>
      <c r="O31" s="1" t="s">
        <v>188</v>
      </c>
      <c r="Q31" s="1">
        <v>10.0</v>
      </c>
      <c r="S31" s="1"/>
      <c r="T31" s="1"/>
      <c r="U31" s="1"/>
    </row>
    <row r="32">
      <c r="A32" s="8" t="s">
        <v>69</v>
      </c>
      <c r="B32" s="8" t="s">
        <v>98</v>
      </c>
      <c r="C32" s="8" t="s">
        <v>46</v>
      </c>
      <c r="D32" s="8" t="s">
        <v>91</v>
      </c>
      <c r="E32" s="8" t="s">
        <v>24</v>
      </c>
      <c r="F32" s="8" t="s">
        <v>100</v>
      </c>
      <c r="G32" s="8" t="s">
        <v>189</v>
      </c>
      <c r="H32" s="8" t="s">
        <v>190</v>
      </c>
      <c r="I32" s="1"/>
      <c r="J32" s="1"/>
      <c r="L32" s="12" t="s">
        <v>191</v>
      </c>
      <c r="M32" s="12" t="s">
        <v>192</v>
      </c>
      <c r="N32" s="12" t="s">
        <v>193</v>
      </c>
      <c r="O32" s="12" t="s">
        <v>194</v>
      </c>
      <c r="Q32" s="1">
        <v>4.0</v>
      </c>
      <c r="S32" s="1"/>
    </row>
    <row r="33">
      <c r="A33" s="8" t="s">
        <v>69</v>
      </c>
      <c r="B33" s="8" t="s">
        <v>101</v>
      </c>
      <c r="C33" s="8" t="s">
        <v>102</v>
      </c>
      <c r="D33" s="8" t="s">
        <v>17</v>
      </c>
      <c r="E33" s="8" t="s">
        <v>37</v>
      </c>
      <c r="F33" s="8"/>
      <c r="G33" s="8" t="s">
        <v>195</v>
      </c>
      <c r="H33" s="8"/>
      <c r="I33" s="1"/>
      <c r="J33" s="1"/>
      <c r="Q33" s="1">
        <v>0.0</v>
      </c>
    </row>
    <row r="34">
      <c r="A34" s="8" t="s">
        <v>53</v>
      </c>
      <c r="B34" s="8" t="s">
        <v>106</v>
      </c>
      <c r="C34" s="8" t="s">
        <v>107</v>
      </c>
      <c r="D34" s="8" t="s">
        <v>17</v>
      </c>
      <c r="E34" s="8" t="s">
        <v>27</v>
      </c>
      <c r="F34" s="8"/>
      <c r="G34" s="8" t="s">
        <v>196</v>
      </c>
      <c r="H34" s="8" t="s">
        <v>197</v>
      </c>
      <c r="L34" s="1" t="s">
        <v>198</v>
      </c>
      <c r="M34" s="1" t="s">
        <v>199</v>
      </c>
      <c r="N34" s="1" t="s">
        <v>200</v>
      </c>
      <c r="Q34" s="1">
        <v>6.0</v>
      </c>
      <c r="R34" s="1"/>
    </row>
    <row r="35">
      <c r="A35" s="8" t="s">
        <v>34</v>
      </c>
      <c r="B35" s="8" t="s">
        <v>108</v>
      </c>
      <c r="C35" s="8" t="s">
        <v>109</v>
      </c>
      <c r="D35" s="8" t="s">
        <v>92</v>
      </c>
      <c r="E35" s="8" t="s">
        <v>24</v>
      </c>
      <c r="F35" s="8" t="s">
        <v>37</v>
      </c>
      <c r="G35" s="8" t="s">
        <v>201</v>
      </c>
      <c r="H35" s="8" t="s">
        <v>202</v>
      </c>
      <c r="L35" s="1" t="s">
        <v>176</v>
      </c>
      <c r="M35" s="1" t="s">
        <v>171</v>
      </c>
      <c r="N35" s="1" t="s">
        <v>203</v>
      </c>
      <c r="Q35" s="1">
        <v>0.0</v>
      </c>
    </row>
    <row r="36">
      <c r="A36" s="8" t="s">
        <v>110</v>
      </c>
      <c r="B36" s="8" t="s">
        <v>111</v>
      </c>
      <c r="C36" s="8" t="s">
        <v>112</v>
      </c>
      <c r="D36" s="8" t="s">
        <v>113</v>
      </c>
      <c r="E36" s="8" t="s">
        <v>204</v>
      </c>
      <c r="F36" s="8" t="s">
        <v>115</v>
      </c>
      <c r="G36" s="8" t="s">
        <v>196</v>
      </c>
      <c r="H36" s="8"/>
      <c r="I36" s="4"/>
      <c r="J36" s="4"/>
    </row>
    <row r="37">
      <c r="A37" s="8" t="s">
        <v>117</v>
      </c>
      <c r="B37" s="8" t="s">
        <v>118</v>
      </c>
      <c r="C37" s="8" t="s">
        <v>119</v>
      </c>
      <c r="D37" s="8" t="s">
        <v>92</v>
      </c>
      <c r="E37" s="9" t="s">
        <v>10</v>
      </c>
      <c r="F37" s="8" t="s">
        <v>120</v>
      </c>
      <c r="G37" s="8" t="s">
        <v>201</v>
      </c>
      <c r="H37" s="8" t="s">
        <v>205</v>
      </c>
      <c r="L37" s="1" t="s">
        <v>185</v>
      </c>
      <c r="M37" s="12" t="s">
        <v>206</v>
      </c>
      <c r="N37" s="12" t="s">
        <v>207</v>
      </c>
      <c r="Q37" s="1">
        <v>2.0</v>
      </c>
      <c r="S37" s="1"/>
    </row>
    <row r="38">
      <c r="A38" s="8" t="s">
        <v>121</v>
      </c>
      <c r="B38" s="8" t="s">
        <v>122</v>
      </c>
      <c r="C38" s="8" t="s">
        <v>123</v>
      </c>
      <c r="D38" s="8" t="s">
        <v>124</v>
      </c>
      <c r="E38" s="9" t="s">
        <v>92</v>
      </c>
      <c r="F38" s="8" t="s">
        <v>10</v>
      </c>
      <c r="G38" s="8" t="s">
        <v>208</v>
      </c>
      <c r="H38" s="8" t="s">
        <v>209</v>
      </c>
      <c r="I38" s="1"/>
      <c r="J38" s="1"/>
      <c r="L38" s="1" t="s">
        <v>210</v>
      </c>
      <c r="M38" s="1" t="s">
        <v>211</v>
      </c>
      <c r="Q38" s="1">
        <v>2.0</v>
      </c>
    </row>
    <row r="39">
      <c r="A39" s="8" t="s">
        <v>125</v>
      </c>
      <c r="B39" s="8" t="s">
        <v>126</v>
      </c>
      <c r="C39" s="8" t="s">
        <v>127</v>
      </c>
      <c r="D39" s="8" t="s">
        <v>37</v>
      </c>
      <c r="E39" s="8" t="s">
        <v>91</v>
      </c>
      <c r="F39" s="8" t="s">
        <v>128</v>
      </c>
      <c r="G39" s="8" t="s">
        <v>172</v>
      </c>
      <c r="H39" s="8" t="s">
        <v>212</v>
      </c>
      <c r="I39" s="1"/>
      <c r="J39" s="1"/>
      <c r="L39" s="1" t="s">
        <v>199</v>
      </c>
      <c r="M39" s="1" t="s">
        <v>170</v>
      </c>
      <c r="N39" s="1" t="s">
        <v>213</v>
      </c>
      <c r="Q39" s="1">
        <v>6.0</v>
      </c>
      <c r="R39" s="1"/>
      <c r="S39" s="1"/>
      <c r="T39" s="1"/>
      <c r="U39" s="1"/>
    </row>
    <row r="40">
      <c r="A40" s="8" t="s">
        <v>130</v>
      </c>
      <c r="B40" s="8" t="s">
        <v>131</v>
      </c>
      <c r="C40" s="8" t="s">
        <v>132</v>
      </c>
      <c r="D40" s="8" t="s">
        <v>5</v>
      </c>
      <c r="E40" s="8" t="s">
        <v>17</v>
      </c>
      <c r="F40" s="8" t="s">
        <v>133</v>
      </c>
      <c r="G40" s="8" t="s">
        <v>196</v>
      </c>
      <c r="H40" s="8" t="s">
        <v>214</v>
      </c>
      <c r="L40" s="12" t="s">
        <v>215</v>
      </c>
      <c r="M40" s="12" t="s">
        <v>216</v>
      </c>
      <c r="N40" s="1" t="s">
        <v>217</v>
      </c>
      <c r="Q40" s="1">
        <v>7.0</v>
      </c>
      <c r="R40" s="1"/>
      <c r="T40" s="1"/>
    </row>
    <row r="41">
      <c r="A41" s="8" t="s">
        <v>134</v>
      </c>
      <c r="B41" s="8" t="s">
        <v>8</v>
      </c>
      <c r="C41" s="8" t="s">
        <v>135</v>
      </c>
      <c r="D41" s="8" t="s">
        <v>10</v>
      </c>
      <c r="E41" s="8" t="s">
        <v>92</v>
      </c>
      <c r="F41" s="10"/>
      <c r="G41" s="10"/>
      <c r="H41" s="8" t="s">
        <v>218</v>
      </c>
      <c r="L41" s="13" t="s">
        <v>169</v>
      </c>
      <c r="M41" s="1" t="s">
        <v>219</v>
      </c>
      <c r="N41" s="1" t="s">
        <v>200</v>
      </c>
      <c r="Q41" s="1">
        <v>3.0</v>
      </c>
    </row>
    <row r="45">
      <c r="P45" s="1"/>
    </row>
    <row r="46">
      <c r="I46" s="14"/>
      <c r="J46" s="14">
        <f t="shared" ref="J46:J58" si="1">sum(L46:R46)</f>
        <v>3</v>
      </c>
      <c r="K46" s="1" t="s">
        <v>188</v>
      </c>
      <c r="L46">
        <f t="shared" ref="L46:L58" si="2">countif($L$28:$L$41, $K46 &amp; "*")</f>
        <v>2</v>
      </c>
      <c r="M46">
        <f t="shared" ref="M46:M58" si="3">countif($M$28:$M$41, $K46 &amp; "*")</f>
        <v>0</v>
      </c>
      <c r="N46">
        <f t="shared" ref="N46:N58" si="4">countif($N$28:$N$40, $K46 &amp; "*")</f>
        <v>0</v>
      </c>
      <c r="O46">
        <f t="shared" ref="O46:O58" si="5">countif($O$28:$O$41, $K46 &amp; "*")</f>
        <v>1</v>
      </c>
      <c r="P46" s="1"/>
    </row>
    <row r="47">
      <c r="I47" s="14"/>
      <c r="J47" s="14">
        <f t="shared" si="1"/>
        <v>3</v>
      </c>
      <c r="K47" s="1" t="s">
        <v>220</v>
      </c>
      <c r="L47">
        <f t="shared" si="2"/>
        <v>2</v>
      </c>
      <c r="M47">
        <f t="shared" si="3"/>
        <v>0</v>
      </c>
      <c r="N47">
        <f t="shared" si="4"/>
        <v>1</v>
      </c>
      <c r="O47">
        <f t="shared" si="5"/>
        <v>0</v>
      </c>
      <c r="P47" s="1"/>
    </row>
    <row r="48">
      <c r="I48" s="14"/>
      <c r="J48" s="14">
        <f t="shared" si="1"/>
        <v>3</v>
      </c>
      <c r="K48" s="1" t="s">
        <v>219</v>
      </c>
      <c r="L48">
        <f t="shared" si="2"/>
        <v>2</v>
      </c>
      <c r="M48">
        <f t="shared" si="3"/>
        <v>1</v>
      </c>
      <c r="N48">
        <f t="shared" si="4"/>
        <v>0</v>
      </c>
      <c r="O48">
        <f t="shared" si="5"/>
        <v>0</v>
      </c>
      <c r="P48" s="1"/>
    </row>
    <row r="49">
      <c r="I49" s="14"/>
      <c r="J49" s="14">
        <f t="shared" si="1"/>
        <v>2</v>
      </c>
      <c r="K49" s="1" t="s">
        <v>200</v>
      </c>
      <c r="L49">
        <f t="shared" si="2"/>
        <v>1</v>
      </c>
      <c r="M49">
        <f t="shared" si="3"/>
        <v>0</v>
      </c>
      <c r="N49">
        <f t="shared" si="4"/>
        <v>1</v>
      </c>
      <c r="O49">
        <f t="shared" si="5"/>
        <v>0</v>
      </c>
      <c r="P49" s="1"/>
    </row>
    <row r="50">
      <c r="I50" s="14"/>
      <c r="J50" s="14">
        <f t="shared" si="1"/>
        <v>3</v>
      </c>
      <c r="K50" s="1" t="s">
        <v>182</v>
      </c>
      <c r="L50">
        <f t="shared" si="2"/>
        <v>1</v>
      </c>
      <c r="M50">
        <f t="shared" si="3"/>
        <v>1</v>
      </c>
      <c r="N50">
        <f t="shared" si="4"/>
        <v>1</v>
      </c>
      <c r="O50">
        <f t="shared" si="5"/>
        <v>0</v>
      </c>
      <c r="P50" s="1"/>
    </row>
    <row r="51">
      <c r="H51" s="14"/>
      <c r="I51" s="14"/>
      <c r="J51" s="14">
        <f t="shared" si="1"/>
        <v>3</v>
      </c>
      <c r="K51" s="1" t="s">
        <v>221</v>
      </c>
      <c r="L51">
        <f t="shared" si="2"/>
        <v>1</v>
      </c>
      <c r="M51">
        <f t="shared" si="3"/>
        <v>1</v>
      </c>
      <c r="N51">
        <f t="shared" si="4"/>
        <v>1</v>
      </c>
      <c r="O51">
        <f t="shared" si="5"/>
        <v>0</v>
      </c>
      <c r="P51" s="1"/>
    </row>
    <row r="52">
      <c r="H52" s="14"/>
      <c r="I52" s="14"/>
      <c r="J52" s="14">
        <f t="shared" si="1"/>
        <v>3</v>
      </c>
      <c r="K52" s="1" t="s">
        <v>171</v>
      </c>
      <c r="L52">
        <f t="shared" si="2"/>
        <v>1</v>
      </c>
      <c r="M52">
        <f t="shared" si="3"/>
        <v>1</v>
      </c>
      <c r="N52">
        <f t="shared" si="4"/>
        <v>0</v>
      </c>
      <c r="O52">
        <f t="shared" si="5"/>
        <v>1</v>
      </c>
      <c r="P52" s="1"/>
    </row>
    <row r="53">
      <c r="H53" s="14"/>
      <c r="I53" s="14"/>
      <c r="J53" s="14">
        <f t="shared" si="1"/>
        <v>3</v>
      </c>
      <c r="K53" s="1" t="s">
        <v>222</v>
      </c>
      <c r="L53">
        <f t="shared" si="2"/>
        <v>1</v>
      </c>
      <c r="M53">
        <f t="shared" si="3"/>
        <v>2</v>
      </c>
      <c r="N53">
        <f t="shared" si="4"/>
        <v>0</v>
      </c>
      <c r="O53">
        <f t="shared" si="5"/>
        <v>0</v>
      </c>
      <c r="P53" s="1"/>
    </row>
    <row r="54">
      <c r="H54" s="14"/>
      <c r="I54" s="14"/>
      <c r="J54" s="14">
        <f t="shared" si="1"/>
        <v>3</v>
      </c>
      <c r="K54" s="1" t="s">
        <v>223</v>
      </c>
      <c r="L54">
        <f t="shared" si="2"/>
        <v>0</v>
      </c>
      <c r="M54">
        <f t="shared" si="3"/>
        <v>2</v>
      </c>
      <c r="N54">
        <f t="shared" si="4"/>
        <v>1</v>
      </c>
      <c r="O54">
        <f t="shared" si="5"/>
        <v>0</v>
      </c>
      <c r="P54" s="1"/>
    </row>
    <row r="55">
      <c r="H55" s="14"/>
      <c r="I55" s="14"/>
      <c r="J55" s="14">
        <f t="shared" si="1"/>
        <v>3</v>
      </c>
      <c r="K55" s="1" t="s">
        <v>203</v>
      </c>
      <c r="L55">
        <f t="shared" si="2"/>
        <v>0</v>
      </c>
      <c r="M55">
        <f t="shared" si="3"/>
        <v>1</v>
      </c>
      <c r="N55">
        <f t="shared" si="4"/>
        <v>1</v>
      </c>
      <c r="O55">
        <f t="shared" si="5"/>
        <v>1</v>
      </c>
      <c r="P55" s="1"/>
    </row>
    <row r="56">
      <c r="H56" s="14"/>
      <c r="I56" s="14"/>
      <c r="J56" s="14">
        <f t="shared" si="1"/>
        <v>3</v>
      </c>
      <c r="K56" s="1" t="s">
        <v>224</v>
      </c>
      <c r="L56">
        <f t="shared" si="2"/>
        <v>0</v>
      </c>
      <c r="M56">
        <f t="shared" si="3"/>
        <v>1</v>
      </c>
      <c r="N56">
        <f t="shared" si="4"/>
        <v>1</v>
      </c>
      <c r="O56">
        <f t="shared" si="5"/>
        <v>1</v>
      </c>
      <c r="P56" s="1"/>
    </row>
    <row r="57">
      <c r="H57" s="14"/>
      <c r="I57" s="14"/>
      <c r="J57" s="14">
        <f t="shared" si="1"/>
        <v>3</v>
      </c>
      <c r="K57" s="1" t="s">
        <v>225</v>
      </c>
      <c r="L57">
        <f t="shared" si="2"/>
        <v>0</v>
      </c>
      <c r="M57">
        <f t="shared" si="3"/>
        <v>2</v>
      </c>
      <c r="N57">
        <f t="shared" si="4"/>
        <v>1</v>
      </c>
      <c r="O57">
        <f t="shared" si="5"/>
        <v>0</v>
      </c>
      <c r="P57" s="1"/>
    </row>
    <row r="58">
      <c r="H58" s="14"/>
      <c r="I58" s="14"/>
      <c r="J58" s="14">
        <f t="shared" si="1"/>
        <v>3</v>
      </c>
      <c r="K58" s="1" t="s">
        <v>176</v>
      </c>
      <c r="L58">
        <f t="shared" si="2"/>
        <v>1</v>
      </c>
      <c r="M58">
        <f t="shared" si="3"/>
        <v>0</v>
      </c>
      <c r="N58">
        <f t="shared" si="4"/>
        <v>2</v>
      </c>
      <c r="O58">
        <f t="shared" si="5"/>
        <v>0</v>
      </c>
      <c r="P58" s="1"/>
    </row>
    <row r="59">
      <c r="H59" s="14"/>
      <c r="I59" s="14"/>
      <c r="J59" s="14"/>
      <c r="K59" s="1"/>
    </row>
    <row r="61">
      <c r="J61" s="15" t="s">
        <v>201</v>
      </c>
      <c r="K61" s="14">
        <f t="shared" ref="K61:K65" si="6">countif(G$28:G$41,"*"&amp;J61&amp;"*")</f>
        <v>4</v>
      </c>
    </row>
    <row r="62">
      <c r="J62" s="15" t="s">
        <v>196</v>
      </c>
      <c r="K62" s="14">
        <f t="shared" si="6"/>
        <v>4</v>
      </c>
    </row>
    <row r="63">
      <c r="J63" s="15" t="s">
        <v>172</v>
      </c>
      <c r="K63" s="14">
        <f t="shared" si="6"/>
        <v>4</v>
      </c>
    </row>
    <row r="64">
      <c r="J64" s="15" t="s">
        <v>208</v>
      </c>
      <c r="K64" s="14">
        <f t="shared" si="6"/>
        <v>4</v>
      </c>
    </row>
    <row r="65">
      <c r="J65" s="15" t="s">
        <v>183</v>
      </c>
      <c r="K65" s="14">
        <f t="shared" si="6"/>
        <v>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3</v>
      </c>
      <c r="C1" s="1"/>
      <c r="D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F2" s="1" t="s">
        <v>10</v>
      </c>
    </row>
    <row r="3">
      <c r="A3" s="1" t="s">
        <v>12</v>
      </c>
      <c r="C3" s="1"/>
      <c r="D3" s="1" t="s">
        <v>15</v>
      </c>
      <c r="F3" s="1" t="s">
        <v>17</v>
      </c>
    </row>
    <row r="4">
      <c r="A4" s="1" t="s">
        <v>12</v>
      </c>
      <c r="B4" s="1"/>
      <c r="C4" s="1"/>
      <c r="D4" s="1" t="s">
        <v>20</v>
      </c>
      <c r="F4" s="1" t="s">
        <v>24</v>
      </c>
    </row>
    <row r="5">
      <c r="A5" s="1" t="s">
        <v>25</v>
      </c>
      <c r="B5" s="1"/>
      <c r="C5" s="1"/>
      <c r="D5" s="1" t="s">
        <v>26</v>
      </c>
      <c r="F5" s="1" t="s">
        <v>27</v>
      </c>
      <c r="G5" s="1" t="s">
        <v>28</v>
      </c>
    </row>
    <row r="6">
      <c r="A6" s="1" t="s">
        <v>7</v>
      </c>
      <c r="B6" s="1" t="s">
        <v>30</v>
      </c>
      <c r="C6" s="1"/>
      <c r="D6" s="1" t="s">
        <v>31</v>
      </c>
      <c r="F6" s="1" t="s">
        <v>32</v>
      </c>
      <c r="G6" s="1" t="s">
        <v>33</v>
      </c>
    </row>
    <row r="7">
      <c r="A7" s="1" t="s">
        <v>25</v>
      </c>
      <c r="B7" s="1" t="s">
        <v>34</v>
      </c>
      <c r="C7" s="1"/>
      <c r="D7" s="1" t="s">
        <v>35</v>
      </c>
      <c r="F7" s="1" t="s">
        <v>37</v>
      </c>
      <c r="G7" s="1" t="s">
        <v>17</v>
      </c>
    </row>
    <row r="9">
      <c r="D9" s="1" t="s">
        <v>40</v>
      </c>
      <c r="F9" s="1" t="s">
        <v>32</v>
      </c>
    </row>
  </sheetData>
  <drawing r:id="rId1"/>
</worksheet>
</file>