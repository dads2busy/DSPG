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e71\AC\Temp\"/>
    </mc:Choice>
  </mc:AlternateContent>
  <xr:revisionPtr revIDLastSave="723" documentId="11_E60897F41BE170836B02CE998F75CCDC64E183C8" xr6:coauthVersionLast="44" xr6:coauthVersionMax="44" xr10:uidLastSave="{1CDB663D-363E-4919-9322-FCDE96F72B80}"/>
  <bookViews>
    <workbookView xWindow="240" yWindow="105" windowWidth="14805" windowHeight="8010" firstSheet="1" activeTab="5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  <sheet name="Sheet6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2" i="5"/>
  <c r="K2" i="2"/>
  <c r="L3" i="2"/>
  <c r="L4" i="2"/>
  <c r="L5" i="2"/>
  <c r="L6" i="2"/>
  <c r="L7" i="2"/>
  <c r="L8" i="2"/>
  <c r="L2" i="2"/>
  <c r="N2" i="2"/>
  <c r="C3" i="3"/>
  <c r="C4" i="3"/>
  <c r="C5" i="3"/>
  <c r="C6" i="3"/>
  <c r="C7" i="3"/>
  <c r="C8" i="3"/>
  <c r="C9" i="3"/>
  <c r="C10" i="3"/>
  <c r="C11" i="3"/>
  <c r="C12" i="3"/>
  <c r="C13" i="3"/>
  <c r="C2" i="3"/>
  <c r="B6" i="1"/>
  <c r="A7" i="1"/>
  <c r="B7" i="1"/>
  <c r="A8" i="1"/>
  <c r="B8" i="1"/>
  <c r="A9" i="1"/>
  <c r="B4" i="1"/>
  <c r="A5" i="1"/>
  <c r="B9" i="1"/>
  <c r="A10" i="1"/>
  <c r="B10" i="1"/>
  <c r="A11" i="1"/>
  <c r="B11" i="1"/>
  <c r="A12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88" i="2"/>
</calcChain>
</file>

<file path=xl/sharedStrings.xml><?xml version="1.0" encoding="utf-8"?>
<sst xmlns="http://schemas.openxmlformats.org/spreadsheetml/2006/main" count="340" uniqueCount="208">
  <si>
    <t>Start Date</t>
  </si>
  <si>
    <t>End Date</t>
  </si>
  <si>
    <t>Time Frame</t>
  </si>
  <si>
    <t>Assigned</t>
  </si>
  <si>
    <t>Notes</t>
  </si>
  <si>
    <t>month-by-month</t>
  </si>
  <si>
    <t>Cong</t>
  </si>
  <si>
    <t>Is it better to have fewer time frame blocks or more time frame blocks that average higher numbers of repos?</t>
  </si>
  <si>
    <t xml:space="preserve">bi-monthly </t>
  </si>
  <si>
    <t>Eliza</t>
  </si>
  <si>
    <t>i=37:41 came back null (starting at date range "2011-08-30..2011-09-14"), possibly because i=37 &gt; 1000. This data was not uploaded to the database, so it is missing as of right now</t>
  </si>
  <si>
    <t>every 5 days</t>
  </si>
  <si>
    <t>Calvin</t>
  </si>
  <si>
    <t>every  day</t>
  </si>
  <si>
    <t>BAD! We need to break to smaller intervals</t>
  </si>
  <si>
    <t xml:space="preserve">every 12 hours </t>
  </si>
  <si>
    <t xml:space="preserve">mostly explored for second half of day under assumption that more repos are produced in this time than during first half </t>
  </si>
  <si>
    <t>every 6 hours</t>
  </si>
  <si>
    <t>every 4 hours</t>
  </si>
  <si>
    <t>License</t>
  </si>
  <si>
    <t>Count</t>
  </si>
  <si>
    <t>year</t>
  </si>
  <si>
    <t>organization</t>
  </si>
  <si>
    <t>sector</t>
  </si>
  <si>
    <t>term used (underscore denotes space after colon)</t>
  </si>
  <si>
    <t>Share of top 13 Licenses</t>
  </si>
  <si>
    <t>MIT License (MIT)</t>
  </si>
  <si>
    <t>~1987 (actual date is disputed, not well recorded)
https://opensource.com/article/19/4/history-mit-license</t>
  </si>
  <si>
    <t>Massachusetts Institute of Technology (MIT)</t>
  </si>
  <si>
    <t xml:space="preserve">University </t>
  </si>
  <si>
    <t>mit</t>
  </si>
  <si>
    <t>Yes</t>
  </si>
  <si>
    <t>GNU License (Combination of General Public License version 3 (GPL-3.0) and GNU General Public License version 2 (GPL-2.0))</t>
  </si>
  <si>
    <t>Free Software Foundation(written by Richard Stallman)</t>
  </si>
  <si>
    <t>non-profit</t>
  </si>
  <si>
    <t>gpl</t>
  </si>
  <si>
    <t>should gpl and gpl-2.0 be combined considering GPL does not capture a certain version?</t>
  </si>
  <si>
    <t>Apache License 2.0 (Apache-2.0)</t>
  </si>
  <si>
    <t>Apache Software Foundation</t>
  </si>
  <si>
    <t>non-profit corporation</t>
  </si>
  <si>
    <t>Apache-2.0</t>
  </si>
  <si>
    <t>GNU General Public License version 2 (GPL-2.0)</t>
  </si>
  <si>
    <t>GPL-2.0</t>
  </si>
  <si>
    <t>3-clause BSD License (BSD-3-Clause)</t>
  </si>
  <si>
    <t>BSD-3-Clause</t>
  </si>
  <si>
    <t>GNU Library or "Lesser" General Public License (LGPL)</t>
  </si>
  <si>
    <t>lgpl</t>
  </si>
  <si>
    <t>GNU Affero General Public License version 3 (AGPL-3.0)</t>
  </si>
  <si>
    <t>AGPL-3.0</t>
  </si>
  <si>
    <t>GNU Lesser General Public License version 3 (LGPL-3.0)</t>
  </si>
  <si>
    <t>Free Software Foundation</t>
  </si>
  <si>
    <t>LGPL-3.0</t>
  </si>
  <si>
    <t>2-clause BSD License (BSD-2-Clause)</t>
  </si>
  <si>
    <t>Regents of the University of California at Berkeley</t>
  </si>
  <si>
    <t>Created at university but seems like it is not directly related</t>
  </si>
  <si>
    <t>BSD-2-Clause</t>
  </si>
  <si>
    <t>Mozilla Public License 2.0 (MPL-2.0)</t>
  </si>
  <si>
    <t>Mozilla Foundation</t>
  </si>
  <si>
    <t>not-for-profit</t>
  </si>
  <si>
    <t>MPL-2.0</t>
  </si>
  <si>
    <t>Eclipse Public License 1.0 (EPL-1.0)</t>
  </si>
  <si>
    <t>2005 (replaced CPL</t>
  </si>
  <si>
    <t>Eclipse Foundation</t>
  </si>
  <si>
    <t>EPL-1.0</t>
  </si>
  <si>
    <t>ISC License (ISC)</t>
  </si>
  <si>
    <t xml:space="preserve">Internet Systems Consortium </t>
  </si>
  <si>
    <t xml:space="preserve">non-profit </t>
  </si>
  <si>
    <t>ISC</t>
  </si>
  <si>
    <t xml:space="preserve">copyrighted in 1995 </t>
  </si>
  <si>
    <t>GNU Lesser General Public License version 2.1 (LGPL-2.1)</t>
  </si>
  <si>
    <t>non-profit (founde</t>
  </si>
  <si>
    <t>LGPL-2.1</t>
  </si>
  <si>
    <t>Artistic License 2.0 (Artistic-2.0)</t>
  </si>
  <si>
    <t>The Perl Foundation</t>
  </si>
  <si>
    <t>Artistic-2.0</t>
  </si>
  <si>
    <t>Eclipse Public License 2.0 (EPL-2.0)</t>
  </si>
  <si>
    <t>EPL-2.0</t>
  </si>
  <si>
    <t>zlib/libpng license (Zlib)</t>
  </si>
  <si>
    <t>Jean-loup Gailly and Mark Adler</t>
  </si>
  <si>
    <t>Individuals</t>
  </si>
  <si>
    <t>zlib</t>
  </si>
  <si>
    <t>Boost Software License (BSL-1.0)</t>
  </si>
  <si>
    <t>Boost Libraries?</t>
  </si>
  <si>
    <t>Open Source Software?</t>
  </si>
  <si>
    <t>BSL-1.0</t>
  </si>
  <si>
    <t>SIL Open Font License 1.1 (OFL-1.1)</t>
  </si>
  <si>
    <t>SIL International</t>
  </si>
  <si>
    <t>OFL-1.1</t>
  </si>
  <si>
    <t>Open Software License 3.0 (OSL-3.0)</t>
  </si>
  <si>
    <t>2005 (original version)</t>
  </si>
  <si>
    <t>Lawrence Rosen</t>
  </si>
  <si>
    <t>Individual</t>
  </si>
  <si>
    <t>OSL-3.0</t>
  </si>
  <si>
    <t>Microsoft Public License (MS-PL)</t>
  </si>
  <si>
    <t>MS-PL</t>
  </si>
  <si>
    <t>Academic Free License 3.0 (AFL-3.0)</t>
  </si>
  <si>
    <t>AFL-3.0</t>
  </si>
  <si>
    <t>LaTeX Project Public License 1.3c (LPPL-1.3c)</t>
  </si>
  <si>
    <t>LPPL-1.3c</t>
  </si>
  <si>
    <t>Educational Community License, Version 2.0 (ECL-2.0)</t>
  </si>
  <si>
    <t>ECL-2.0</t>
  </si>
  <si>
    <t>European Union Public License, Version 1.2 (EUPL-1.2) (links to every language's version on their site)</t>
  </si>
  <si>
    <t>EUPL-1.2</t>
  </si>
  <si>
    <t>Python License (Python-2.0) (overall Python license)</t>
  </si>
  <si>
    <t>python</t>
  </si>
  <si>
    <t>BSD License: See 3-clause BSD License and 2-clause BSD License</t>
  </si>
  <si>
    <t>BSD License</t>
  </si>
  <si>
    <t>Microsoft Reciprocal License (MS-RL)</t>
  </si>
  <si>
    <t>MS-RL</t>
  </si>
  <si>
    <t>The PostgreSQL License (PostgreSQL)</t>
  </si>
  <si>
    <t>PostgreSQL</t>
  </si>
  <si>
    <t>Free Public License 1.0.0 (0BSD)</t>
  </si>
  <si>
    <t xml:space="preserve">_Free Public License 1.0.0 </t>
  </si>
  <si>
    <t>Fair License (Fair)</t>
  </si>
  <si>
    <t>_Fair</t>
  </si>
  <si>
    <t>PHP License 3.0 (PHP-3.0)</t>
  </si>
  <si>
    <t>_PHP-3.0</t>
  </si>
  <si>
    <t>Common Public Attribution License 1.0 (CPAL-1.0)</t>
  </si>
  <si>
    <t>_Common Public Attribution License 1.0</t>
  </si>
  <si>
    <t>Adaptive Public License (APL-1.0)</t>
  </si>
  <si>
    <t>_Adaptive Public License</t>
  </si>
  <si>
    <t>Q Public License (QPL-1.0)</t>
  </si>
  <si>
    <t>_Q Public License</t>
  </si>
  <si>
    <t>Universal Permissive License (UPL)</t>
  </si>
  <si>
    <t>_UPL</t>
  </si>
  <si>
    <t>University of Illinois/NCSA Open Source License (NCSA)</t>
  </si>
  <si>
    <t>NCSA</t>
  </si>
  <si>
    <t>Mozilla Public License 1.1 (MPL-1.1)</t>
  </si>
  <si>
    <t>_Mozilla Public License 1.1</t>
  </si>
  <si>
    <t>Common Development and Distribution License 1.0 (CDDL-1.0)</t>
  </si>
  <si>
    <t>Common Development and Distribution License 1.0</t>
  </si>
  <si>
    <t>W3C License (W3C)</t>
  </si>
  <si>
    <t>_W3C</t>
  </si>
  <si>
    <t>X.Net License (Xnet)</t>
  </si>
  <si>
    <t>_X.Net License</t>
  </si>
  <si>
    <t>Apple Public Source License (APSL-2.0)</t>
  </si>
  <si>
    <t>_Apple Public Source License</t>
  </si>
  <si>
    <t>IPA Font License (IPA)</t>
  </si>
  <si>
    <t>_IPA</t>
  </si>
  <si>
    <t>Mozilla Public License 1.0 (MPL-1.0)</t>
  </si>
  <si>
    <t>_Mozilla Public License 1.0</t>
  </si>
  <si>
    <t>Simple Public License 2.0 (SimPL-2.0)</t>
  </si>
  <si>
    <t>_Simple Public License 2.0</t>
  </si>
  <si>
    <t>Attribution Assurance License (AAL)</t>
  </si>
  <si>
    <t>_AAL</t>
  </si>
  <si>
    <t>IBM Public License 1.0 (IPL-1.0)</t>
  </si>
  <si>
    <t>_IBM Public License 1.0</t>
  </si>
  <si>
    <t>NASA Open Source Agreement 1.3 (NASA-1.3)</t>
  </si>
  <si>
    <t>_NASA-1.3</t>
  </si>
  <si>
    <t>Nokia Open Source License (Nokia)</t>
  </si>
  <si>
    <t>_Nokia</t>
  </si>
  <si>
    <t>NTP License (NTP)</t>
  </si>
  <si>
    <t>_NTP License</t>
  </si>
  <si>
    <t>Sleepycat License (Sleepycat)</t>
  </si>
  <si>
    <t>_Sleepycat License</t>
  </si>
  <si>
    <t>Entessa Public License (Entessa)</t>
  </si>
  <si>
    <t>_Entessa</t>
  </si>
  <si>
    <t>Nethack General Public License (NGPL)</t>
  </si>
  <si>
    <t>_NGPL</t>
  </si>
  <si>
    <t>Non-Profit Open Software License 3.0 (NPOSL-3.0)</t>
  </si>
  <si>
    <t xml:space="preserve">_Non-Profit Open Software License 3.0 </t>
  </si>
  <si>
    <t>Reciprocal Public License 1.5 (RPL-1.5)</t>
  </si>
  <si>
    <t>_Reciprocal Public License 1.5</t>
  </si>
  <si>
    <t>Sun Public License 1.0 (SPL-1.0)</t>
  </si>
  <si>
    <t>_Sun Public License 1.0</t>
  </si>
  <si>
    <t>Zero-Clause BSD (0BSD)</t>
  </si>
  <si>
    <t>_OBSD</t>
  </si>
  <si>
    <t>Zope Public License 2.0 (ZPL-2.0)</t>
  </si>
  <si>
    <t>_ZPL-2.0</t>
  </si>
  <si>
    <t>BSD+Patent (BSD-2-Clause-Patent)</t>
  </si>
  <si>
    <t>all</t>
  </si>
  <si>
    <t>CeCILL License 2.1 (CECILL-2.1)</t>
  </si>
  <si>
    <t>Computer Associates Trusted Open Source License 1.1 (CATOSL-1.1)</t>
  </si>
  <si>
    <t>CNRI Python license (CNRI-Python) (CNRI portion of Python License)</t>
  </si>
  <si>
    <t>EU DataGrid Software License (EUDatagrid)</t>
  </si>
  <si>
    <t>eCos License version 2.0 (eCos-2.0)</t>
  </si>
  <si>
    <t>Eiffel Forum License V2.0 (EFL-2.0)</t>
  </si>
  <si>
    <t>Frameworx License (Frameworx-1.0)</t>
  </si>
  <si>
    <t>Historical Permission Notice and Disclaimer (HPND)</t>
  </si>
  <si>
    <t>Licence Libre du Québec – Permissive (LiLiQ-P) version 1.1</t>
  </si>
  <si>
    <t>Licence Libre du Québec – Réciprocité (LiLiQ-R) version 1.1</t>
  </si>
  <si>
    <t>Licence Libre du Québec – Réciprocité forte (LiLiQ-R+) version 1.1</t>
  </si>
  <si>
    <t>Lucent Public License Version 1.02 (LPL-1.02)</t>
  </si>
  <si>
    <t>MirOS Licence (MirOS)</t>
  </si>
  <si>
    <t>Motosoto License (Motosoto)</t>
  </si>
  <si>
    <t>Multics License (Multics)</t>
  </si>
  <si>
    <t>Naumen Public License (Naumen)</t>
  </si>
  <si>
    <t>OCLC Research Public License 2.0 (OCLC-2.0)</t>
  </si>
  <si>
    <t>Open Group Test Suite License (OGTSL)</t>
  </si>
  <si>
    <t>OSET Public License version 2.1</t>
  </si>
  <si>
    <t>RealNetworks Public Source License V1.0 (RPSL-1.0)</t>
  </si>
  <si>
    <t>Ricoh Source Code Public License (RSCPL)</t>
  </si>
  <si>
    <t>Sybase Open Watcom Public License 1.0 (Watcom-1.0)</t>
  </si>
  <si>
    <t>Upstream Compatibility License v1.0</t>
  </si>
  <si>
    <t>Vovida Software License v. 1.0 (VSL-1.0)</t>
  </si>
  <si>
    <t>wxWindows Library License (WXwindows)</t>
  </si>
  <si>
    <t>Error Code Line</t>
  </si>
  <si>
    <t>[1] "License mit at 2018-01-09T09:08:33..2018-01-09T21:42:49 has 457 counts"</t>
  </si>
  <si>
    <t>Apache</t>
  </si>
  <si>
    <t>License mit at 2008-01-01..2008-01-31T23:59:59 has 0 counts</t>
  </si>
  <si>
    <t>2018-12-31T00:00:00..2018-12-31T03:05:47</t>
  </si>
  <si>
    <t>MIT</t>
  </si>
  <si>
    <t>Share out of top 13</t>
  </si>
  <si>
    <t>Top 13 makes up 99.55723% of total repos (see previous sheet)</t>
  </si>
  <si>
    <t>GNU GPL</t>
  </si>
  <si>
    <t>Apache 2.0</t>
  </si>
  <si>
    <t>LGPL</t>
  </si>
  <si>
    <t>Share out of 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</si>
</sst>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571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4" fontId="0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1" fillId="0" borderId="0" xfId="0" applyFont="1"/>
    <xf numFmtId="14" fontId="0" fillId="0" borderId="0" xfId="0" applyNumberFormat="1" applyAlignment="1">
      <alignment horizontal="right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A6" sqref="A6"/>
    </sheetView>
  </sheetViews>
  <sheetFormatPr defaultRowHeight="15"/>
  <cols>
    <col min="1" max="1" width="19" customWidth="1"/>
    <col min="2" max="2" width="18.140625" customWidth="1"/>
    <col min="3" max="3" width="25.42578125" style="6" customWidth="1"/>
    <col min="4" max="4" width="15" customWidth="1"/>
    <col min="5" max="5" width="24.28515625" customWidth="1"/>
  </cols>
  <sheetData>
    <row r="1" spans="1:5">
      <c r="A1" s="7" t="s">
        <v>0</v>
      </c>
      <c r="B1" s="7" t="s">
        <v>1</v>
      </c>
      <c r="C1" s="6" t="s">
        <v>2</v>
      </c>
      <c r="D1" t="s">
        <v>3</v>
      </c>
      <c r="E1" t="s">
        <v>4</v>
      </c>
    </row>
    <row r="2" spans="1:5">
      <c r="A2" s="2">
        <v>39448</v>
      </c>
      <c r="B2" s="1">
        <v>40237</v>
      </c>
      <c r="C2" s="6" t="s">
        <v>5</v>
      </c>
      <c r="D2" t="s">
        <v>6</v>
      </c>
      <c r="E2" t="s">
        <v>7</v>
      </c>
    </row>
    <row r="3" spans="1:5">
      <c r="A3" s="2">
        <v>40238</v>
      </c>
      <c r="B3" s="1">
        <v>40862</v>
      </c>
      <c r="C3" s="6" t="s">
        <v>8</v>
      </c>
      <c r="D3" t="s">
        <v>9</v>
      </c>
      <c r="E3" t="s">
        <v>10</v>
      </c>
    </row>
    <row r="4" spans="1:5">
      <c r="A4" s="1">
        <v>40863</v>
      </c>
      <c r="B4" s="1">
        <f>A4+90</f>
        <v>40953</v>
      </c>
      <c r="C4" s="6" t="s">
        <v>11</v>
      </c>
      <c r="D4" t="s">
        <v>12</v>
      </c>
      <c r="E4" s="1"/>
    </row>
    <row r="5" spans="1:5">
      <c r="A5" s="1">
        <f>B4+1</f>
        <v>40954</v>
      </c>
      <c r="B5" s="1">
        <v>41274</v>
      </c>
      <c r="C5" s="6" t="s">
        <v>11</v>
      </c>
      <c r="D5" t="s">
        <v>12</v>
      </c>
    </row>
    <row r="6" spans="1:5">
      <c r="A6" s="1">
        <v>41275</v>
      </c>
      <c r="B6" s="1">
        <f>A6+50</f>
        <v>41325</v>
      </c>
      <c r="C6" s="6" t="s">
        <v>13</v>
      </c>
    </row>
    <row r="7" spans="1:5">
      <c r="A7" s="1">
        <f t="shared" ref="A7:A12" si="0">B6+1</f>
        <v>41326</v>
      </c>
      <c r="B7" s="1">
        <f>A7+49</f>
        <v>41375</v>
      </c>
      <c r="C7" s="6" t="s">
        <v>13</v>
      </c>
    </row>
    <row r="8" spans="1:5">
      <c r="A8" s="1">
        <f t="shared" si="0"/>
        <v>41376</v>
      </c>
      <c r="B8" s="1">
        <f>A8+48</f>
        <v>41424</v>
      </c>
      <c r="C8" s="6" t="s">
        <v>13</v>
      </c>
    </row>
    <row r="9" spans="1:5">
      <c r="A9" s="1">
        <f t="shared" si="0"/>
        <v>41425</v>
      </c>
      <c r="B9" s="1">
        <f>A9+150</f>
        <v>41575</v>
      </c>
      <c r="C9" s="6" t="s">
        <v>13</v>
      </c>
      <c r="E9" t="s">
        <v>14</v>
      </c>
    </row>
    <row r="10" spans="1:5">
      <c r="A10" s="1">
        <f t="shared" si="0"/>
        <v>41576</v>
      </c>
      <c r="B10" s="1">
        <f>A10+150</f>
        <v>41726</v>
      </c>
      <c r="C10" s="6" t="s">
        <v>13</v>
      </c>
    </row>
    <row r="11" spans="1:5">
      <c r="A11" s="1">
        <f t="shared" si="0"/>
        <v>41727</v>
      </c>
      <c r="B11" s="1">
        <f>A11+150</f>
        <v>41877</v>
      </c>
      <c r="C11" s="6" t="s">
        <v>13</v>
      </c>
    </row>
    <row r="12" spans="1:5">
      <c r="A12" s="1">
        <f t="shared" si="0"/>
        <v>41878</v>
      </c>
      <c r="B12" s="1">
        <v>42008</v>
      </c>
      <c r="C12" s="6" t="s">
        <v>13</v>
      </c>
      <c r="E12" s="1">
        <v>42008</v>
      </c>
    </row>
    <row r="13" spans="1:5">
      <c r="A13" s="1">
        <v>42009</v>
      </c>
      <c r="B13" s="1">
        <f t="shared" ref="B13:B21" si="1">A13+60</f>
        <v>42069</v>
      </c>
      <c r="C13" s="6" t="s">
        <v>15</v>
      </c>
      <c r="E13" t="s">
        <v>16</v>
      </c>
    </row>
    <row r="14" spans="1:5">
      <c r="A14" s="1">
        <f t="shared" ref="A14:A22" si="2">B13+1</f>
        <v>42070</v>
      </c>
      <c r="B14" s="1">
        <f t="shared" si="1"/>
        <v>42130</v>
      </c>
      <c r="C14" s="6" t="s">
        <v>15</v>
      </c>
    </row>
    <row r="15" spans="1:5">
      <c r="A15" s="1">
        <f t="shared" si="2"/>
        <v>42131</v>
      </c>
      <c r="B15" s="1">
        <f t="shared" si="1"/>
        <v>42191</v>
      </c>
      <c r="C15" s="6" t="s">
        <v>15</v>
      </c>
    </row>
    <row r="16" spans="1:5">
      <c r="A16" s="1">
        <f t="shared" si="2"/>
        <v>42192</v>
      </c>
      <c r="B16" s="1">
        <f t="shared" si="1"/>
        <v>42252</v>
      </c>
      <c r="C16" s="6" t="s">
        <v>15</v>
      </c>
    </row>
    <row r="17" spans="1:4">
      <c r="A17" s="1">
        <f t="shared" si="2"/>
        <v>42253</v>
      </c>
      <c r="B17" s="1">
        <f t="shared" si="1"/>
        <v>42313</v>
      </c>
      <c r="C17" s="6" t="s">
        <v>15</v>
      </c>
    </row>
    <row r="18" spans="1:4">
      <c r="A18" s="1">
        <f t="shared" si="2"/>
        <v>42314</v>
      </c>
      <c r="B18" s="1">
        <f t="shared" si="1"/>
        <v>42374</v>
      </c>
      <c r="C18" s="6" t="s">
        <v>15</v>
      </c>
    </row>
    <row r="19" spans="1:4">
      <c r="A19" s="1">
        <f t="shared" si="2"/>
        <v>42375</v>
      </c>
      <c r="B19" s="1">
        <f t="shared" si="1"/>
        <v>42435</v>
      </c>
      <c r="C19" s="6" t="s">
        <v>15</v>
      </c>
    </row>
    <row r="20" spans="1:4">
      <c r="A20" s="1">
        <f t="shared" si="2"/>
        <v>42436</v>
      </c>
      <c r="B20" s="1">
        <f t="shared" si="1"/>
        <v>42496</v>
      </c>
      <c r="C20" s="6" t="s">
        <v>15</v>
      </c>
    </row>
    <row r="21" spans="1:4">
      <c r="A21" s="1">
        <f t="shared" si="2"/>
        <v>42497</v>
      </c>
      <c r="B21" s="1">
        <f t="shared" si="1"/>
        <v>42557</v>
      </c>
      <c r="C21" s="6" t="s">
        <v>15</v>
      </c>
    </row>
    <row r="22" spans="1:4">
      <c r="A22" s="1">
        <f t="shared" si="2"/>
        <v>42558</v>
      </c>
      <c r="B22" s="1">
        <v>42565</v>
      </c>
      <c r="C22" s="6" t="s">
        <v>15</v>
      </c>
    </row>
    <row r="23" spans="1:4">
      <c r="A23" s="1">
        <v>42566</v>
      </c>
      <c r="B23" s="1">
        <f t="shared" ref="B23:B32" si="3">A23+45</f>
        <v>42611</v>
      </c>
      <c r="C23" s="6" t="s">
        <v>17</v>
      </c>
      <c r="D23" t="s">
        <v>6</v>
      </c>
    </row>
    <row r="24" spans="1:4">
      <c r="A24" s="1">
        <f t="shared" ref="A24:A33" si="4">B23+1</f>
        <v>42612</v>
      </c>
      <c r="B24" s="1">
        <f t="shared" si="3"/>
        <v>42657</v>
      </c>
      <c r="C24" s="6" t="s">
        <v>17</v>
      </c>
    </row>
    <row r="25" spans="1:4">
      <c r="A25" s="1">
        <f t="shared" si="4"/>
        <v>42658</v>
      </c>
      <c r="B25" s="1">
        <f t="shared" si="3"/>
        <v>42703</v>
      </c>
      <c r="C25" s="6" t="s">
        <v>17</v>
      </c>
    </row>
    <row r="26" spans="1:4">
      <c r="A26" s="1">
        <f t="shared" si="4"/>
        <v>42704</v>
      </c>
      <c r="B26" s="1">
        <f t="shared" si="3"/>
        <v>42749</v>
      </c>
      <c r="C26" s="6" t="s">
        <v>17</v>
      </c>
    </row>
    <row r="27" spans="1:4">
      <c r="A27" s="1">
        <f t="shared" si="4"/>
        <v>42750</v>
      </c>
      <c r="B27" s="1">
        <f t="shared" si="3"/>
        <v>42795</v>
      </c>
      <c r="C27" s="6" t="s">
        <v>17</v>
      </c>
    </row>
    <row r="28" spans="1:4">
      <c r="A28" s="1">
        <f t="shared" si="4"/>
        <v>42796</v>
      </c>
      <c r="B28" s="1">
        <f t="shared" si="3"/>
        <v>42841</v>
      </c>
      <c r="C28" s="6" t="s">
        <v>17</v>
      </c>
    </row>
    <row r="29" spans="1:4">
      <c r="A29" s="1">
        <f t="shared" si="4"/>
        <v>42842</v>
      </c>
      <c r="B29" s="1">
        <f t="shared" si="3"/>
        <v>42887</v>
      </c>
      <c r="C29" s="6" t="s">
        <v>17</v>
      </c>
    </row>
    <row r="30" spans="1:4">
      <c r="A30" s="1">
        <f t="shared" si="4"/>
        <v>42888</v>
      </c>
      <c r="B30" s="1">
        <f t="shared" si="3"/>
        <v>42933</v>
      </c>
      <c r="C30" s="6" t="s">
        <v>17</v>
      </c>
    </row>
    <row r="31" spans="1:4">
      <c r="A31" s="1">
        <f t="shared" si="4"/>
        <v>42934</v>
      </c>
      <c r="B31" s="1">
        <f t="shared" si="3"/>
        <v>42979</v>
      </c>
      <c r="C31" s="6" t="s">
        <v>17</v>
      </c>
    </row>
    <row r="32" spans="1:4">
      <c r="A32" s="1">
        <f t="shared" si="4"/>
        <v>42980</v>
      </c>
      <c r="B32" s="1">
        <f t="shared" si="3"/>
        <v>43025</v>
      </c>
      <c r="C32" s="6" t="s">
        <v>17</v>
      </c>
    </row>
    <row r="33" spans="1:3">
      <c r="A33" s="1">
        <f t="shared" si="4"/>
        <v>43026</v>
      </c>
      <c r="B33" s="1">
        <v>43040</v>
      </c>
      <c r="C33" s="6" t="s">
        <v>17</v>
      </c>
    </row>
    <row r="34" spans="1:3">
      <c r="A34" s="1">
        <v>43041</v>
      </c>
      <c r="B34" s="10">
        <v>43070</v>
      </c>
      <c r="C34" s="6" t="s">
        <v>18</v>
      </c>
    </row>
    <row r="35" spans="1:3">
      <c r="A35" s="1">
        <v>43071</v>
      </c>
      <c r="B35" s="10">
        <v>43101</v>
      </c>
      <c r="C35" s="6" t="s">
        <v>18</v>
      </c>
    </row>
    <row r="36" spans="1:3">
      <c r="A36" s="1">
        <v>43102</v>
      </c>
      <c r="B36" s="10">
        <v>43497</v>
      </c>
      <c r="C36" s="6" t="s">
        <v>18</v>
      </c>
    </row>
    <row r="37" spans="1:3">
      <c r="A37" s="1">
        <v>43133</v>
      </c>
      <c r="B37" s="1">
        <v>43525</v>
      </c>
      <c r="C37" s="6" t="s">
        <v>18</v>
      </c>
    </row>
    <row r="38" spans="1:3">
      <c r="A38" s="1">
        <v>43526</v>
      </c>
      <c r="B38" s="1">
        <v>43556</v>
      </c>
      <c r="C38" s="6" t="s">
        <v>18</v>
      </c>
    </row>
    <row r="39" spans="1:3">
      <c r="A39" s="1">
        <v>43557</v>
      </c>
      <c r="B39" s="1">
        <v>43586</v>
      </c>
      <c r="C39" s="6" t="s">
        <v>18</v>
      </c>
    </row>
    <row r="40" spans="1:3">
      <c r="A40" s="1">
        <v>43587</v>
      </c>
      <c r="B40" s="1">
        <v>43617</v>
      </c>
      <c r="C40" s="6" t="s">
        <v>18</v>
      </c>
    </row>
    <row r="41" spans="1:3">
      <c r="A41" s="1">
        <v>43618</v>
      </c>
      <c r="B41" s="1">
        <v>43647</v>
      </c>
      <c r="C41" s="6" t="s">
        <v>18</v>
      </c>
    </row>
    <row r="42" spans="1:3">
      <c r="A42" s="1">
        <v>43648</v>
      </c>
      <c r="B42" s="1">
        <v>43678</v>
      </c>
      <c r="C42" s="6" t="s">
        <v>18</v>
      </c>
    </row>
    <row r="44" spans="1:3">
      <c r="B4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9E1A-5B18-4145-8DD2-1A3AF0FAD6CF}">
  <dimension ref="A1:N88"/>
  <sheetViews>
    <sheetView workbookViewId="0">
      <selection activeCell="F3" sqref="F3"/>
    </sheetView>
  </sheetViews>
  <sheetFormatPr defaultRowHeight="15"/>
  <cols>
    <col min="1" max="1" width="35.7109375" style="4" customWidth="1"/>
    <col min="2" max="2" width="22.7109375" customWidth="1"/>
    <col min="4" max="4" width="12.7109375" customWidth="1"/>
    <col min="5" max="5" width="17.28515625" customWidth="1"/>
    <col min="6" max="6" width="26.140625" customWidth="1"/>
  </cols>
  <sheetData>
    <row r="1" spans="1:14">
      <c r="A1" s="3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4</v>
      </c>
      <c r="H1">
        <v>2018</v>
      </c>
      <c r="I1">
        <v>2015</v>
      </c>
      <c r="J1">
        <v>2012</v>
      </c>
      <c r="K1" t="s">
        <v>25</v>
      </c>
    </row>
    <row r="2" spans="1:14">
      <c r="A2" s="4" t="s">
        <v>26</v>
      </c>
      <c r="B2">
        <v>4133533</v>
      </c>
      <c r="C2" s="8" t="s">
        <v>27</v>
      </c>
      <c r="D2" t="s">
        <v>28</v>
      </c>
      <c r="E2" t="s">
        <v>29</v>
      </c>
      <c r="F2" t="s">
        <v>30</v>
      </c>
      <c r="H2" t="s">
        <v>31</v>
      </c>
      <c r="I2" t="s">
        <v>31</v>
      </c>
      <c r="J2" t="s">
        <v>31</v>
      </c>
      <c r="K2">
        <f>SUM(B2:B11)/SUM(B2:B86)*100</f>
        <v>98.241225644594948</v>
      </c>
      <c r="L2">
        <f>B2/SUM($B$2:$B$86)*100</f>
        <v>56.611626388983616</v>
      </c>
      <c r="N2">
        <f>SUM(L2:L7)</f>
        <v>94.674906547393562</v>
      </c>
    </row>
    <row r="3" spans="1:14" ht="60">
      <c r="A3" s="4" t="s">
        <v>32</v>
      </c>
      <c r="B3">
        <v>1399679</v>
      </c>
      <c r="C3">
        <v>1989</v>
      </c>
      <c r="D3" t="s">
        <v>33</v>
      </c>
      <c r="E3" t="s">
        <v>34</v>
      </c>
      <c r="F3" t="s">
        <v>35</v>
      </c>
      <c r="G3" t="s">
        <v>36</v>
      </c>
      <c r="H3" t="s">
        <v>31</v>
      </c>
      <c r="I3" t="s">
        <v>31</v>
      </c>
      <c r="J3" t="s">
        <v>31</v>
      </c>
      <c r="L3">
        <f t="shared" ref="L3:L8" si="0">B3/SUM($B$2:$B$86)*100</f>
        <v>19.169583165903408</v>
      </c>
    </row>
    <row r="4" spans="1:14">
      <c r="A4" s="4" t="s">
        <v>37</v>
      </c>
      <c r="B4">
        <v>1128981</v>
      </c>
      <c r="C4">
        <v>2004</v>
      </c>
      <c r="D4" t="s">
        <v>38</v>
      </c>
      <c r="E4" t="s">
        <v>39</v>
      </c>
      <c r="F4" t="s">
        <v>40</v>
      </c>
      <c r="H4" t="s">
        <v>31</v>
      </c>
      <c r="J4" t="s">
        <v>31</v>
      </c>
      <c r="L4">
        <f t="shared" si="0"/>
        <v>15.462184666787737</v>
      </c>
    </row>
    <row r="5" spans="1:14" s="12" customFormat="1" ht="30">
      <c r="A5" s="11" t="s">
        <v>41</v>
      </c>
      <c r="C5" s="12">
        <v>1991</v>
      </c>
      <c r="D5" s="12" t="s">
        <v>33</v>
      </c>
      <c r="E5" s="12" t="s">
        <v>34</v>
      </c>
      <c r="F5" s="12" t="s">
        <v>42</v>
      </c>
      <c r="J5" s="12" t="s">
        <v>31</v>
      </c>
      <c r="L5">
        <f t="shared" si="0"/>
        <v>0</v>
      </c>
    </row>
    <row r="6" spans="1:14">
      <c r="A6" s="4" t="s">
        <v>43</v>
      </c>
      <c r="B6">
        <v>150133</v>
      </c>
      <c r="F6" t="s">
        <v>44</v>
      </c>
      <c r="H6" t="s">
        <v>31</v>
      </c>
      <c r="I6" t="s">
        <v>31</v>
      </c>
      <c r="J6" t="s">
        <v>31</v>
      </c>
      <c r="L6">
        <f t="shared" si="0"/>
        <v>2.0561764729245606</v>
      </c>
    </row>
    <row r="7" spans="1:14" ht="30">
      <c r="A7" s="4" t="s">
        <v>45</v>
      </c>
      <c r="B7">
        <v>100421</v>
      </c>
      <c r="C7">
        <v>2007</v>
      </c>
      <c r="D7" t="s">
        <v>33</v>
      </c>
      <c r="E7" t="s">
        <v>34</v>
      </c>
      <c r="F7" t="s">
        <v>46</v>
      </c>
      <c r="H7" t="s">
        <v>31</v>
      </c>
      <c r="J7" t="s">
        <v>31</v>
      </c>
      <c r="L7">
        <f t="shared" si="0"/>
        <v>1.3753358527942376</v>
      </c>
    </row>
    <row r="8" spans="1:14" ht="30">
      <c r="A8" s="4" t="s">
        <v>47</v>
      </c>
      <c r="B8">
        <v>78003</v>
      </c>
      <c r="C8">
        <v>2007</v>
      </c>
      <c r="D8" t="s">
        <v>33</v>
      </c>
      <c r="E8" t="s">
        <v>34</v>
      </c>
      <c r="F8" t="s">
        <v>48</v>
      </c>
      <c r="H8" t="s">
        <v>31</v>
      </c>
      <c r="J8" t="s">
        <v>31</v>
      </c>
      <c r="L8">
        <f t="shared" si="0"/>
        <v>1.0683056584330859</v>
      </c>
    </row>
    <row r="9" spans="1:14" ht="30">
      <c r="A9" s="5" t="s">
        <v>49</v>
      </c>
      <c r="B9">
        <v>74108</v>
      </c>
      <c r="C9">
        <v>1999</v>
      </c>
      <c r="D9" t="s">
        <v>50</v>
      </c>
      <c r="E9" t="s">
        <v>34</v>
      </c>
      <c r="F9" t="s">
        <v>51</v>
      </c>
      <c r="H9" t="s">
        <v>31</v>
      </c>
      <c r="J9" t="s">
        <v>31</v>
      </c>
    </row>
    <row r="10" spans="1:14">
      <c r="A10" s="4" t="s">
        <v>52</v>
      </c>
      <c r="B10">
        <v>67706</v>
      </c>
      <c r="C10">
        <v>1999</v>
      </c>
      <c r="D10" t="s">
        <v>53</v>
      </c>
      <c r="E10" t="s">
        <v>54</v>
      </c>
      <c r="F10" t="s">
        <v>55</v>
      </c>
      <c r="H10" t="s">
        <v>31</v>
      </c>
      <c r="J10" t="s">
        <v>31</v>
      </c>
    </row>
    <row r="11" spans="1:14">
      <c r="A11" s="4" t="s">
        <v>56</v>
      </c>
      <c r="B11">
        <v>40580</v>
      </c>
      <c r="C11">
        <v>2012</v>
      </c>
      <c r="D11" t="s">
        <v>57</v>
      </c>
      <c r="E11" t="s">
        <v>58</v>
      </c>
      <c r="F11" t="s">
        <v>59</v>
      </c>
      <c r="H11" t="s">
        <v>31</v>
      </c>
      <c r="J11" t="s">
        <v>31</v>
      </c>
    </row>
    <row r="12" spans="1:14">
      <c r="A12" s="4" t="s">
        <v>60</v>
      </c>
      <c r="B12">
        <v>38013</v>
      </c>
      <c r="C12" t="s">
        <v>61</v>
      </c>
      <c r="D12" t="s">
        <v>62</v>
      </c>
      <c r="E12" t="s">
        <v>58</v>
      </c>
      <c r="F12" t="s">
        <v>63</v>
      </c>
      <c r="H12" t="s">
        <v>31</v>
      </c>
      <c r="J12" t="s">
        <v>31</v>
      </c>
    </row>
    <row r="13" spans="1:14">
      <c r="A13" s="4" t="s">
        <v>64</v>
      </c>
      <c r="B13">
        <v>30055</v>
      </c>
      <c r="C13">
        <v>1995</v>
      </c>
      <c r="D13" t="s">
        <v>65</v>
      </c>
      <c r="E13" t="s">
        <v>66</v>
      </c>
      <c r="F13" t="s">
        <v>67</v>
      </c>
      <c r="G13" t="s">
        <v>68</v>
      </c>
      <c r="H13" t="s">
        <v>31</v>
      </c>
      <c r="J13" t="s">
        <v>31</v>
      </c>
    </row>
    <row r="14" spans="1:14" ht="30">
      <c r="A14" s="4" t="s">
        <v>69</v>
      </c>
      <c r="B14">
        <v>26321</v>
      </c>
      <c r="C14">
        <v>1991</v>
      </c>
      <c r="D14" t="s">
        <v>50</v>
      </c>
      <c r="E14" t="s">
        <v>70</v>
      </c>
      <c r="F14" t="s">
        <v>71</v>
      </c>
      <c r="H14" t="s">
        <v>31</v>
      </c>
      <c r="J14" t="s">
        <v>31</v>
      </c>
    </row>
    <row r="15" spans="1:14">
      <c r="A15" s="4" t="s">
        <v>72</v>
      </c>
      <c r="B15">
        <v>9765</v>
      </c>
      <c r="C15">
        <v>2006</v>
      </c>
      <c r="D15" t="s">
        <v>73</v>
      </c>
      <c r="E15" t="s">
        <v>34</v>
      </c>
      <c r="F15" t="s">
        <v>74</v>
      </c>
      <c r="H15" t="s">
        <v>31</v>
      </c>
      <c r="J15" t="s">
        <v>31</v>
      </c>
    </row>
    <row r="16" spans="1:14">
      <c r="A16" s="4" t="s">
        <v>75</v>
      </c>
      <c r="B16">
        <v>7963</v>
      </c>
      <c r="C16">
        <v>2017</v>
      </c>
      <c r="D16" t="s">
        <v>62</v>
      </c>
      <c r="E16" t="s">
        <v>58</v>
      </c>
      <c r="F16" t="s">
        <v>76</v>
      </c>
      <c r="H16" t="s">
        <v>31</v>
      </c>
      <c r="J16" t="s">
        <v>31</v>
      </c>
    </row>
    <row r="17" spans="1:10">
      <c r="A17" s="4" t="s">
        <v>77</v>
      </c>
      <c r="B17">
        <v>3503</v>
      </c>
      <c r="C17">
        <v>1995</v>
      </c>
      <c r="D17" t="s">
        <v>78</v>
      </c>
      <c r="E17" t="s">
        <v>79</v>
      </c>
      <c r="F17" t="s">
        <v>80</v>
      </c>
      <c r="H17" t="s">
        <v>31</v>
      </c>
      <c r="J17" t="s">
        <v>31</v>
      </c>
    </row>
    <row r="18" spans="1:10">
      <c r="A18" s="4" t="s">
        <v>81</v>
      </c>
      <c r="B18">
        <v>3121</v>
      </c>
      <c r="C18">
        <v>2003</v>
      </c>
      <c r="D18" t="s">
        <v>82</v>
      </c>
      <c r="E18" t="s">
        <v>83</v>
      </c>
      <c r="F18" t="s">
        <v>84</v>
      </c>
    </row>
    <row r="19" spans="1:10">
      <c r="A19" s="4" t="s">
        <v>85</v>
      </c>
      <c r="B19">
        <v>2899</v>
      </c>
      <c r="C19">
        <v>2005</v>
      </c>
      <c r="D19" t="s">
        <v>86</v>
      </c>
      <c r="E19" t="s">
        <v>34</v>
      </c>
      <c r="F19" t="s">
        <v>87</v>
      </c>
    </row>
    <row r="20" spans="1:10">
      <c r="A20" s="4" t="s">
        <v>88</v>
      </c>
      <c r="B20">
        <v>2518</v>
      </c>
      <c r="C20" t="s">
        <v>89</v>
      </c>
      <c r="D20" t="s">
        <v>90</v>
      </c>
      <c r="E20" t="s">
        <v>91</v>
      </c>
      <c r="F20" t="s">
        <v>92</v>
      </c>
    </row>
    <row r="21" spans="1:10">
      <c r="A21" s="4" t="s">
        <v>93</v>
      </c>
      <c r="B21">
        <v>1509</v>
      </c>
      <c r="F21" t="s">
        <v>94</v>
      </c>
    </row>
    <row r="22" spans="1:10">
      <c r="A22" s="4" t="s">
        <v>95</v>
      </c>
      <c r="B22">
        <v>553</v>
      </c>
      <c r="F22" t="s">
        <v>96</v>
      </c>
    </row>
    <row r="23" spans="1:10" ht="30">
      <c r="A23" s="4" t="s">
        <v>97</v>
      </c>
      <c r="B23">
        <v>440</v>
      </c>
      <c r="F23" t="s">
        <v>98</v>
      </c>
    </row>
    <row r="24" spans="1:10" ht="30">
      <c r="A24" s="4" t="s">
        <v>99</v>
      </c>
      <c r="B24">
        <v>384</v>
      </c>
      <c r="F24" t="s">
        <v>100</v>
      </c>
    </row>
    <row r="25" spans="1:10" ht="45">
      <c r="A25" s="4" t="s">
        <v>101</v>
      </c>
      <c r="B25">
        <v>354</v>
      </c>
      <c r="F25" t="s">
        <v>102</v>
      </c>
    </row>
    <row r="26" spans="1:10" ht="30">
      <c r="A26" s="4" t="s">
        <v>103</v>
      </c>
      <c r="B26">
        <v>353</v>
      </c>
      <c r="F26" t="s">
        <v>104</v>
      </c>
    </row>
    <row r="27" spans="1:10" ht="30">
      <c r="A27" s="4" t="s">
        <v>105</v>
      </c>
      <c r="B27">
        <v>295</v>
      </c>
      <c r="F27" t="s">
        <v>106</v>
      </c>
    </row>
    <row r="28" spans="1:10">
      <c r="A28" s="4" t="s">
        <v>107</v>
      </c>
      <c r="B28">
        <v>139</v>
      </c>
      <c r="F28" t="s">
        <v>108</v>
      </c>
    </row>
    <row r="29" spans="1:10">
      <c r="A29" s="4" t="s">
        <v>109</v>
      </c>
      <c r="B29">
        <v>65</v>
      </c>
      <c r="F29" t="s">
        <v>110</v>
      </c>
    </row>
    <row r="30" spans="1:10">
      <c r="A30" s="4" t="s">
        <v>111</v>
      </c>
      <c r="B30">
        <v>24</v>
      </c>
      <c r="F30" t="s">
        <v>112</v>
      </c>
    </row>
    <row r="31" spans="1:10">
      <c r="A31" s="4" t="s">
        <v>113</v>
      </c>
      <c r="B31">
        <v>17</v>
      </c>
      <c r="F31" t="s">
        <v>114</v>
      </c>
    </row>
    <row r="32" spans="1:10">
      <c r="A32" s="4" t="s">
        <v>115</v>
      </c>
      <c r="B32">
        <v>16</v>
      </c>
      <c r="F32" t="s">
        <v>116</v>
      </c>
    </row>
    <row r="33" spans="1:6" ht="30">
      <c r="A33" s="4" t="s">
        <v>117</v>
      </c>
      <c r="B33">
        <v>14</v>
      </c>
      <c r="F33" t="s">
        <v>118</v>
      </c>
    </row>
    <row r="34" spans="1:6">
      <c r="A34" s="4" t="s">
        <v>119</v>
      </c>
      <c r="B34">
        <v>12</v>
      </c>
      <c r="F34" t="s">
        <v>120</v>
      </c>
    </row>
    <row r="35" spans="1:6">
      <c r="A35" s="4" t="s">
        <v>121</v>
      </c>
      <c r="B35">
        <v>10</v>
      </c>
      <c r="F35" t="s">
        <v>122</v>
      </c>
    </row>
    <row r="36" spans="1:6">
      <c r="A36" s="4" t="s">
        <v>123</v>
      </c>
      <c r="B36">
        <v>9</v>
      </c>
      <c r="F36" t="s">
        <v>124</v>
      </c>
    </row>
    <row r="37" spans="1:6" ht="30">
      <c r="A37" s="4" t="s">
        <v>125</v>
      </c>
      <c r="B37">
        <v>9</v>
      </c>
      <c r="F37" t="s">
        <v>126</v>
      </c>
    </row>
    <row r="38" spans="1:6">
      <c r="A38" s="4" t="s">
        <v>127</v>
      </c>
      <c r="B38">
        <v>8</v>
      </c>
      <c r="F38" t="s">
        <v>128</v>
      </c>
    </row>
    <row r="39" spans="1:6" ht="30">
      <c r="A39" s="4" t="s">
        <v>129</v>
      </c>
      <c r="B39">
        <v>6</v>
      </c>
      <c r="F39" t="s">
        <v>130</v>
      </c>
    </row>
    <row r="40" spans="1:6">
      <c r="A40" s="4" t="s">
        <v>131</v>
      </c>
      <c r="B40">
        <v>5</v>
      </c>
      <c r="F40" t="s">
        <v>132</v>
      </c>
    </row>
    <row r="41" spans="1:6">
      <c r="A41" s="4" t="s">
        <v>133</v>
      </c>
      <c r="B41">
        <v>5</v>
      </c>
      <c r="F41" t="s">
        <v>134</v>
      </c>
    </row>
    <row r="42" spans="1:6" ht="30">
      <c r="A42" s="4" t="s">
        <v>135</v>
      </c>
      <c r="B42">
        <v>3</v>
      </c>
      <c r="F42" t="s">
        <v>136</v>
      </c>
    </row>
    <row r="43" spans="1:6">
      <c r="A43" s="4" t="s">
        <v>137</v>
      </c>
      <c r="B43">
        <v>3</v>
      </c>
      <c r="F43" t="s">
        <v>138</v>
      </c>
    </row>
    <row r="44" spans="1:6">
      <c r="A44" s="4" t="s">
        <v>139</v>
      </c>
      <c r="B44">
        <v>3</v>
      </c>
      <c r="F44" t="s">
        <v>140</v>
      </c>
    </row>
    <row r="45" spans="1:6">
      <c r="A45" s="4" t="s">
        <v>141</v>
      </c>
      <c r="B45">
        <v>3</v>
      </c>
      <c r="F45" t="s">
        <v>142</v>
      </c>
    </row>
    <row r="46" spans="1:6">
      <c r="A46" s="4" t="s">
        <v>143</v>
      </c>
      <c r="B46">
        <v>2</v>
      </c>
      <c r="F46" t="s">
        <v>144</v>
      </c>
    </row>
    <row r="47" spans="1:6">
      <c r="A47" s="4" t="s">
        <v>145</v>
      </c>
      <c r="B47">
        <v>2</v>
      </c>
      <c r="F47" t="s">
        <v>146</v>
      </c>
    </row>
    <row r="48" spans="1:6" ht="30">
      <c r="A48" s="4" t="s">
        <v>147</v>
      </c>
      <c r="B48">
        <v>2</v>
      </c>
      <c r="F48" t="s">
        <v>148</v>
      </c>
    </row>
    <row r="49" spans="1:6" ht="30">
      <c r="A49" s="5" t="s">
        <v>147</v>
      </c>
      <c r="B49">
        <v>2</v>
      </c>
      <c r="F49" t="s">
        <v>148</v>
      </c>
    </row>
    <row r="50" spans="1:6">
      <c r="A50" s="4" t="s">
        <v>149</v>
      </c>
      <c r="B50">
        <v>2</v>
      </c>
      <c r="F50" t="s">
        <v>150</v>
      </c>
    </row>
    <row r="51" spans="1:6">
      <c r="A51" s="4" t="s">
        <v>151</v>
      </c>
      <c r="B51">
        <v>2</v>
      </c>
      <c r="F51" t="s">
        <v>152</v>
      </c>
    </row>
    <row r="52" spans="1:6">
      <c r="A52" s="4" t="s">
        <v>153</v>
      </c>
      <c r="B52">
        <v>2</v>
      </c>
      <c r="F52" t="s">
        <v>154</v>
      </c>
    </row>
    <row r="53" spans="1:6">
      <c r="A53" s="4" t="s">
        <v>155</v>
      </c>
      <c r="B53">
        <v>1</v>
      </c>
      <c r="F53" t="s">
        <v>156</v>
      </c>
    </row>
    <row r="54" spans="1:6" ht="30">
      <c r="A54" s="4" t="s">
        <v>157</v>
      </c>
      <c r="B54">
        <v>1</v>
      </c>
      <c r="F54" t="s">
        <v>158</v>
      </c>
    </row>
    <row r="55" spans="1:6" ht="30">
      <c r="A55" s="4" t="s">
        <v>159</v>
      </c>
      <c r="B55">
        <v>1</v>
      </c>
      <c r="F55" t="s">
        <v>160</v>
      </c>
    </row>
    <row r="56" spans="1:6">
      <c r="A56" s="4" t="s">
        <v>161</v>
      </c>
      <c r="B56">
        <v>1</v>
      </c>
      <c r="F56" t="s">
        <v>162</v>
      </c>
    </row>
    <row r="57" spans="1:6">
      <c r="A57" s="4" t="s">
        <v>163</v>
      </c>
      <c r="B57">
        <v>1</v>
      </c>
      <c r="F57" t="s">
        <v>164</v>
      </c>
    </row>
    <row r="58" spans="1:6">
      <c r="A58" s="4" t="s">
        <v>165</v>
      </c>
      <c r="B58">
        <v>1</v>
      </c>
      <c r="F58" t="s">
        <v>166</v>
      </c>
    </row>
    <row r="59" spans="1:6">
      <c r="A59" s="4" t="s">
        <v>167</v>
      </c>
      <c r="B59">
        <v>1</v>
      </c>
      <c r="F59" t="s">
        <v>168</v>
      </c>
    </row>
    <row r="60" spans="1:6">
      <c r="A60" s="4" t="s">
        <v>169</v>
      </c>
      <c r="B60">
        <v>0</v>
      </c>
      <c r="F60" t="s">
        <v>170</v>
      </c>
    </row>
    <row r="61" spans="1:6">
      <c r="A61" s="4" t="s">
        <v>171</v>
      </c>
      <c r="B61">
        <v>0</v>
      </c>
      <c r="F61" t="s">
        <v>170</v>
      </c>
    </row>
    <row r="62" spans="1:6" ht="30">
      <c r="A62" s="4" t="s">
        <v>172</v>
      </c>
      <c r="B62">
        <v>0</v>
      </c>
      <c r="F62" t="s">
        <v>170</v>
      </c>
    </row>
    <row r="63" spans="1:6" ht="30">
      <c r="A63" s="4" t="s">
        <v>173</v>
      </c>
      <c r="B63">
        <v>0</v>
      </c>
      <c r="F63" t="s">
        <v>170</v>
      </c>
    </row>
    <row r="64" spans="1:6" ht="30">
      <c r="A64" s="4" t="s">
        <v>172</v>
      </c>
      <c r="B64">
        <v>0</v>
      </c>
      <c r="F64" t="s">
        <v>170</v>
      </c>
    </row>
    <row r="65" spans="1:6" ht="30">
      <c r="A65" s="4" t="s">
        <v>174</v>
      </c>
      <c r="B65">
        <v>0</v>
      </c>
      <c r="F65" t="s">
        <v>170</v>
      </c>
    </row>
    <row r="66" spans="1:6">
      <c r="A66" s="4" t="s">
        <v>175</v>
      </c>
      <c r="B66">
        <v>0</v>
      </c>
      <c r="F66" t="s">
        <v>170</v>
      </c>
    </row>
    <row r="67" spans="1:6">
      <c r="A67" s="4" t="s">
        <v>176</v>
      </c>
      <c r="B67">
        <v>0</v>
      </c>
      <c r="F67" t="s">
        <v>170</v>
      </c>
    </row>
    <row r="68" spans="1:6">
      <c r="A68" s="4" t="s">
        <v>177</v>
      </c>
      <c r="B68">
        <v>0</v>
      </c>
      <c r="F68" t="s">
        <v>170</v>
      </c>
    </row>
    <row r="69" spans="1:6" ht="30">
      <c r="A69" s="4" t="s">
        <v>178</v>
      </c>
      <c r="B69">
        <v>0</v>
      </c>
      <c r="F69" t="s">
        <v>170</v>
      </c>
    </row>
    <row r="70" spans="1:6" ht="30">
      <c r="A70" s="4" t="s">
        <v>179</v>
      </c>
      <c r="B70">
        <v>0</v>
      </c>
      <c r="F70" t="s">
        <v>170</v>
      </c>
    </row>
    <row r="71" spans="1:6" ht="30">
      <c r="A71" s="4" t="s">
        <v>180</v>
      </c>
      <c r="B71">
        <v>0</v>
      </c>
      <c r="F71" t="s">
        <v>170</v>
      </c>
    </row>
    <row r="72" spans="1:6" ht="30">
      <c r="A72" s="4" t="s">
        <v>181</v>
      </c>
      <c r="B72">
        <v>0</v>
      </c>
      <c r="F72" t="s">
        <v>170</v>
      </c>
    </row>
    <row r="73" spans="1:6" ht="30">
      <c r="A73" s="4" t="s">
        <v>182</v>
      </c>
      <c r="B73">
        <v>0</v>
      </c>
      <c r="F73" t="s">
        <v>170</v>
      </c>
    </row>
    <row r="74" spans="1:6">
      <c r="A74" s="4" t="s">
        <v>183</v>
      </c>
      <c r="B74">
        <v>0</v>
      </c>
      <c r="F74" t="s">
        <v>170</v>
      </c>
    </row>
    <row r="75" spans="1:6">
      <c r="A75" s="4" t="s">
        <v>184</v>
      </c>
      <c r="B75">
        <v>0</v>
      </c>
      <c r="F75" t="s">
        <v>170</v>
      </c>
    </row>
    <row r="76" spans="1:6">
      <c r="A76" s="4" t="s">
        <v>185</v>
      </c>
      <c r="B76">
        <v>0</v>
      </c>
      <c r="F76" t="s">
        <v>170</v>
      </c>
    </row>
    <row r="77" spans="1:6">
      <c r="A77" s="4" t="s">
        <v>186</v>
      </c>
      <c r="B77">
        <v>0</v>
      </c>
      <c r="F77" t="s">
        <v>170</v>
      </c>
    </row>
    <row r="78" spans="1:6" ht="30">
      <c r="A78" s="4" t="s">
        <v>187</v>
      </c>
      <c r="B78">
        <v>0</v>
      </c>
      <c r="F78" t="s">
        <v>170</v>
      </c>
    </row>
    <row r="79" spans="1:6" ht="30">
      <c r="A79" s="4" t="s">
        <v>188</v>
      </c>
      <c r="B79">
        <v>0</v>
      </c>
      <c r="F79" t="s">
        <v>170</v>
      </c>
    </row>
    <row r="80" spans="1:6">
      <c r="A80" s="4" t="s">
        <v>189</v>
      </c>
      <c r="B80">
        <v>0</v>
      </c>
      <c r="F80" t="s">
        <v>170</v>
      </c>
    </row>
    <row r="81" spans="1:6" ht="30">
      <c r="A81" s="4" t="s">
        <v>190</v>
      </c>
      <c r="B81">
        <v>0</v>
      </c>
      <c r="F81" t="s">
        <v>170</v>
      </c>
    </row>
    <row r="82" spans="1:6" ht="30">
      <c r="A82" s="4" t="s">
        <v>191</v>
      </c>
      <c r="B82">
        <v>0</v>
      </c>
      <c r="F82" t="s">
        <v>170</v>
      </c>
    </row>
    <row r="83" spans="1:6" ht="30">
      <c r="A83" s="4" t="s">
        <v>192</v>
      </c>
      <c r="B83">
        <v>0</v>
      </c>
      <c r="F83" t="s">
        <v>170</v>
      </c>
    </row>
    <row r="84" spans="1:6">
      <c r="A84" s="4" t="s">
        <v>193</v>
      </c>
      <c r="B84">
        <v>0</v>
      </c>
      <c r="F84" t="s">
        <v>170</v>
      </c>
    </row>
    <row r="85" spans="1:6" ht="30">
      <c r="A85" s="4" t="s">
        <v>194</v>
      </c>
      <c r="B85">
        <v>0</v>
      </c>
      <c r="F85" t="s">
        <v>170</v>
      </c>
    </row>
    <row r="86" spans="1:6" ht="30">
      <c r="A86" s="4" t="s">
        <v>195</v>
      </c>
      <c r="B86">
        <v>0</v>
      </c>
      <c r="F86" t="s">
        <v>170</v>
      </c>
    </row>
    <row r="88" spans="1:6">
      <c r="B88">
        <f>SUM(B2:B86)</f>
        <v>7301562</v>
      </c>
    </row>
  </sheetData>
  <sortState xmlns:xlrd2="http://schemas.microsoft.com/office/spreadsheetml/2017/richdata2" ref="A2:F86">
    <sortCondition descending="1" ref="B2:B8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D40D-6856-47BF-A337-DDF188A6F507}">
  <dimension ref="A1:B4"/>
  <sheetViews>
    <sheetView workbookViewId="0">
      <selection activeCell="A8" sqref="A8"/>
    </sheetView>
  </sheetViews>
  <sheetFormatPr defaultRowHeight="15"/>
  <cols>
    <col min="1" max="1" width="67" customWidth="1"/>
  </cols>
  <sheetData>
    <row r="1" spans="1:2">
      <c r="A1" s="9" t="s">
        <v>196</v>
      </c>
      <c r="B1" s="9" t="s">
        <v>19</v>
      </c>
    </row>
    <row r="2" spans="1:2">
      <c r="A2" t="s">
        <v>197</v>
      </c>
      <c r="B2" t="s">
        <v>198</v>
      </c>
    </row>
    <row r="3" spans="1:2">
      <c r="A3" t="s">
        <v>199</v>
      </c>
      <c r="B3" t="s">
        <v>198</v>
      </c>
    </row>
    <row r="4" spans="1:2">
      <c r="A4" t="s">
        <v>200</v>
      </c>
      <c r="B4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3F52-DBC5-4BB2-8D1A-5683DBB59139}">
  <dimension ref="A1:F13"/>
  <sheetViews>
    <sheetView workbookViewId="0">
      <selection sqref="A1:C6"/>
    </sheetView>
  </sheetViews>
  <sheetFormatPr defaultRowHeight="15"/>
  <cols>
    <col min="1" max="1" width="27.7109375" customWidth="1"/>
    <col min="2" max="2" width="29.5703125" customWidth="1"/>
  </cols>
  <sheetData>
    <row r="1" spans="1:6">
      <c r="A1" s="3" t="s">
        <v>19</v>
      </c>
      <c r="B1" s="9" t="s">
        <v>20</v>
      </c>
      <c r="C1" s="9" t="s">
        <v>202</v>
      </c>
      <c r="D1" s="9"/>
      <c r="E1" s="9" t="s">
        <v>203</v>
      </c>
      <c r="F1" s="9"/>
    </row>
    <row r="2" spans="1:6">
      <c r="A2" s="4" t="s">
        <v>201</v>
      </c>
      <c r="B2">
        <v>4133533</v>
      </c>
      <c r="C2" s="8">
        <f>B2/SUM($B$2:$B$12)*100</f>
        <v>57.083441280271863</v>
      </c>
    </row>
    <row r="3" spans="1:6">
      <c r="A3" s="4" t="s">
        <v>204</v>
      </c>
      <c r="B3">
        <v>1399679</v>
      </c>
      <c r="C3" s="8">
        <f t="shared" ref="C3:C13" si="0">B3/SUM($B$2:$B$12)*100</f>
        <v>19.329347076152445</v>
      </c>
    </row>
    <row r="4" spans="1:6">
      <c r="A4" s="4" t="s">
        <v>205</v>
      </c>
      <c r="B4">
        <v>1128981</v>
      </c>
      <c r="C4" s="8">
        <f t="shared" si="0"/>
        <v>15.591050227503352</v>
      </c>
    </row>
    <row r="5" spans="1:6">
      <c r="A5" s="4" t="s">
        <v>44</v>
      </c>
      <c r="B5">
        <v>150133</v>
      </c>
      <c r="C5" s="8">
        <f t="shared" si="0"/>
        <v>2.0733131415017265</v>
      </c>
    </row>
    <row r="6" spans="1:6">
      <c r="A6" s="4" t="s">
        <v>206</v>
      </c>
      <c r="B6">
        <v>100421</v>
      </c>
      <c r="C6" s="8">
        <f t="shared" si="0"/>
        <v>1.3867982321191537</v>
      </c>
    </row>
    <row r="7" spans="1:6">
      <c r="A7" s="4" t="s">
        <v>48</v>
      </c>
      <c r="B7">
        <v>78003</v>
      </c>
      <c r="C7" s="8">
        <f t="shared" si="0"/>
        <v>1.0772091743757812</v>
      </c>
    </row>
    <row r="8" spans="1:6">
      <c r="A8" s="5" t="s">
        <v>51</v>
      </c>
      <c r="B8">
        <v>74108</v>
      </c>
      <c r="C8" s="8">
        <f t="shared" si="0"/>
        <v>1.023419836347838</v>
      </c>
    </row>
    <row r="9" spans="1:6">
      <c r="A9" s="4" t="s">
        <v>55</v>
      </c>
      <c r="B9">
        <v>67706</v>
      </c>
      <c r="C9" s="8">
        <f t="shared" si="0"/>
        <v>0.93500922221307714</v>
      </c>
    </row>
    <row r="10" spans="1:6">
      <c r="A10" s="4" t="s">
        <v>59</v>
      </c>
      <c r="B10">
        <v>40580</v>
      </c>
      <c r="C10" s="8">
        <f t="shared" si="0"/>
        <v>0.56040342417816247</v>
      </c>
    </row>
    <row r="11" spans="1:6">
      <c r="A11" s="4" t="s">
        <v>63</v>
      </c>
      <c r="B11">
        <v>38013</v>
      </c>
      <c r="C11" s="8">
        <f t="shared" si="0"/>
        <v>0.52495355749838557</v>
      </c>
    </row>
    <row r="12" spans="1:6">
      <c r="A12" s="4" t="s">
        <v>64</v>
      </c>
      <c r="B12">
        <v>30055</v>
      </c>
      <c r="C12" s="8">
        <f t="shared" si="0"/>
        <v>0.41505482783821268</v>
      </c>
    </row>
    <row r="13" spans="1:6" ht="30">
      <c r="A13" s="4" t="s">
        <v>69</v>
      </c>
      <c r="B13">
        <v>26321</v>
      </c>
      <c r="C13" s="8">
        <f t="shared" si="0"/>
        <v>0.36348887451437689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F936-346D-4039-A07E-44D049E30302}">
  <dimension ref="A1:C6"/>
  <sheetViews>
    <sheetView workbookViewId="0">
      <selection activeCell="D6" sqref="D6"/>
    </sheetView>
  </sheetViews>
  <sheetFormatPr defaultRowHeight="15"/>
  <sheetData>
    <row r="1" spans="1:3">
      <c r="A1" s="3" t="s">
        <v>19</v>
      </c>
      <c r="B1" s="9" t="s">
        <v>20</v>
      </c>
      <c r="C1" s="9" t="s">
        <v>207</v>
      </c>
    </row>
    <row r="2" spans="1:3">
      <c r="A2" s="4" t="s">
        <v>201</v>
      </c>
      <c r="B2">
        <v>4133533</v>
      </c>
      <c r="C2" s="8">
        <f>B2/SUM($B$2:$B$6)*100</f>
        <v>59.795809104542663</v>
      </c>
    </row>
    <row r="3" spans="1:3">
      <c r="A3" s="4" t="s">
        <v>204</v>
      </c>
      <c r="B3">
        <v>1399679</v>
      </c>
      <c r="C3" s="8">
        <f t="shared" ref="C3:C6" si="0">B3/SUM($B$2:$B$6)*100</f>
        <v>20.247797293897779</v>
      </c>
    </row>
    <row r="4" spans="1:3" ht="30">
      <c r="A4" s="4" t="s">
        <v>205</v>
      </c>
      <c r="B4">
        <v>1128981</v>
      </c>
      <c r="C4" s="8">
        <f t="shared" si="0"/>
        <v>16.331872119723172</v>
      </c>
    </row>
    <row r="5" spans="1:3" ht="30">
      <c r="A5" s="4" t="s">
        <v>44</v>
      </c>
      <c r="B5">
        <v>150133</v>
      </c>
      <c r="C5" s="8">
        <f t="shared" si="0"/>
        <v>2.1718283628780277</v>
      </c>
    </row>
    <row r="6" spans="1:3">
      <c r="A6" s="4" t="s">
        <v>206</v>
      </c>
      <c r="B6">
        <v>100421</v>
      </c>
      <c r="C6" s="8">
        <f t="shared" si="0"/>
        <v>1.4526931189583532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C664-DB65-45DE-A7DE-A6480E153FB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264BE599-16CF-4AB1-B88C-9BC20783A9F9}"/>
</file>

<file path=customXml/itemProps2.xml><?xml version="1.0" encoding="utf-8"?>
<ds:datastoreItem xmlns:ds="http://schemas.openxmlformats.org/officeDocument/2006/customXml" ds:itemID="{17AD7A6B-31EE-4E32-8DB1-24B68A69DED3}"/>
</file>

<file path=customXml/itemProps3.xml><?xml version="1.0" encoding="utf-8"?>
<ds:datastoreItem xmlns:ds="http://schemas.openxmlformats.org/officeDocument/2006/customXml" ds:itemID="{E8442B01-6C6B-4D75-A1A2-DA09E9F565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Tobin, Eliza Nicole (ent4pn)</cp:lastModifiedBy>
  <cp:revision/>
  <dcterms:created xsi:type="dcterms:W3CDTF">2019-07-09T15:09:11Z</dcterms:created>
  <dcterms:modified xsi:type="dcterms:W3CDTF">2019-08-01T17:15:42Z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