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17"/>
  <workbookPr filterPrivacy="1" defaultThemeVersion="166925"/>
  <xr:revisionPtr revIDLastSave="1" documentId="11_CAB8C59426A2F4B023861E4C3405FB892D376F26" xr6:coauthVersionLast="44" xr6:coauthVersionMax="44" xr10:uidLastSave="{58DB25FE-EBFC-4A59-A842-FE4604211DC9}"/>
  <bookViews>
    <workbookView xWindow="0" yWindow="0" windowWidth="28780" windowHeight="11010" xr2:uid="{00000000-000D-0000-FFFF-FFFF00000000}"/>
  </bookViews>
  <sheets>
    <sheet name="FSS2016_DST_08" sheetId="1" r:id="rId1"/>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7" i="1" l="1"/>
  <c r="E8" i="1"/>
  <c r="E9" i="1"/>
  <c r="E10" i="1"/>
  <c r="E11" i="1"/>
  <c r="E12" i="1"/>
  <c r="E13" i="1"/>
  <c r="E14" i="1"/>
  <c r="E16" i="1"/>
  <c r="E17" i="1"/>
  <c r="E18" i="1"/>
  <c r="E6" i="1"/>
</calcChain>
</file>

<file path=xl/sharedStrings.xml><?xml version="1.0" encoding="utf-8"?>
<sst xmlns="http://schemas.openxmlformats.org/spreadsheetml/2006/main" count="29" uniqueCount="27">
  <si>
    <t>Table 8. Federal obligations for science and engineering to universities and colleges, by agency and type of activity: FY 2016</t>
  </si>
  <si>
    <t>(Dollars in thousands)</t>
  </si>
  <si>
    <t>Agency</t>
  </si>
  <si>
    <t>All federal S&amp;E obligations</t>
  </si>
  <si>
    <r>
      <t>R&amp;D</t>
    </r>
    <r>
      <rPr>
        <vertAlign val="superscript"/>
        <sz val="11"/>
        <rFont val="Calibri"/>
      </rPr>
      <t>a</t>
    </r>
  </si>
  <si>
    <t>R&amp;D plant</t>
  </si>
  <si>
    <t>R&amp;D Total W/O R&amp;D Plant</t>
  </si>
  <si>
    <t>All federal S&amp;E W/O R&amp;D plant</t>
  </si>
  <si>
    <t>All agencies</t>
  </si>
  <si>
    <t>Department of Agriculture</t>
  </si>
  <si>
    <t>Department of Commerce</t>
  </si>
  <si>
    <t>Department of Defense</t>
  </si>
  <si>
    <t>Department of Education</t>
  </si>
  <si>
    <t>Department of Energy</t>
  </si>
  <si>
    <t>Department of Health and Human Services</t>
  </si>
  <si>
    <t>National Institutes of Health</t>
  </si>
  <si>
    <t>Department of the Interior</t>
  </si>
  <si>
    <t>Other agencies</t>
  </si>
  <si>
    <t/>
  </si>
  <si>
    <t>Environmental Protection Agency</t>
  </si>
  <si>
    <t>National Aeronautics and Space Administration</t>
  </si>
  <si>
    <t>National Science Foundation</t>
  </si>
  <si>
    <t>na = not applicable; data were not collected at this level of detail.</t>
  </si>
  <si>
    <t>S&amp;E = science and engineering.</t>
  </si>
  <si>
    <r>
      <rPr>
        <vertAlign val="superscript"/>
        <sz val="11"/>
        <rFont val="Calibri"/>
      </rPr>
      <t>a</t>
    </r>
    <r>
      <rPr>
        <sz val="8"/>
        <rFont val="Arial"/>
      </rPr>
      <t xml:space="preserve"> The Department of Defense (DOD) states that more than 90% of its development obligations reported for universities and colleges are performed at university-administered laboratories that are separate from academic departments. Furthermore, DOD states that much of its development obligations are for major systems development, that such obligations differ from its obligations for advanced technology development, and that DOD total development obligations are therefore not comparable with development obligations at other federal agencies. Refer to table 14 for DOD obligations to individual institutions, by R&amp;D breakdown.</t>
    </r>
  </si>
  <si>
    <t>NOTE: Detail may not add to total because of rounding.</t>
  </si>
  <si>
    <t>SOURCE: National Science Foundation, National Center for Science and Engineering Statistics, Survey of Federal Science and Engineering Support to Universities, Colleges, and Nonprofit Institutions, FY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</si>
</sst>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color indexed="8"/>
      <name val="Calibri"/>
      <family val="2"/>
      <scheme val="minor"/>
    </font>
    <font>
      <b/>
      <sz val="9"/>
      <name val="Arial"/>
    </font>
    <font>
      <sz val="8"/>
      <name val="Arial"/>
    </font>
    <font>
      <vertAlign val="superscript"/>
      <sz val="11"/>
      <name val="Calibri"/>
    </font>
    <font>
      <b/>
      <sz val="11"/>
      <color indexed="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2">
    <border>
      <left/>
      <right/>
      <top/>
      <bottom/>
      <diagonal/>
    </border>
    <border>
      <left style="thin">
        <color rgb="FFB2D1FF"/>
      </left>
      <right style="thin">
        <color rgb="FFB2D1FF"/>
      </right>
      <top style="thin">
        <color rgb="FFB2D1FF"/>
      </top>
      <bottom style="thin">
        <color rgb="FFB2D1FF"/>
      </bottom>
      <diagonal/>
    </border>
  </borders>
  <cellStyleXfs count="1">
    <xf numFmtId="0" fontId="0" fillId="0" borderId="0"/>
  </cellStyleXfs>
  <cellXfs count="22">
    <xf numFmtId="0" fontId="0" fillId="0" borderId="0" xfId="0"/>
    <xf numFmtId="0" fontId="1" fillId="0" borderId="0" xfId="0" applyFont="1"/>
    <xf numFmtId="0" fontId="2" fillId="0" borderId="0" xfId="0" applyFont="1" applyAlignment="1">
      <alignment horizontal="left" wrapText="1"/>
    </xf>
    <xf numFmtId="0" fontId="2" fillId="0" borderId="0" xfId="0" applyFont="1" applyAlignment="1">
      <alignment horizontal="left" wrapText="1" indent="2"/>
    </xf>
    <xf numFmtId="0" fontId="2" fillId="0" borderId="0" xfId="0" applyFont="1" applyAlignment="1">
      <alignment horizontal="right"/>
    </xf>
    <xf numFmtId="164" fontId="2" fillId="0" borderId="0" xfId="0" applyNumberFormat="1" applyFont="1" applyAlignment="1">
      <alignment horizontal="right"/>
    </xf>
    <xf numFmtId="0" fontId="2" fillId="2" borderId="0" xfId="0" applyFont="1" applyFill="1" applyAlignment="1">
      <alignment horizontal="left" wrapText="1" indent="2"/>
    </xf>
    <xf numFmtId="164" fontId="2" fillId="2" borderId="0" xfId="0" applyNumberFormat="1" applyFont="1" applyFill="1" applyAlignment="1">
      <alignment horizontal="right"/>
    </xf>
    <xf numFmtId="0" fontId="2" fillId="2" borderId="0" xfId="0" applyFont="1" applyFill="1" applyAlignment="1">
      <alignment horizontal="left" wrapText="1" indent="4"/>
    </xf>
    <xf numFmtId="164" fontId="2" fillId="0" borderId="0" xfId="0" applyNumberFormat="1" applyFont="1" applyFill="1" applyAlignment="1">
      <alignment horizontal="right"/>
    </xf>
    <xf numFmtId="0" fontId="2" fillId="0" borderId="0" xfId="0" applyFont="1" applyFill="1" applyAlignment="1">
      <alignment horizontal="left" wrapText="1" indent="2"/>
    </xf>
    <xf numFmtId="0" fontId="0" fillId="0" borderId="0" xfId="0"/>
    <xf numFmtId="164" fontId="0" fillId="0" borderId="0" xfId="0" applyNumberFormat="1"/>
    <xf numFmtId="164" fontId="0" fillId="2" borderId="0" xfId="0" applyNumberFormat="1" applyFill="1"/>
    <xf numFmtId="0" fontId="4" fillId="3" borderId="0" xfId="0" applyFont="1" applyFill="1" applyAlignment="1">
      <alignment wrapText="1"/>
    </xf>
    <xf numFmtId="0" fontId="0" fillId="3" borderId="0" xfId="0" applyFill="1"/>
    <xf numFmtId="0" fontId="1" fillId="3" borderId="1" xfId="0" applyFont="1" applyFill="1" applyBorder="1" applyAlignment="1">
      <alignment horizontal="center" wrapText="1"/>
    </xf>
    <xf numFmtId="0" fontId="2" fillId="0" borderId="0" xfId="0" applyFont="1" applyFill="1" applyAlignment="1">
      <alignment horizontal="right"/>
    </xf>
    <xf numFmtId="0" fontId="1" fillId="3" borderId="1" xfId="0" applyFont="1" applyFill="1" applyBorder="1" applyAlignment="1">
      <alignment horizontal="center" wrapText="1"/>
    </xf>
    <xf numFmtId="0" fontId="1" fillId="3" borderId="1" xfId="0" applyFont="1" applyFill="1" applyBorder="1" applyAlignment="1">
      <alignment horizontal="left" wrapText="1"/>
    </xf>
    <xf numFmtId="0" fontId="2" fillId="0" borderId="0" xfId="0" applyFont="1"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tabSelected="1" topLeftCell="A4" workbookViewId="0">
      <selection activeCell="A22" sqref="A22:D22"/>
    </sheetView>
  </sheetViews>
  <sheetFormatPr defaultRowHeight="14.45"/>
  <cols>
    <col min="1" max="1" width="47.28515625" customWidth="1"/>
    <col min="2" max="3" width="14.42578125" customWidth="1"/>
    <col min="5" max="5" width="11.28515625" bestFit="1" customWidth="1"/>
  </cols>
  <sheetData>
    <row r="1" spans="1:5">
      <c r="A1" s="1" t="s">
        <v>0</v>
      </c>
      <c r="B1" s="11"/>
      <c r="C1" s="11"/>
      <c r="D1" s="11"/>
      <c r="E1" s="11"/>
    </row>
    <row r="2" spans="1:5">
      <c r="A2" s="1" t="s">
        <v>1</v>
      </c>
      <c r="B2" s="11"/>
      <c r="C2" s="11"/>
      <c r="D2" s="11"/>
      <c r="E2" s="11"/>
    </row>
    <row r="3" spans="1:5">
      <c r="A3" s="15"/>
      <c r="B3" s="15"/>
      <c r="C3" s="15"/>
      <c r="D3" s="15"/>
      <c r="E3" s="15"/>
    </row>
    <row r="4" spans="1:5" ht="14.45" customHeight="1">
      <c r="A4" s="19" t="s">
        <v>2</v>
      </c>
      <c r="B4" s="18" t="s">
        <v>3</v>
      </c>
      <c r="C4" s="16" t="s">
        <v>4</v>
      </c>
      <c r="D4" s="18" t="s">
        <v>5</v>
      </c>
      <c r="E4" s="14"/>
    </row>
    <row r="5" spans="1:5" ht="45" customHeight="1">
      <c r="A5" s="18"/>
      <c r="B5" s="18"/>
      <c r="C5" s="16" t="s">
        <v>6</v>
      </c>
      <c r="D5" s="18"/>
      <c r="E5" s="14" t="s">
        <v>7</v>
      </c>
    </row>
    <row r="6" spans="1:5">
      <c r="A6" s="2" t="s">
        <v>8</v>
      </c>
      <c r="B6" s="9">
        <v>31621975.399999999</v>
      </c>
      <c r="C6" s="5">
        <v>28506600.600000001</v>
      </c>
      <c r="D6" s="9">
        <v>369648.8</v>
      </c>
      <c r="E6" s="12">
        <f>B6-D6</f>
        <v>31252326.599999998</v>
      </c>
    </row>
    <row r="7" spans="1:5">
      <c r="A7" s="6" t="s">
        <v>9</v>
      </c>
      <c r="B7" s="9">
        <v>1348458.8</v>
      </c>
      <c r="C7" s="7">
        <v>785128.4</v>
      </c>
      <c r="D7" s="9">
        <v>0</v>
      </c>
      <c r="E7" s="13">
        <f t="shared" ref="E7:E18" si="0">B7-D7</f>
        <v>1348458.8</v>
      </c>
    </row>
    <row r="8" spans="1:5">
      <c r="A8" s="3" t="s">
        <v>10</v>
      </c>
      <c r="B8" s="9">
        <v>307441.5</v>
      </c>
      <c r="C8" s="5">
        <v>187599.6</v>
      </c>
      <c r="D8" s="9">
        <v>17384.099999999999</v>
      </c>
      <c r="E8" s="12">
        <f t="shared" si="0"/>
        <v>290057.40000000002</v>
      </c>
    </row>
    <row r="9" spans="1:5">
      <c r="A9" s="6" t="s">
        <v>11</v>
      </c>
      <c r="B9" s="9">
        <v>3758211.6</v>
      </c>
      <c r="C9" s="7">
        <v>3190967.5</v>
      </c>
      <c r="D9" s="9">
        <v>0</v>
      </c>
      <c r="E9" s="13">
        <f t="shared" si="0"/>
        <v>3758211.6</v>
      </c>
    </row>
    <row r="10" spans="1:5">
      <c r="A10" s="10" t="s">
        <v>12</v>
      </c>
      <c r="B10" s="9">
        <v>94624.1</v>
      </c>
      <c r="C10" s="9">
        <v>77248.800000000003</v>
      </c>
      <c r="D10" s="9">
        <v>0</v>
      </c>
      <c r="E10" s="12">
        <f t="shared" si="0"/>
        <v>94624.1</v>
      </c>
    </row>
    <row r="11" spans="1:5">
      <c r="A11" s="6" t="s">
        <v>13</v>
      </c>
      <c r="B11" s="9">
        <v>1096998.6000000001</v>
      </c>
      <c r="C11" s="7">
        <v>947241.4</v>
      </c>
      <c r="D11" s="9">
        <v>107789.7</v>
      </c>
      <c r="E11" s="13">
        <f t="shared" si="0"/>
        <v>989208.90000000014</v>
      </c>
    </row>
    <row r="12" spans="1:5">
      <c r="A12" s="3" t="s">
        <v>14</v>
      </c>
      <c r="B12" s="9">
        <v>18197845.899999999</v>
      </c>
      <c r="C12" s="5">
        <v>17295260.899999999</v>
      </c>
      <c r="D12" s="9">
        <v>5894.2</v>
      </c>
      <c r="E12" s="12">
        <f t="shared" si="0"/>
        <v>18191951.699999999</v>
      </c>
    </row>
    <row r="13" spans="1:5">
      <c r="A13" s="8" t="s">
        <v>15</v>
      </c>
      <c r="B13" s="9">
        <v>17767817.100000001</v>
      </c>
      <c r="C13" s="7">
        <v>16964995.5</v>
      </c>
      <c r="D13" s="9">
        <v>5894.2</v>
      </c>
      <c r="E13" s="13">
        <f t="shared" si="0"/>
        <v>17761922.900000002</v>
      </c>
    </row>
    <row r="14" spans="1:5">
      <c r="A14" s="3" t="s">
        <v>16</v>
      </c>
      <c r="B14" s="9">
        <v>64334.7</v>
      </c>
      <c r="C14" s="5">
        <v>64174.400000000001</v>
      </c>
      <c r="D14" s="9">
        <v>0</v>
      </c>
      <c r="E14" s="12">
        <f t="shared" si="0"/>
        <v>64334.7</v>
      </c>
    </row>
    <row r="15" spans="1:5">
      <c r="A15" s="2" t="s">
        <v>17</v>
      </c>
      <c r="B15" s="17" t="s">
        <v>18</v>
      </c>
      <c r="C15" s="4" t="s">
        <v>18</v>
      </c>
      <c r="D15" s="17" t="s">
        <v>18</v>
      </c>
      <c r="E15" s="12"/>
    </row>
    <row r="16" spans="1:5">
      <c r="A16" s="3" t="s">
        <v>19</v>
      </c>
      <c r="B16" s="9">
        <v>71490.399999999994</v>
      </c>
      <c r="C16" s="5">
        <v>68064.100000000006</v>
      </c>
      <c r="D16" s="9">
        <v>0</v>
      </c>
      <c r="E16" s="12">
        <f t="shared" si="0"/>
        <v>71490.399999999994</v>
      </c>
    </row>
    <row r="17" spans="1:5">
      <c r="A17" s="6" t="s">
        <v>20</v>
      </c>
      <c r="B17" s="9">
        <v>1167286.1000000001</v>
      </c>
      <c r="C17" s="7">
        <v>1167286.1000000001</v>
      </c>
      <c r="D17" s="9">
        <v>0</v>
      </c>
      <c r="E17" s="13">
        <f t="shared" si="0"/>
        <v>1167286.1000000001</v>
      </c>
    </row>
    <row r="18" spans="1:5">
      <c r="A18" s="6" t="s">
        <v>21</v>
      </c>
      <c r="B18" s="9">
        <v>5278999.9000000004</v>
      </c>
      <c r="C18" s="7">
        <v>4553867.0999999996</v>
      </c>
      <c r="D18" s="9">
        <v>238261</v>
      </c>
      <c r="E18" s="13">
        <f t="shared" si="0"/>
        <v>5040738.9000000004</v>
      </c>
    </row>
    <row r="20" spans="1:5" ht="15" customHeight="1">
      <c r="A20" s="20" t="s">
        <v>22</v>
      </c>
      <c r="B20" s="21"/>
      <c r="C20" s="21"/>
      <c r="D20" s="21"/>
      <c r="E20" s="11"/>
    </row>
    <row r="21" spans="1:5" ht="15" customHeight="1">
      <c r="A21" s="20" t="s">
        <v>23</v>
      </c>
      <c r="B21" s="21"/>
      <c r="C21" s="21"/>
      <c r="D21" s="21"/>
      <c r="E21" s="11"/>
    </row>
    <row r="22" spans="1:5" ht="103.5" customHeight="1">
      <c r="A22" s="20" t="s">
        <v>24</v>
      </c>
      <c r="B22" s="21"/>
      <c r="C22" s="21"/>
      <c r="D22" s="21"/>
      <c r="E22" s="11"/>
    </row>
    <row r="23" spans="1:5" ht="15" customHeight="1">
      <c r="A23" s="20" t="s">
        <v>25</v>
      </c>
      <c r="B23" s="21"/>
      <c r="C23" s="21"/>
      <c r="D23" s="21"/>
      <c r="E23" s="11"/>
    </row>
    <row r="24" spans="1:5" ht="30" customHeight="1">
      <c r="A24" s="20" t="s">
        <v>26</v>
      </c>
      <c r="B24" s="21"/>
      <c r="C24" s="21"/>
      <c r="D24" s="21"/>
      <c r="E24" s="11"/>
    </row>
  </sheetData>
  <mergeCells count="8">
    <mergeCell ref="A4:A5"/>
    <mergeCell ref="B4:B5"/>
    <mergeCell ref="D4:D5"/>
    <mergeCell ref="A22:D22"/>
    <mergeCell ref="A23:D23"/>
    <mergeCell ref="A24:D24"/>
    <mergeCell ref="A20:D20"/>
    <mergeCell ref="A21:D21"/>
  </mergeCells>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7" ma:contentTypeDescription="Create a new document." ma:contentTypeScope="" ma:versionID="e87a22b1668461aaba1cb243e9c1a54a">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50a2de1385131c5aef9d9d9626e0b05"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B1DFF32B-464B-4FE3-A379-ACEA6B34C977}"/>
</file>

<file path=customXml/itemProps2.xml><?xml version="1.0" encoding="utf-8"?>
<ds:datastoreItem xmlns:ds="http://schemas.openxmlformats.org/officeDocument/2006/customXml" ds:itemID="{3CCEF222-D8DF-4CF4-8DCE-8085C70FA208}"/>
</file>

<file path=customXml/itemProps3.xml><?xml version="1.0" encoding="utf-8"?>
<ds:datastoreItem xmlns:ds="http://schemas.openxmlformats.org/officeDocument/2006/customXml" ds:itemID="{1BF21C27-EBEA-47C7-A6FE-5B73548244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Fowers, Alyssa (af5ug)</cp:lastModifiedBy>
  <cp:revision/>
  <dcterms:created xsi:type="dcterms:W3CDTF">2018-04-24T00:44:41Z</dcterms:created>
  <dcterms:modified xsi:type="dcterms:W3CDTF">2019-07-24T19:34:36Z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